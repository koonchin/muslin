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Dropbox\MUSLIN PAJAMAS ALL IN FO\Stock\ของเข้าร้านใหญ่\มกราคม 66\10\"/>
    </mc:Choice>
  </mc:AlternateContent>
  <xr:revisionPtr revIDLastSave="0" documentId="8_{41F04FD3-7A44-465E-9CAE-87D0FD09B9B1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from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87" i="1" l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7" i="1"/>
  <c r="F16" i="1"/>
  <c r="F15" i="1"/>
  <c r="F12" i="1"/>
  <c r="F11" i="1"/>
  <c r="F10" i="1"/>
  <c r="F7" i="1"/>
  <c r="F6" i="1"/>
  <c r="F5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D23" i="1"/>
  <c r="J23" i="1" s="1"/>
  <c r="E23" i="1"/>
  <c r="D24" i="1"/>
  <c r="J24" i="1" s="1"/>
  <c r="E24" i="1"/>
  <c r="D25" i="1"/>
  <c r="J25" i="1" s="1"/>
  <c r="E25" i="1"/>
  <c r="D26" i="1"/>
  <c r="J26" i="1" s="1"/>
  <c r="E26" i="1"/>
  <c r="D27" i="1"/>
  <c r="J27" i="1" s="1"/>
  <c r="E27" i="1"/>
  <c r="R187" i="1" l="1"/>
  <c r="E8" i="1"/>
  <c r="R8" i="1" s="1"/>
  <c r="E9" i="1"/>
  <c r="R9" i="1" s="1"/>
  <c r="E10" i="1"/>
  <c r="R10" i="1" s="1"/>
  <c r="E11" i="1"/>
  <c r="R11" i="1" s="1"/>
  <c r="E12" i="1"/>
  <c r="R12" i="1" s="1"/>
  <c r="E13" i="1"/>
  <c r="R13" i="1" s="1"/>
  <c r="E14" i="1"/>
  <c r="R14" i="1" s="1"/>
  <c r="E15" i="1"/>
  <c r="R15" i="1" s="1"/>
  <c r="E16" i="1"/>
  <c r="R16" i="1" s="1"/>
  <c r="E17" i="1"/>
  <c r="R17" i="1" s="1"/>
  <c r="E18" i="1"/>
  <c r="R18" i="1" s="1"/>
  <c r="E19" i="1"/>
  <c r="R19" i="1" s="1"/>
  <c r="E20" i="1"/>
  <c r="R20" i="1" s="1"/>
  <c r="E21" i="1"/>
  <c r="R21" i="1" s="1"/>
  <c r="E22" i="1"/>
  <c r="R22" i="1" s="1"/>
  <c r="R23" i="1"/>
  <c r="R24" i="1"/>
  <c r="R25" i="1"/>
  <c r="R26" i="1"/>
  <c r="R27" i="1"/>
  <c r="E28" i="1"/>
  <c r="R28" i="1" s="1"/>
  <c r="E29" i="1"/>
  <c r="R29" i="1" s="1"/>
  <c r="E30" i="1"/>
  <c r="R30" i="1" s="1"/>
  <c r="E31" i="1"/>
  <c r="R31" i="1" s="1"/>
  <c r="E32" i="1"/>
  <c r="R32" i="1" s="1"/>
  <c r="E33" i="1"/>
  <c r="R33" i="1" s="1"/>
  <c r="E34" i="1"/>
  <c r="R34" i="1" s="1"/>
  <c r="E35" i="1"/>
  <c r="R35" i="1" s="1"/>
  <c r="E36" i="1"/>
  <c r="R36" i="1" s="1"/>
  <c r="E37" i="1"/>
  <c r="R37" i="1" s="1"/>
  <c r="E38" i="1"/>
  <c r="R38" i="1" s="1"/>
  <c r="E39" i="1"/>
  <c r="R39" i="1" s="1"/>
  <c r="E40" i="1"/>
  <c r="R40" i="1" s="1"/>
  <c r="E41" i="1"/>
  <c r="R41" i="1" s="1"/>
  <c r="E42" i="1"/>
  <c r="R42" i="1" s="1"/>
  <c r="E43" i="1"/>
  <c r="R43" i="1" s="1"/>
  <c r="E44" i="1"/>
  <c r="R44" i="1" s="1"/>
  <c r="E45" i="1"/>
  <c r="R45" i="1" s="1"/>
  <c r="E46" i="1"/>
  <c r="R46" i="1" s="1"/>
  <c r="E47" i="1"/>
  <c r="R47" i="1" s="1"/>
  <c r="E48" i="1"/>
  <c r="R48" i="1" s="1"/>
  <c r="E49" i="1"/>
  <c r="R49" i="1" s="1"/>
  <c r="E50" i="1"/>
  <c r="R50" i="1" s="1"/>
  <c r="E51" i="1"/>
  <c r="R51" i="1" s="1"/>
  <c r="E52" i="1"/>
  <c r="R52" i="1" s="1"/>
  <c r="E53" i="1"/>
  <c r="R53" i="1" s="1"/>
  <c r="E54" i="1"/>
  <c r="R54" i="1" s="1"/>
  <c r="E55" i="1"/>
  <c r="R55" i="1" s="1"/>
  <c r="E56" i="1"/>
  <c r="R56" i="1" s="1"/>
  <c r="E57" i="1"/>
  <c r="R57" i="1" s="1"/>
  <c r="E58" i="1"/>
  <c r="R58" i="1" s="1"/>
  <c r="E59" i="1"/>
  <c r="R59" i="1" s="1"/>
  <c r="E60" i="1"/>
  <c r="R60" i="1" s="1"/>
  <c r="E61" i="1"/>
  <c r="R61" i="1" s="1"/>
  <c r="E62" i="1"/>
  <c r="R62" i="1" s="1"/>
  <c r="E63" i="1"/>
  <c r="R63" i="1" s="1"/>
  <c r="E64" i="1"/>
  <c r="R64" i="1" s="1"/>
  <c r="E65" i="1"/>
  <c r="R65" i="1" s="1"/>
  <c r="E66" i="1"/>
  <c r="R66" i="1" s="1"/>
  <c r="E67" i="1"/>
  <c r="R67" i="1" s="1"/>
  <c r="E68" i="1"/>
  <c r="R68" i="1" s="1"/>
  <c r="E69" i="1"/>
  <c r="R69" i="1" s="1"/>
  <c r="E70" i="1"/>
  <c r="R70" i="1" s="1"/>
  <c r="E71" i="1"/>
  <c r="R71" i="1" s="1"/>
  <c r="E72" i="1"/>
  <c r="R72" i="1" s="1"/>
  <c r="E73" i="1"/>
  <c r="R73" i="1" s="1"/>
  <c r="E74" i="1"/>
  <c r="R74" i="1" s="1"/>
  <c r="E75" i="1"/>
  <c r="R75" i="1" s="1"/>
  <c r="E76" i="1"/>
  <c r="R76" i="1" s="1"/>
  <c r="E77" i="1"/>
  <c r="R77" i="1" s="1"/>
  <c r="E78" i="1"/>
  <c r="R78" i="1" s="1"/>
  <c r="E79" i="1"/>
  <c r="R79" i="1" s="1"/>
  <c r="E80" i="1"/>
  <c r="R80" i="1" s="1"/>
  <c r="E81" i="1"/>
  <c r="R81" i="1" s="1"/>
  <c r="E82" i="1"/>
  <c r="R82" i="1" s="1"/>
  <c r="E83" i="1"/>
  <c r="R83" i="1" s="1"/>
  <c r="E84" i="1"/>
  <c r="R84" i="1" s="1"/>
  <c r="E85" i="1"/>
  <c r="R85" i="1" s="1"/>
  <c r="E86" i="1"/>
  <c r="R86" i="1" s="1"/>
  <c r="E87" i="1"/>
  <c r="R87" i="1" s="1"/>
  <c r="E88" i="1"/>
  <c r="R88" i="1" s="1"/>
  <c r="E89" i="1"/>
  <c r="R89" i="1" s="1"/>
  <c r="E90" i="1"/>
  <c r="R90" i="1" s="1"/>
  <c r="E91" i="1"/>
  <c r="R91" i="1" s="1"/>
  <c r="E92" i="1"/>
  <c r="R92" i="1" s="1"/>
  <c r="E93" i="1"/>
  <c r="R93" i="1" s="1"/>
  <c r="E94" i="1"/>
  <c r="R94" i="1" s="1"/>
  <c r="E95" i="1"/>
  <c r="R95" i="1" s="1"/>
  <c r="E96" i="1"/>
  <c r="R96" i="1" s="1"/>
  <c r="E97" i="1"/>
  <c r="R97" i="1" s="1"/>
  <c r="E98" i="1"/>
  <c r="R98" i="1" s="1"/>
  <c r="E99" i="1"/>
  <c r="R99" i="1" s="1"/>
  <c r="E100" i="1"/>
  <c r="R100" i="1" s="1"/>
  <c r="E101" i="1"/>
  <c r="R101" i="1" s="1"/>
  <c r="E102" i="1"/>
  <c r="R102" i="1" s="1"/>
  <c r="E103" i="1"/>
  <c r="R103" i="1" s="1"/>
  <c r="E104" i="1"/>
  <c r="R104" i="1" s="1"/>
  <c r="E105" i="1"/>
  <c r="R105" i="1" s="1"/>
  <c r="E106" i="1"/>
  <c r="R106" i="1" s="1"/>
  <c r="E107" i="1"/>
  <c r="R107" i="1" s="1"/>
  <c r="E108" i="1"/>
  <c r="R108" i="1" s="1"/>
  <c r="E109" i="1"/>
  <c r="R109" i="1" s="1"/>
  <c r="E110" i="1"/>
  <c r="R110" i="1" s="1"/>
  <c r="E111" i="1"/>
  <c r="R111" i="1" s="1"/>
  <c r="E112" i="1"/>
  <c r="R112" i="1" s="1"/>
  <c r="E113" i="1"/>
  <c r="R113" i="1" s="1"/>
  <c r="E114" i="1"/>
  <c r="R114" i="1" s="1"/>
  <c r="E115" i="1"/>
  <c r="R115" i="1" s="1"/>
  <c r="E116" i="1"/>
  <c r="R116" i="1" s="1"/>
  <c r="E117" i="1"/>
  <c r="R117" i="1" s="1"/>
  <c r="E118" i="1"/>
  <c r="R118" i="1" s="1"/>
  <c r="E119" i="1"/>
  <c r="R119" i="1" s="1"/>
  <c r="E120" i="1"/>
  <c r="R120" i="1" s="1"/>
  <c r="E121" i="1"/>
  <c r="R121" i="1" s="1"/>
  <c r="E122" i="1"/>
  <c r="R122" i="1" s="1"/>
  <c r="E123" i="1"/>
  <c r="R123" i="1" s="1"/>
  <c r="E124" i="1"/>
  <c r="R124" i="1" s="1"/>
  <c r="E125" i="1"/>
  <c r="R125" i="1" s="1"/>
  <c r="E126" i="1"/>
  <c r="R126" i="1" s="1"/>
  <c r="E127" i="1"/>
  <c r="R127" i="1" s="1"/>
  <c r="E128" i="1"/>
  <c r="R128" i="1" s="1"/>
  <c r="E129" i="1"/>
  <c r="R129" i="1" s="1"/>
  <c r="E130" i="1"/>
  <c r="R130" i="1" s="1"/>
  <c r="E131" i="1"/>
  <c r="R131" i="1" s="1"/>
  <c r="E132" i="1"/>
  <c r="R132" i="1" s="1"/>
  <c r="E133" i="1"/>
  <c r="R133" i="1" s="1"/>
  <c r="E134" i="1"/>
  <c r="R134" i="1" s="1"/>
  <c r="E135" i="1"/>
  <c r="R135" i="1" s="1"/>
  <c r="E136" i="1"/>
  <c r="R136" i="1" s="1"/>
  <c r="E137" i="1"/>
  <c r="R137" i="1" s="1"/>
  <c r="E138" i="1"/>
  <c r="R138" i="1" s="1"/>
  <c r="E139" i="1"/>
  <c r="R139" i="1" s="1"/>
  <c r="E140" i="1"/>
  <c r="R140" i="1" s="1"/>
  <c r="E141" i="1"/>
  <c r="R141" i="1" s="1"/>
  <c r="E142" i="1"/>
  <c r="R142" i="1" s="1"/>
  <c r="E143" i="1"/>
  <c r="R143" i="1" s="1"/>
  <c r="E144" i="1"/>
  <c r="R144" i="1" s="1"/>
  <c r="E145" i="1"/>
  <c r="R145" i="1" s="1"/>
  <c r="E146" i="1"/>
  <c r="R146" i="1" s="1"/>
  <c r="E147" i="1"/>
  <c r="R147" i="1" s="1"/>
  <c r="E148" i="1"/>
  <c r="R148" i="1" s="1"/>
  <c r="E149" i="1"/>
  <c r="R149" i="1" s="1"/>
  <c r="E150" i="1"/>
  <c r="R150" i="1" s="1"/>
  <c r="E151" i="1"/>
  <c r="R151" i="1" s="1"/>
  <c r="E152" i="1"/>
  <c r="R152" i="1" s="1"/>
  <c r="E153" i="1"/>
  <c r="R153" i="1" s="1"/>
  <c r="E154" i="1"/>
  <c r="R154" i="1" s="1"/>
  <c r="E155" i="1"/>
  <c r="R155" i="1" s="1"/>
  <c r="E156" i="1"/>
  <c r="R156" i="1" s="1"/>
  <c r="E157" i="1"/>
  <c r="R157" i="1" s="1"/>
  <c r="E158" i="1"/>
  <c r="R158" i="1" s="1"/>
  <c r="E159" i="1"/>
  <c r="R159" i="1" s="1"/>
  <c r="E160" i="1"/>
  <c r="R160" i="1" s="1"/>
  <c r="E161" i="1"/>
  <c r="R161" i="1" s="1"/>
  <c r="E162" i="1"/>
  <c r="R162" i="1" s="1"/>
  <c r="E163" i="1"/>
  <c r="R163" i="1" s="1"/>
  <c r="E164" i="1"/>
  <c r="R164" i="1" s="1"/>
  <c r="E165" i="1"/>
  <c r="R165" i="1" s="1"/>
  <c r="E166" i="1"/>
  <c r="R166" i="1" s="1"/>
  <c r="E167" i="1"/>
  <c r="R167" i="1" s="1"/>
  <c r="E168" i="1"/>
  <c r="R168" i="1" s="1"/>
  <c r="E169" i="1"/>
  <c r="R169" i="1" s="1"/>
  <c r="E170" i="1"/>
  <c r="R170" i="1" s="1"/>
  <c r="E171" i="1"/>
  <c r="R171" i="1" s="1"/>
  <c r="E172" i="1"/>
  <c r="R172" i="1" s="1"/>
  <c r="E173" i="1"/>
  <c r="R173" i="1" s="1"/>
  <c r="E174" i="1"/>
  <c r="R174" i="1" s="1"/>
  <c r="E175" i="1"/>
  <c r="R175" i="1" s="1"/>
  <c r="E176" i="1"/>
  <c r="R176" i="1" s="1"/>
  <c r="E177" i="1"/>
  <c r="R177" i="1" s="1"/>
  <c r="E178" i="1"/>
  <c r="R178" i="1" s="1"/>
  <c r="E179" i="1"/>
  <c r="R179" i="1" s="1"/>
  <c r="E180" i="1"/>
  <c r="R180" i="1" s="1"/>
  <c r="E181" i="1"/>
  <c r="R181" i="1" s="1"/>
  <c r="E182" i="1"/>
  <c r="R182" i="1" s="1"/>
  <c r="E183" i="1"/>
  <c r="R183" i="1" s="1"/>
  <c r="E184" i="1"/>
  <c r="R184" i="1" s="1"/>
  <c r="E185" i="1"/>
  <c r="R185" i="1" s="1"/>
  <c r="E186" i="1"/>
  <c r="R186" i="1" s="1"/>
  <c r="E7" i="1"/>
  <c r="R7" i="1" s="1"/>
  <c r="E6" i="1"/>
  <c r="R6" i="1" s="1"/>
  <c r="E5" i="1"/>
  <c r="R5" i="1" s="1"/>
  <c r="E4" i="1"/>
  <c r="R4" i="1" s="1"/>
  <c r="E3" i="1"/>
  <c r="R3" i="1" s="1"/>
  <c r="U15" i="1" l="1"/>
  <c r="U19" i="1"/>
  <c r="U14" i="1"/>
  <c r="U18" i="1"/>
  <c r="U17" i="1"/>
  <c r="U16" i="1"/>
  <c r="U8" i="1"/>
  <c r="U7" i="1"/>
  <c r="U9" i="1"/>
  <c r="U13" i="1"/>
  <c r="U12" i="1"/>
  <c r="U11" i="1"/>
  <c r="U10" i="1"/>
  <c r="D8" i="1"/>
  <c r="D9" i="1"/>
  <c r="D10" i="1"/>
  <c r="D11" i="1"/>
  <c r="D12" i="1"/>
  <c r="J12" i="1" s="1"/>
  <c r="D13" i="1"/>
  <c r="D14" i="1"/>
  <c r="D15" i="1"/>
  <c r="D16" i="1"/>
  <c r="J16" i="1" s="1"/>
  <c r="D17" i="1"/>
  <c r="J17" i="1" s="1"/>
  <c r="D18" i="1"/>
  <c r="D19" i="1"/>
  <c r="D20" i="1"/>
  <c r="D21" i="1"/>
  <c r="J21" i="1" s="1"/>
  <c r="D22" i="1"/>
  <c r="J22" i="1" s="1"/>
  <c r="D28" i="1"/>
  <c r="D29" i="1"/>
  <c r="D30" i="1"/>
  <c r="J30" i="1" s="1"/>
  <c r="D31" i="1"/>
  <c r="J31" i="1" s="1"/>
  <c r="D32" i="1"/>
  <c r="J32" i="1" s="1"/>
  <c r="D33" i="1"/>
  <c r="J33" i="1" s="1"/>
  <c r="D34" i="1"/>
  <c r="D35" i="1"/>
  <c r="J35" i="1" s="1"/>
  <c r="D36" i="1"/>
  <c r="J36" i="1" s="1"/>
  <c r="D37" i="1"/>
  <c r="J37" i="1" s="1"/>
  <c r="D38" i="1"/>
  <c r="J38" i="1" s="1"/>
  <c r="D39" i="1"/>
  <c r="J39" i="1" s="1"/>
  <c r="D40" i="1"/>
  <c r="J40" i="1" s="1"/>
  <c r="D41" i="1"/>
  <c r="J41" i="1" s="1"/>
  <c r="D42" i="1"/>
  <c r="J42" i="1" s="1"/>
  <c r="D43" i="1"/>
  <c r="J43" i="1" s="1"/>
  <c r="D44" i="1"/>
  <c r="J44" i="1" s="1"/>
  <c r="D45" i="1"/>
  <c r="J45" i="1" s="1"/>
  <c r="D46" i="1"/>
  <c r="J46" i="1" s="1"/>
  <c r="D47" i="1"/>
  <c r="J47" i="1" s="1"/>
  <c r="D48" i="1"/>
  <c r="J48" i="1" s="1"/>
  <c r="D49" i="1"/>
  <c r="J49" i="1" s="1"/>
  <c r="D50" i="1"/>
  <c r="J50" i="1" s="1"/>
  <c r="D51" i="1"/>
  <c r="J51" i="1" s="1"/>
  <c r="D52" i="1"/>
  <c r="J52" i="1" s="1"/>
  <c r="D53" i="1"/>
  <c r="J53" i="1" s="1"/>
  <c r="D54" i="1"/>
  <c r="J54" i="1" s="1"/>
  <c r="D55" i="1"/>
  <c r="J55" i="1" s="1"/>
  <c r="D56" i="1"/>
  <c r="J56" i="1" s="1"/>
  <c r="D57" i="1"/>
  <c r="J57" i="1" s="1"/>
  <c r="D58" i="1"/>
  <c r="J58" i="1" s="1"/>
  <c r="D59" i="1"/>
  <c r="J59" i="1" s="1"/>
  <c r="D60" i="1"/>
  <c r="J60" i="1" s="1"/>
  <c r="D61" i="1"/>
  <c r="J61" i="1" s="1"/>
  <c r="D62" i="1"/>
  <c r="J62" i="1" s="1"/>
  <c r="D63" i="1"/>
  <c r="J63" i="1" s="1"/>
  <c r="D64" i="1"/>
  <c r="J64" i="1" s="1"/>
  <c r="D65" i="1"/>
  <c r="J65" i="1" s="1"/>
  <c r="D66" i="1"/>
  <c r="J66" i="1" s="1"/>
  <c r="D67" i="1"/>
  <c r="J67" i="1" s="1"/>
  <c r="D68" i="1"/>
  <c r="J68" i="1" s="1"/>
  <c r="D69" i="1"/>
  <c r="J69" i="1" s="1"/>
  <c r="D70" i="1"/>
  <c r="J70" i="1" s="1"/>
  <c r="D71" i="1"/>
  <c r="J71" i="1" s="1"/>
  <c r="D72" i="1"/>
  <c r="J72" i="1" s="1"/>
  <c r="D73" i="1"/>
  <c r="J73" i="1" s="1"/>
  <c r="D74" i="1"/>
  <c r="J74" i="1" s="1"/>
  <c r="D75" i="1"/>
  <c r="J75" i="1" s="1"/>
  <c r="D76" i="1"/>
  <c r="J76" i="1" s="1"/>
  <c r="D77" i="1"/>
  <c r="J77" i="1" s="1"/>
  <c r="D78" i="1"/>
  <c r="J78" i="1" s="1"/>
  <c r="D79" i="1"/>
  <c r="J79" i="1" s="1"/>
  <c r="D80" i="1"/>
  <c r="J80" i="1" s="1"/>
  <c r="D81" i="1"/>
  <c r="J81" i="1" s="1"/>
  <c r="D82" i="1"/>
  <c r="J82" i="1" s="1"/>
  <c r="D83" i="1"/>
  <c r="J83" i="1" s="1"/>
  <c r="D84" i="1"/>
  <c r="J84" i="1" s="1"/>
  <c r="D85" i="1"/>
  <c r="J85" i="1" s="1"/>
  <c r="D86" i="1"/>
  <c r="J86" i="1" s="1"/>
  <c r="D87" i="1"/>
  <c r="J87" i="1" s="1"/>
  <c r="D88" i="1"/>
  <c r="J88" i="1" s="1"/>
  <c r="D89" i="1"/>
  <c r="J89" i="1" s="1"/>
  <c r="D90" i="1"/>
  <c r="J90" i="1" s="1"/>
  <c r="D91" i="1"/>
  <c r="J91" i="1" s="1"/>
  <c r="D92" i="1"/>
  <c r="J92" i="1" s="1"/>
  <c r="D93" i="1"/>
  <c r="J93" i="1" s="1"/>
  <c r="D94" i="1"/>
  <c r="J94" i="1" s="1"/>
  <c r="D95" i="1"/>
  <c r="J95" i="1" s="1"/>
  <c r="D96" i="1"/>
  <c r="J96" i="1" s="1"/>
  <c r="D97" i="1"/>
  <c r="J97" i="1" s="1"/>
  <c r="D98" i="1"/>
  <c r="J98" i="1" s="1"/>
  <c r="D99" i="1"/>
  <c r="J99" i="1" s="1"/>
  <c r="D100" i="1"/>
  <c r="J100" i="1" s="1"/>
  <c r="D101" i="1"/>
  <c r="J101" i="1" s="1"/>
  <c r="D102" i="1"/>
  <c r="J102" i="1" s="1"/>
  <c r="D103" i="1"/>
  <c r="J103" i="1" s="1"/>
  <c r="D104" i="1"/>
  <c r="J104" i="1" s="1"/>
  <c r="D105" i="1"/>
  <c r="J105" i="1" s="1"/>
  <c r="D106" i="1"/>
  <c r="J106" i="1" s="1"/>
  <c r="D107" i="1"/>
  <c r="J107" i="1" s="1"/>
  <c r="D108" i="1"/>
  <c r="J108" i="1" s="1"/>
  <c r="D109" i="1"/>
  <c r="J109" i="1" s="1"/>
  <c r="D110" i="1"/>
  <c r="J110" i="1" s="1"/>
  <c r="D111" i="1"/>
  <c r="J111" i="1" s="1"/>
  <c r="D112" i="1"/>
  <c r="J112" i="1" s="1"/>
  <c r="D113" i="1"/>
  <c r="J113" i="1" s="1"/>
  <c r="D114" i="1"/>
  <c r="J114" i="1" s="1"/>
  <c r="D115" i="1"/>
  <c r="J115" i="1" s="1"/>
  <c r="D116" i="1"/>
  <c r="J116" i="1" s="1"/>
  <c r="D117" i="1"/>
  <c r="J117" i="1" s="1"/>
  <c r="D118" i="1"/>
  <c r="J118" i="1" s="1"/>
  <c r="D119" i="1"/>
  <c r="J119" i="1" s="1"/>
  <c r="D120" i="1"/>
  <c r="J120" i="1" s="1"/>
  <c r="D121" i="1"/>
  <c r="J121" i="1" s="1"/>
  <c r="D122" i="1"/>
  <c r="J122" i="1" s="1"/>
  <c r="D123" i="1"/>
  <c r="J123" i="1" s="1"/>
  <c r="D124" i="1"/>
  <c r="J124" i="1" s="1"/>
  <c r="D125" i="1"/>
  <c r="J125" i="1" s="1"/>
  <c r="D126" i="1"/>
  <c r="J126" i="1" s="1"/>
  <c r="D127" i="1"/>
  <c r="J127" i="1" s="1"/>
  <c r="D128" i="1"/>
  <c r="J128" i="1" s="1"/>
  <c r="D129" i="1"/>
  <c r="J129" i="1" s="1"/>
  <c r="D130" i="1"/>
  <c r="J130" i="1" s="1"/>
  <c r="D131" i="1"/>
  <c r="J131" i="1" s="1"/>
  <c r="D132" i="1"/>
  <c r="J132" i="1" s="1"/>
  <c r="D133" i="1"/>
  <c r="J133" i="1" s="1"/>
  <c r="D134" i="1"/>
  <c r="J134" i="1" s="1"/>
  <c r="D135" i="1"/>
  <c r="J135" i="1" s="1"/>
  <c r="D136" i="1"/>
  <c r="J136" i="1" s="1"/>
  <c r="D137" i="1"/>
  <c r="J137" i="1" s="1"/>
  <c r="D138" i="1"/>
  <c r="J138" i="1" s="1"/>
  <c r="D139" i="1"/>
  <c r="J139" i="1" s="1"/>
  <c r="D140" i="1"/>
  <c r="J140" i="1" s="1"/>
  <c r="D141" i="1"/>
  <c r="J141" i="1" s="1"/>
  <c r="D142" i="1"/>
  <c r="J142" i="1" s="1"/>
  <c r="D143" i="1"/>
  <c r="J143" i="1" s="1"/>
  <c r="D144" i="1"/>
  <c r="J144" i="1" s="1"/>
  <c r="D145" i="1"/>
  <c r="J145" i="1" s="1"/>
  <c r="D146" i="1"/>
  <c r="J146" i="1" s="1"/>
  <c r="D147" i="1"/>
  <c r="J147" i="1" s="1"/>
  <c r="D148" i="1"/>
  <c r="J148" i="1" s="1"/>
  <c r="D149" i="1"/>
  <c r="J149" i="1" s="1"/>
  <c r="D150" i="1"/>
  <c r="J150" i="1" s="1"/>
  <c r="D151" i="1"/>
  <c r="J151" i="1" s="1"/>
  <c r="D152" i="1"/>
  <c r="J152" i="1" s="1"/>
  <c r="D153" i="1"/>
  <c r="J153" i="1" s="1"/>
  <c r="D154" i="1"/>
  <c r="J154" i="1" s="1"/>
  <c r="D155" i="1"/>
  <c r="J155" i="1" s="1"/>
  <c r="D156" i="1"/>
  <c r="J156" i="1" s="1"/>
  <c r="D157" i="1"/>
  <c r="J157" i="1" s="1"/>
  <c r="D158" i="1"/>
  <c r="J158" i="1" s="1"/>
  <c r="D159" i="1"/>
  <c r="J159" i="1" s="1"/>
  <c r="D160" i="1"/>
  <c r="J160" i="1" s="1"/>
  <c r="D161" i="1"/>
  <c r="J161" i="1" s="1"/>
  <c r="D162" i="1"/>
  <c r="J162" i="1" s="1"/>
  <c r="D163" i="1"/>
  <c r="J163" i="1" s="1"/>
  <c r="D164" i="1"/>
  <c r="J164" i="1" s="1"/>
  <c r="D165" i="1"/>
  <c r="J165" i="1" s="1"/>
  <c r="D166" i="1"/>
  <c r="J166" i="1" s="1"/>
  <c r="D167" i="1"/>
  <c r="J167" i="1" s="1"/>
  <c r="D168" i="1"/>
  <c r="J168" i="1" s="1"/>
  <c r="D169" i="1"/>
  <c r="J169" i="1" s="1"/>
  <c r="D170" i="1"/>
  <c r="J170" i="1" s="1"/>
  <c r="D171" i="1"/>
  <c r="J171" i="1" s="1"/>
  <c r="D172" i="1"/>
  <c r="J172" i="1" s="1"/>
  <c r="D173" i="1"/>
  <c r="J173" i="1" s="1"/>
  <c r="D174" i="1"/>
  <c r="J174" i="1" s="1"/>
  <c r="D175" i="1"/>
  <c r="J175" i="1" s="1"/>
  <c r="D176" i="1"/>
  <c r="J176" i="1" s="1"/>
  <c r="D177" i="1"/>
  <c r="J177" i="1" s="1"/>
  <c r="D178" i="1"/>
  <c r="J178" i="1" s="1"/>
  <c r="D179" i="1"/>
  <c r="J179" i="1" s="1"/>
  <c r="D180" i="1"/>
  <c r="J180" i="1" s="1"/>
  <c r="D181" i="1"/>
  <c r="J181" i="1" s="1"/>
  <c r="D182" i="1"/>
  <c r="J182" i="1" s="1"/>
  <c r="D183" i="1"/>
  <c r="J183" i="1" s="1"/>
  <c r="D184" i="1"/>
  <c r="J184" i="1" s="1"/>
  <c r="D185" i="1"/>
  <c r="J185" i="1" s="1"/>
  <c r="D186" i="1"/>
  <c r="J186" i="1" s="1"/>
  <c r="D3" i="1"/>
  <c r="D4" i="1"/>
  <c r="D5" i="1"/>
  <c r="D6" i="1"/>
  <c r="D7" i="1"/>
  <c r="S187" i="1"/>
  <c r="L187" i="1"/>
  <c r="O187" i="1" s="1"/>
  <c r="D187" i="1"/>
  <c r="J187" i="1" s="1"/>
  <c r="S186" i="1"/>
  <c r="L186" i="1"/>
  <c r="O186" i="1" s="1"/>
  <c r="S185" i="1"/>
  <c r="L185" i="1"/>
  <c r="M185" i="1" s="1"/>
  <c r="S184" i="1"/>
  <c r="L184" i="1"/>
  <c r="M184" i="1" s="1"/>
  <c r="S183" i="1"/>
  <c r="L183" i="1"/>
  <c r="M183" i="1" s="1"/>
  <c r="S182" i="1"/>
  <c r="L182" i="1"/>
  <c r="M182" i="1" s="1"/>
  <c r="S181" i="1"/>
  <c r="L181" i="1"/>
  <c r="M181" i="1" s="1"/>
  <c r="S180" i="1"/>
  <c r="L180" i="1"/>
  <c r="O180" i="1" s="1"/>
  <c r="S179" i="1"/>
  <c r="L179" i="1"/>
  <c r="O179" i="1" s="1"/>
  <c r="S178" i="1"/>
  <c r="L178" i="1"/>
  <c r="O178" i="1" s="1"/>
  <c r="S177" i="1"/>
  <c r="L177" i="1"/>
  <c r="O177" i="1" s="1"/>
  <c r="S176" i="1"/>
  <c r="L176" i="1"/>
  <c r="O176" i="1" s="1"/>
  <c r="S175" i="1"/>
  <c r="L175" i="1"/>
  <c r="O175" i="1" s="1"/>
  <c r="S174" i="1"/>
  <c r="L174" i="1"/>
  <c r="O174" i="1" s="1"/>
  <c r="S173" i="1"/>
  <c r="L173" i="1"/>
  <c r="M173" i="1" s="1"/>
  <c r="S172" i="1"/>
  <c r="L172" i="1"/>
  <c r="O172" i="1" s="1"/>
  <c r="S171" i="1"/>
  <c r="L171" i="1"/>
  <c r="O171" i="1" s="1"/>
  <c r="S170" i="1"/>
  <c r="L170" i="1"/>
  <c r="O170" i="1" s="1"/>
  <c r="S169" i="1"/>
  <c r="L169" i="1"/>
  <c r="M169" i="1" s="1"/>
  <c r="S168" i="1"/>
  <c r="L168" i="1"/>
  <c r="O168" i="1" s="1"/>
  <c r="S167" i="1"/>
  <c r="L167" i="1"/>
  <c r="O167" i="1" s="1"/>
  <c r="S166" i="1"/>
  <c r="L166" i="1"/>
  <c r="M166" i="1" s="1"/>
  <c r="S165" i="1"/>
  <c r="L165" i="1"/>
  <c r="O165" i="1" s="1"/>
  <c r="S164" i="1"/>
  <c r="L164" i="1"/>
  <c r="O164" i="1" s="1"/>
  <c r="S163" i="1"/>
  <c r="L163" i="1"/>
  <c r="M163" i="1" s="1"/>
  <c r="S162" i="1"/>
  <c r="L162" i="1"/>
  <c r="O162" i="1" s="1"/>
  <c r="S161" i="1"/>
  <c r="L161" i="1"/>
  <c r="M161" i="1" s="1"/>
  <c r="S160" i="1"/>
  <c r="L160" i="1"/>
  <c r="M160" i="1" s="1"/>
  <c r="S159" i="1"/>
  <c r="L159" i="1"/>
  <c r="M159" i="1" s="1"/>
  <c r="S158" i="1"/>
  <c r="L158" i="1"/>
  <c r="M158" i="1" s="1"/>
  <c r="S157" i="1"/>
  <c r="L157" i="1"/>
  <c r="O157" i="1" s="1"/>
  <c r="S156" i="1"/>
  <c r="L156" i="1"/>
  <c r="M156" i="1" s="1"/>
  <c r="S155" i="1"/>
  <c r="L155" i="1"/>
  <c r="O155" i="1" s="1"/>
  <c r="S154" i="1"/>
  <c r="L154" i="1"/>
  <c r="O154" i="1" s="1"/>
  <c r="S153" i="1"/>
  <c r="L153" i="1"/>
  <c r="M153" i="1" s="1"/>
  <c r="S152" i="1"/>
  <c r="L152" i="1"/>
  <c r="O152" i="1" s="1"/>
  <c r="S151" i="1"/>
  <c r="L151" i="1"/>
  <c r="O151" i="1" s="1"/>
  <c r="S150" i="1"/>
  <c r="L150" i="1"/>
  <c r="O150" i="1" s="1"/>
  <c r="S149" i="1"/>
  <c r="L149" i="1"/>
  <c r="M149" i="1" s="1"/>
  <c r="S148" i="1"/>
  <c r="L148" i="1"/>
  <c r="O148" i="1" s="1"/>
  <c r="S147" i="1"/>
  <c r="L147" i="1"/>
  <c r="O147" i="1" s="1"/>
  <c r="S146" i="1"/>
  <c r="L146" i="1"/>
  <c r="O146" i="1" s="1"/>
  <c r="S145" i="1"/>
  <c r="L145" i="1"/>
  <c r="M145" i="1" s="1"/>
  <c r="S144" i="1"/>
  <c r="L144" i="1"/>
  <c r="M144" i="1" s="1"/>
  <c r="S143" i="1"/>
  <c r="L143" i="1"/>
  <c r="M143" i="1" s="1"/>
  <c r="S142" i="1"/>
  <c r="L142" i="1"/>
  <c r="M142" i="1" s="1"/>
  <c r="S141" i="1"/>
  <c r="L141" i="1"/>
  <c r="M141" i="1" s="1"/>
  <c r="S140" i="1"/>
  <c r="L140" i="1"/>
  <c r="O140" i="1" s="1"/>
  <c r="S139" i="1"/>
  <c r="L139" i="1"/>
  <c r="M139" i="1" s="1"/>
  <c r="S138" i="1"/>
  <c r="L138" i="1"/>
  <c r="O138" i="1" s="1"/>
  <c r="S137" i="1"/>
  <c r="L137" i="1"/>
  <c r="M137" i="1" s="1"/>
  <c r="S136" i="1"/>
  <c r="L136" i="1"/>
  <c r="M136" i="1" s="1"/>
  <c r="S135" i="1"/>
  <c r="L135" i="1"/>
  <c r="O135" i="1" s="1"/>
  <c r="S134" i="1"/>
  <c r="L134" i="1"/>
  <c r="O134" i="1" s="1"/>
  <c r="S133" i="1"/>
  <c r="L133" i="1"/>
  <c r="O133" i="1" s="1"/>
  <c r="S132" i="1"/>
  <c r="L132" i="1"/>
  <c r="O132" i="1" s="1"/>
  <c r="S131" i="1"/>
  <c r="L131" i="1"/>
  <c r="O131" i="1" s="1"/>
  <c r="S130" i="1"/>
  <c r="L130" i="1"/>
  <c r="O130" i="1" s="1"/>
  <c r="S129" i="1"/>
  <c r="L129" i="1"/>
  <c r="M129" i="1" s="1"/>
  <c r="S128" i="1"/>
  <c r="L128" i="1"/>
  <c r="O128" i="1" s="1"/>
  <c r="S127" i="1"/>
  <c r="L127" i="1"/>
  <c r="O127" i="1" s="1"/>
  <c r="S126" i="1"/>
  <c r="L126" i="1"/>
  <c r="M126" i="1" s="1"/>
  <c r="S125" i="1"/>
  <c r="L125" i="1"/>
  <c r="M125" i="1" s="1"/>
  <c r="S124" i="1"/>
  <c r="L124" i="1"/>
  <c r="O124" i="1" s="1"/>
  <c r="S123" i="1"/>
  <c r="L123" i="1"/>
  <c r="M123" i="1" s="1"/>
  <c r="S122" i="1"/>
  <c r="L122" i="1"/>
  <c r="M122" i="1" s="1"/>
  <c r="S121" i="1"/>
  <c r="L121" i="1"/>
  <c r="M121" i="1" s="1"/>
  <c r="S120" i="1"/>
  <c r="L120" i="1"/>
  <c r="O120" i="1" s="1"/>
  <c r="S119" i="1"/>
  <c r="L119" i="1"/>
  <c r="O119" i="1" s="1"/>
  <c r="S118" i="1"/>
  <c r="L118" i="1"/>
  <c r="O118" i="1" s="1"/>
  <c r="S117" i="1"/>
  <c r="L117" i="1"/>
  <c r="M117" i="1" s="1"/>
  <c r="S116" i="1"/>
  <c r="L116" i="1"/>
  <c r="O116" i="1" s="1"/>
  <c r="S115" i="1"/>
  <c r="L115" i="1"/>
  <c r="O115" i="1" s="1"/>
  <c r="S114" i="1"/>
  <c r="L114" i="1"/>
  <c r="O114" i="1" s="1"/>
  <c r="S113" i="1"/>
  <c r="L113" i="1"/>
  <c r="O113" i="1" s="1"/>
  <c r="S112" i="1"/>
  <c r="L112" i="1"/>
  <c r="O112" i="1" s="1"/>
  <c r="S111" i="1"/>
  <c r="L111" i="1"/>
  <c r="O111" i="1" s="1"/>
  <c r="S110" i="1"/>
  <c r="L110" i="1"/>
  <c r="O110" i="1" s="1"/>
  <c r="S109" i="1"/>
  <c r="L109" i="1"/>
  <c r="O109" i="1" s="1"/>
  <c r="S108" i="1"/>
  <c r="L108" i="1"/>
  <c r="O108" i="1" s="1"/>
  <c r="S107" i="1"/>
  <c r="L107" i="1"/>
  <c r="O107" i="1" s="1"/>
  <c r="S106" i="1"/>
  <c r="L106" i="1"/>
  <c r="O106" i="1" s="1"/>
  <c r="S105" i="1"/>
  <c r="L105" i="1"/>
  <c r="M105" i="1" s="1"/>
  <c r="S104" i="1"/>
  <c r="L104" i="1"/>
  <c r="M104" i="1" s="1"/>
  <c r="S103" i="1"/>
  <c r="L103" i="1"/>
  <c r="O103" i="1" s="1"/>
  <c r="S102" i="1"/>
  <c r="L102" i="1"/>
  <c r="M102" i="1" s="1"/>
  <c r="S101" i="1"/>
  <c r="L101" i="1"/>
  <c r="O101" i="1" s="1"/>
  <c r="S100" i="1"/>
  <c r="L100" i="1"/>
  <c r="M100" i="1" s="1"/>
  <c r="S99" i="1"/>
  <c r="L99" i="1"/>
  <c r="M99" i="1" s="1"/>
  <c r="S98" i="1"/>
  <c r="L98" i="1"/>
  <c r="M98" i="1" s="1"/>
  <c r="S97" i="1"/>
  <c r="L97" i="1"/>
  <c r="O97" i="1" s="1"/>
  <c r="S96" i="1"/>
  <c r="L96" i="1"/>
  <c r="O96" i="1" s="1"/>
  <c r="S95" i="1"/>
  <c r="L95" i="1"/>
  <c r="O95" i="1" s="1"/>
  <c r="S94" i="1"/>
  <c r="L94" i="1"/>
  <c r="O94" i="1" s="1"/>
  <c r="S93" i="1"/>
  <c r="L93" i="1"/>
  <c r="O93" i="1" s="1"/>
  <c r="S92" i="1"/>
  <c r="L92" i="1"/>
  <c r="O92" i="1" s="1"/>
  <c r="S91" i="1"/>
  <c r="L91" i="1"/>
  <c r="O91" i="1" s="1"/>
  <c r="S90" i="1"/>
  <c r="L90" i="1"/>
  <c r="O90" i="1" s="1"/>
  <c r="S89" i="1"/>
  <c r="L89" i="1"/>
  <c r="O89" i="1" s="1"/>
  <c r="S88" i="1"/>
  <c r="L88" i="1"/>
  <c r="O88" i="1" s="1"/>
  <c r="S87" i="1"/>
  <c r="L87" i="1"/>
  <c r="O87" i="1" s="1"/>
  <c r="S86" i="1"/>
  <c r="L86" i="1"/>
  <c r="M86" i="1" s="1"/>
  <c r="S85" i="1"/>
  <c r="L85" i="1"/>
  <c r="M85" i="1" s="1"/>
  <c r="S84" i="1"/>
  <c r="L84" i="1"/>
  <c r="O84" i="1" s="1"/>
  <c r="S83" i="1"/>
  <c r="L83" i="1"/>
  <c r="M83" i="1" s="1"/>
  <c r="S82" i="1"/>
  <c r="L82" i="1"/>
  <c r="M82" i="1" s="1"/>
  <c r="S81" i="1"/>
  <c r="L81" i="1"/>
  <c r="M81" i="1" s="1"/>
  <c r="S80" i="1"/>
  <c r="L80" i="1"/>
  <c r="O80" i="1" s="1"/>
  <c r="S79" i="1"/>
  <c r="L79" i="1"/>
  <c r="O79" i="1" s="1"/>
  <c r="S78" i="1"/>
  <c r="L78" i="1"/>
  <c r="O78" i="1" s="1"/>
  <c r="S77" i="1"/>
  <c r="L77" i="1"/>
  <c r="O77" i="1" s="1"/>
  <c r="S76" i="1"/>
  <c r="L76" i="1"/>
  <c r="O76" i="1" s="1"/>
  <c r="S75" i="1"/>
  <c r="L75" i="1"/>
  <c r="O75" i="1" s="1"/>
  <c r="S74" i="1"/>
  <c r="L74" i="1"/>
  <c r="O74" i="1" s="1"/>
  <c r="S73" i="1"/>
  <c r="L73" i="1"/>
  <c r="O73" i="1" s="1"/>
  <c r="S72" i="1"/>
  <c r="L72" i="1"/>
  <c r="O72" i="1" s="1"/>
  <c r="S71" i="1"/>
  <c r="L71" i="1"/>
  <c r="O71" i="1" s="1"/>
  <c r="S70" i="1"/>
  <c r="L70" i="1"/>
  <c r="O70" i="1" s="1"/>
  <c r="S69" i="1"/>
  <c r="L69" i="1"/>
  <c r="M69" i="1" s="1"/>
  <c r="S68" i="1"/>
  <c r="L68" i="1"/>
  <c r="O68" i="1" s="1"/>
  <c r="S67" i="1"/>
  <c r="L67" i="1"/>
  <c r="O67" i="1" s="1"/>
  <c r="S66" i="1"/>
  <c r="L66" i="1"/>
  <c r="M66" i="1" s="1"/>
  <c r="S65" i="1"/>
  <c r="L65" i="1"/>
  <c r="M65" i="1" s="1"/>
  <c r="S64" i="1"/>
  <c r="L64" i="1"/>
  <c r="O64" i="1" s="1"/>
  <c r="S63" i="1"/>
  <c r="L63" i="1"/>
  <c r="O63" i="1" s="1"/>
  <c r="S62" i="1"/>
  <c r="L62" i="1"/>
  <c r="M62" i="1" s="1"/>
  <c r="S61" i="1"/>
  <c r="L61" i="1"/>
  <c r="M61" i="1" s="1"/>
  <c r="S60" i="1"/>
  <c r="L60" i="1"/>
  <c r="M60" i="1" s="1"/>
  <c r="S59" i="1"/>
  <c r="L59" i="1"/>
  <c r="M59" i="1" s="1"/>
  <c r="S58" i="1"/>
  <c r="L58" i="1"/>
  <c r="M58" i="1" s="1"/>
  <c r="S57" i="1"/>
  <c r="L57" i="1"/>
  <c r="O57" i="1" s="1"/>
  <c r="S56" i="1"/>
  <c r="L56" i="1"/>
  <c r="M56" i="1" s="1"/>
  <c r="S55" i="1"/>
  <c r="L55" i="1"/>
  <c r="O55" i="1" s="1"/>
  <c r="S54" i="1"/>
  <c r="L54" i="1"/>
  <c r="O54" i="1" s="1"/>
  <c r="S53" i="1"/>
  <c r="L53" i="1"/>
  <c r="O53" i="1" s="1"/>
  <c r="S52" i="1"/>
  <c r="L52" i="1"/>
  <c r="O52" i="1" s="1"/>
  <c r="S51" i="1"/>
  <c r="L51" i="1"/>
  <c r="O51" i="1" s="1"/>
  <c r="S50" i="1"/>
  <c r="L50" i="1"/>
  <c r="O50" i="1" s="1"/>
  <c r="S49" i="1"/>
  <c r="L49" i="1"/>
  <c r="M49" i="1" s="1"/>
  <c r="S48" i="1"/>
  <c r="L48" i="1"/>
  <c r="O48" i="1" s="1"/>
  <c r="S47" i="1"/>
  <c r="L47" i="1"/>
  <c r="O47" i="1" s="1"/>
  <c r="S46" i="1"/>
  <c r="L46" i="1"/>
  <c r="M46" i="1" s="1"/>
  <c r="S45" i="1"/>
  <c r="L45" i="1"/>
  <c r="M45" i="1" s="1"/>
  <c r="S44" i="1"/>
  <c r="L44" i="1"/>
  <c r="O44" i="1" s="1"/>
  <c r="S43" i="1"/>
  <c r="L43" i="1"/>
  <c r="M43" i="1" s="1"/>
  <c r="S42" i="1"/>
  <c r="L42" i="1"/>
  <c r="M42" i="1" s="1"/>
  <c r="S41" i="1"/>
  <c r="L41" i="1"/>
  <c r="M41" i="1" s="1"/>
  <c r="S40" i="1"/>
  <c r="L40" i="1"/>
  <c r="O40" i="1" s="1"/>
  <c r="S39" i="1"/>
  <c r="L39" i="1"/>
  <c r="O39" i="1" s="1"/>
  <c r="S38" i="1"/>
  <c r="L38" i="1"/>
  <c r="O38" i="1" s="1"/>
  <c r="S37" i="1"/>
  <c r="L37" i="1"/>
  <c r="O37" i="1" s="1"/>
  <c r="S36" i="1"/>
  <c r="L36" i="1"/>
  <c r="O36" i="1" s="1"/>
  <c r="S35" i="1"/>
  <c r="L35" i="1"/>
  <c r="O35" i="1" s="1"/>
  <c r="S34" i="1"/>
  <c r="L34" i="1"/>
  <c r="O34" i="1" s="1"/>
  <c r="S33" i="1"/>
  <c r="L33" i="1"/>
  <c r="S32" i="1"/>
  <c r="L32" i="1"/>
  <c r="O32" i="1" s="1"/>
  <c r="S31" i="1"/>
  <c r="L31" i="1"/>
  <c r="M31" i="1" s="1"/>
  <c r="S30" i="1"/>
  <c r="L30" i="1"/>
  <c r="O30" i="1" s="1"/>
  <c r="S29" i="1"/>
  <c r="L29" i="1"/>
  <c r="O29" i="1" s="1"/>
  <c r="S28" i="1"/>
  <c r="L28" i="1"/>
  <c r="M28" i="1" s="1"/>
  <c r="S27" i="1"/>
  <c r="L27" i="1"/>
  <c r="O27" i="1" s="1"/>
  <c r="S26" i="1"/>
  <c r="L26" i="1"/>
  <c r="M26" i="1" s="1"/>
  <c r="S25" i="1"/>
  <c r="L25" i="1"/>
  <c r="M25" i="1" s="1"/>
  <c r="S24" i="1"/>
  <c r="L24" i="1"/>
  <c r="O24" i="1" s="1"/>
  <c r="S23" i="1"/>
  <c r="L23" i="1"/>
  <c r="O23" i="1" s="1"/>
  <c r="S22" i="1"/>
  <c r="L22" i="1"/>
  <c r="M22" i="1" s="1"/>
  <c r="S21" i="1"/>
  <c r="L21" i="1"/>
  <c r="M21" i="1" s="1"/>
  <c r="S20" i="1"/>
  <c r="L20" i="1"/>
  <c r="M20" i="1" s="1"/>
  <c r="S19" i="1"/>
  <c r="S18" i="1"/>
  <c r="M18" i="1"/>
  <c r="S17" i="1"/>
  <c r="O17" i="1"/>
  <c r="S16" i="1"/>
  <c r="S15" i="1"/>
  <c r="O15" i="1"/>
  <c r="S14" i="1"/>
  <c r="O14" i="1"/>
  <c r="S13" i="1"/>
  <c r="S12" i="1"/>
  <c r="O12" i="1"/>
  <c r="S11" i="1"/>
  <c r="M11" i="1"/>
  <c r="S10" i="1"/>
  <c r="O10" i="1"/>
  <c r="S9" i="1"/>
  <c r="O9" i="1"/>
  <c r="S8" i="1"/>
  <c r="O8" i="1"/>
  <c r="A8" i="1"/>
  <c r="A13" i="1" s="1"/>
  <c r="A18" i="1" s="1"/>
  <c r="A23" i="1" s="1"/>
  <c r="A28" i="1" s="1"/>
  <c r="A33" i="1" s="1"/>
  <c r="A38" i="1" s="1"/>
  <c r="A43" i="1" s="1"/>
  <c r="A48" i="1" s="1"/>
  <c r="A53" i="1" s="1"/>
  <c r="A58" i="1" s="1"/>
  <c r="A63" i="1" s="1"/>
  <c r="A68" i="1" s="1"/>
  <c r="A73" i="1" s="1"/>
  <c r="A78" i="1" s="1"/>
  <c r="A83" i="1" s="1"/>
  <c r="A88" i="1" s="1"/>
  <c r="A93" i="1" s="1"/>
  <c r="A98" i="1" s="1"/>
  <c r="A103" i="1" s="1"/>
  <c r="A108" i="1" s="1"/>
  <c r="A113" i="1" s="1"/>
  <c r="A118" i="1" s="1"/>
  <c r="A123" i="1" s="1"/>
  <c r="A128" i="1" s="1"/>
  <c r="A133" i="1" s="1"/>
  <c r="A138" i="1" s="1"/>
  <c r="A143" i="1" s="1"/>
  <c r="A148" i="1" s="1"/>
  <c r="A153" i="1" s="1"/>
  <c r="A158" i="1" s="1"/>
  <c r="A163" i="1" s="1"/>
  <c r="A168" i="1" s="1"/>
  <c r="A173" i="1" s="1"/>
  <c r="A178" i="1" s="1"/>
  <c r="A183" i="1" s="1"/>
  <c r="S7" i="1"/>
  <c r="O7" i="1"/>
  <c r="S6" i="1"/>
  <c r="O6" i="1"/>
  <c r="S5" i="1"/>
  <c r="M5" i="1"/>
  <c r="S4" i="1"/>
  <c r="O4" i="1"/>
  <c r="S3" i="1"/>
  <c r="O3" i="1"/>
  <c r="J6" i="1" l="1"/>
  <c r="J11" i="1"/>
  <c r="J7" i="1"/>
  <c r="J34" i="1"/>
  <c r="J29" i="1"/>
  <c r="J28" i="1"/>
  <c r="J20" i="1"/>
  <c r="J19" i="1"/>
  <c r="J18" i="1"/>
  <c r="J15" i="1"/>
  <c r="J14" i="1"/>
  <c r="J13" i="1"/>
  <c r="J10" i="1"/>
  <c r="J9" i="1"/>
  <c r="J8" i="1"/>
  <c r="J5" i="1"/>
  <c r="J4" i="1"/>
  <c r="O143" i="1"/>
  <c r="O66" i="1"/>
  <c r="O141" i="1"/>
  <c r="O182" i="1"/>
  <c r="O121" i="1"/>
  <c r="M17" i="1"/>
  <c r="O160" i="1"/>
  <c r="O181" i="1"/>
  <c r="M140" i="1"/>
  <c r="M157" i="1"/>
  <c r="M138" i="1"/>
  <c r="O100" i="1"/>
  <c r="O183" i="1"/>
  <c r="O26" i="1"/>
  <c r="O161" i="1"/>
  <c r="O184" i="1"/>
  <c r="O137" i="1"/>
  <c r="O18" i="1"/>
  <c r="O46" i="1"/>
  <c r="O65" i="1"/>
  <c r="O149" i="1"/>
  <c r="P148" i="1" s="1"/>
  <c r="M177" i="1"/>
  <c r="O60" i="1"/>
  <c r="O129" i="1"/>
  <c r="P128" i="1" s="1"/>
  <c r="M118" i="1"/>
  <c r="O144" i="1"/>
  <c r="O158" i="1"/>
  <c r="O58" i="1"/>
  <c r="M120" i="1"/>
  <c r="M37" i="1"/>
  <c r="M77" i="1"/>
  <c r="M9" i="1"/>
  <c r="O163" i="1"/>
  <c r="O20" i="1"/>
  <c r="O86" i="1"/>
  <c r="O142" i="1"/>
  <c r="O45" i="1"/>
  <c r="O85" i="1"/>
  <c r="M97" i="1"/>
  <c r="O123" i="1"/>
  <c r="O98" i="1"/>
  <c r="O25" i="1"/>
  <c r="O117" i="1"/>
  <c r="P113" i="1" s="1"/>
  <c r="O169" i="1"/>
  <c r="P168" i="1" s="1"/>
  <c r="O185" i="1"/>
  <c r="M4" i="1"/>
  <c r="M23" i="1"/>
  <c r="M38" i="1"/>
  <c r="M40" i="1"/>
  <c r="M57" i="1"/>
  <c r="M78" i="1"/>
  <c r="M103" i="1"/>
  <c r="M124" i="1"/>
  <c r="M162" i="1"/>
  <c r="N158" i="1" s="1"/>
  <c r="M164" i="1"/>
  <c r="O21" i="1"/>
  <c r="M29" i="1"/>
  <c r="M63" i="1"/>
  <c r="O145" i="1"/>
  <c r="O42" i="1"/>
  <c r="M44" i="1"/>
  <c r="O61" i="1"/>
  <c r="O69" i="1"/>
  <c r="P68" i="1" s="1"/>
  <c r="O82" i="1"/>
  <c r="M84" i="1"/>
  <c r="O105" i="1"/>
  <c r="O126" i="1"/>
  <c r="O166" i="1"/>
  <c r="N58" i="1"/>
  <c r="M80" i="1"/>
  <c r="M101" i="1"/>
  <c r="N98" i="1" s="1"/>
  <c r="M109" i="1"/>
  <c r="M6" i="1"/>
  <c r="O122" i="1"/>
  <c r="M178" i="1"/>
  <c r="M180" i="1"/>
  <c r="M146" i="1"/>
  <c r="M165" i="1"/>
  <c r="M24" i="1"/>
  <c r="O41" i="1"/>
  <c r="O43" i="1"/>
  <c r="O49" i="1"/>
  <c r="P48" i="1" s="1"/>
  <c r="O62" i="1"/>
  <c r="M64" i="1"/>
  <c r="O81" i="1"/>
  <c r="O83" i="1"/>
  <c r="O104" i="1"/>
  <c r="M106" i="1"/>
  <c r="O125" i="1"/>
  <c r="O5" i="1"/>
  <c r="P3" i="1" s="1"/>
  <c r="O22" i="1"/>
  <c r="M89" i="1"/>
  <c r="O102" i="1"/>
  <c r="O33" i="1"/>
  <c r="P33" i="1" s="1"/>
  <c r="M33" i="1"/>
  <c r="O16" i="1"/>
  <c r="M16" i="1"/>
  <c r="P88" i="1"/>
  <c r="O19" i="1"/>
  <c r="M19" i="1"/>
  <c r="N18" i="1" s="1"/>
  <c r="O13" i="1"/>
  <c r="M13" i="1"/>
  <c r="P73" i="1"/>
  <c r="P93" i="1"/>
  <c r="P108" i="1"/>
  <c r="M36" i="1"/>
  <c r="M39" i="1"/>
  <c r="M79" i="1"/>
  <c r="M93" i="1"/>
  <c r="M73" i="1"/>
  <c r="M76" i="1"/>
  <c r="M96" i="1"/>
  <c r="M113" i="1"/>
  <c r="M116" i="1"/>
  <c r="M119" i="1"/>
  <c r="M176" i="1"/>
  <c r="M179" i="1"/>
  <c r="M12" i="1"/>
  <c r="M52" i="1"/>
  <c r="O56" i="1"/>
  <c r="P53" i="1" s="1"/>
  <c r="M72" i="1"/>
  <c r="M75" i="1"/>
  <c r="M92" i="1"/>
  <c r="M95" i="1"/>
  <c r="O99" i="1"/>
  <c r="M112" i="1"/>
  <c r="M115" i="1"/>
  <c r="M132" i="1"/>
  <c r="M135" i="1"/>
  <c r="O136" i="1"/>
  <c r="O139" i="1"/>
  <c r="M152" i="1"/>
  <c r="M155" i="1"/>
  <c r="O156" i="1"/>
  <c r="O159" i="1"/>
  <c r="M172" i="1"/>
  <c r="M175" i="1"/>
  <c r="M133" i="1"/>
  <c r="M3" i="1"/>
  <c r="M15" i="1"/>
  <c r="M35" i="1"/>
  <c r="O59" i="1"/>
  <c r="M8" i="1"/>
  <c r="M14" i="1"/>
  <c r="M34" i="1"/>
  <c r="M51" i="1"/>
  <c r="M68" i="1"/>
  <c r="M71" i="1"/>
  <c r="M74" i="1"/>
  <c r="M88" i="1"/>
  <c r="M91" i="1"/>
  <c r="M94" i="1"/>
  <c r="M108" i="1"/>
  <c r="M111" i="1"/>
  <c r="M114" i="1"/>
  <c r="M128" i="1"/>
  <c r="M131" i="1"/>
  <c r="M134" i="1"/>
  <c r="M148" i="1"/>
  <c r="M151" i="1"/>
  <c r="O153" i="1"/>
  <c r="M154" i="1"/>
  <c r="M168" i="1"/>
  <c r="M171" i="1"/>
  <c r="O173" i="1"/>
  <c r="P173" i="1" s="1"/>
  <c r="M174" i="1"/>
  <c r="M53" i="1"/>
  <c r="M32" i="1"/>
  <c r="M55" i="1"/>
  <c r="M48" i="1"/>
  <c r="M54" i="1"/>
  <c r="M7" i="1"/>
  <c r="M10" i="1"/>
  <c r="O11" i="1"/>
  <c r="P8" i="1" s="1"/>
  <c r="M27" i="1"/>
  <c r="M30" i="1"/>
  <c r="O31" i="1"/>
  <c r="M47" i="1"/>
  <c r="M50" i="1"/>
  <c r="M67" i="1"/>
  <c r="M70" i="1"/>
  <c r="M87" i="1"/>
  <c r="M90" i="1"/>
  <c r="M107" i="1"/>
  <c r="M110" i="1"/>
  <c r="M127" i="1"/>
  <c r="M130" i="1"/>
  <c r="M147" i="1"/>
  <c r="M150" i="1"/>
  <c r="M167" i="1"/>
  <c r="M170" i="1"/>
  <c r="M187" i="1"/>
  <c r="O28" i="1"/>
  <c r="M186" i="1"/>
  <c r="P178" i="1" l="1"/>
  <c r="P138" i="1"/>
  <c r="N163" i="1"/>
  <c r="N138" i="1"/>
  <c r="P118" i="1"/>
  <c r="N43" i="1"/>
  <c r="P43" i="1"/>
  <c r="N123" i="1"/>
  <c r="P163" i="1"/>
  <c r="N78" i="1"/>
  <c r="P38" i="1"/>
  <c r="P63" i="1"/>
  <c r="P18" i="1"/>
  <c r="Q18" i="1" s="1"/>
  <c r="P23" i="1"/>
  <c r="P133" i="1"/>
  <c r="P103" i="1"/>
  <c r="N133" i="1"/>
  <c r="N118" i="1"/>
  <c r="N153" i="1"/>
  <c r="P28" i="1"/>
  <c r="N38" i="1"/>
  <c r="N143" i="1"/>
  <c r="P183" i="1"/>
  <c r="P78" i="1"/>
  <c r="N63" i="1"/>
  <c r="P143" i="1"/>
  <c r="P123" i="1"/>
  <c r="N148" i="1"/>
  <c r="Q148" i="1" s="1"/>
  <c r="N68" i="1"/>
  <c r="Q68" i="1" s="1"/>
  <c r="P158" i="1"/>
  <c r="Q158" i="1" s="1"/>
  <c r="N183" i="1"/>
  <c r="N48" i="1"/>
  <c r="Q48" i="1" s="1"/>
  <c r="P83" i="1"/>
  <c r="N83" i="1"/>
  <c r="P153" i="1"/>
  <c r="P98" i="1"/>
  <c r="Q98" i="1" s="1"/>
  <c r="N103" i="1"/>
  <c r="N8" i="1"/>
  <c r="Q8" i="1" s="1"/>
  <c r="N173" i="1"/>
  <c r="Q173" i="1" s="1"/>
  <c r="P58" i="1"/>
  <c r="Q58" i="1" s="1"/>
  <c r="N178" i="1"/>
  <c r="N28" i="1"/>
  <c r="N23" i="1"/>
  <c r="N3" i="1"/>
  <c r="Q3" i="1" s="1"/>
  <c r="N168" i="1"/>
  <c r="Q168" i="1" s="1"/>
  <c r="N108" i="1"/>
  <c r="Q108" i="1" s="1"/>
  <c r="N113" i="1"/>
  <c r="Q113" i="1" s="1"/>
  <c r="N53" i="1"/>
  <c r="Q53" i="1" s="1"/>
  <c r="N88" i="1"/>
  <c r="Q88" i="1" s="1"/>
  <c r="N73" i="1"/>
  <c r="Q73" i="1" s="1"/>
  <c r="N93" i="1"/>
  <c r="Q93" i="1" s="1"/>
  <c r="N13" i="1"/>
  <c r="N33" i="1"/>
  <c r="Q33" i="1" s="1"/>
  <c r="N128" i="1"/>
  <c r="Q128" i="1" s="1"/>
  <c r="P13" i="1"/>
  <c r="Q23" i="1" l="1"/>
  <c r="Q178" i="1"/>
  <c r="Q163" i="1"/>
  <c r="Q118" i="1"/>
  <c r="Q78" i="1"/>
  <c r="Q123" i="1"/>
  <c r="Q103" i="1"/>
  <c r="Q43" i="1"/>
  <c r="Q138" i="1"/>
  <c r="Q63" i="1"/>
  <c r="Q183" i="1"/>
  <c r="Q13" i="1"/>
  <c r="Q38" i="1"/>
  <c r="Q133" i="1"/>
  <c r="Q153" i="1"/>
  <c r="Q83" i="1"/>
  <c r="Q28" i="1"/>
  <c r="Q143" i="1"/>
  <c r="W3" i="1"/>
  <c r="V3" i="1"/>
  <c r="X3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3" authorId="0" shapeId="0" xr:uid="{809831CD-F56E-4F2F-9BF8-119C6433962F}">
      <text>
        <r>
          <rPr>
            <b/>
            <sz val="12"/>
            <color indexed="81"/>
            <rFont val="Tahoma"/>
            <family val="2"/>
          </rPr>
          <t>Insert Pictures</t>
        </r>
        <r>
          <rPr>
            <b/>
            <sz val="11"/>
            <color indexed="81"/>
            <rFont val="Tahoma"/>
            <family val="2"/>
          </rPr>
          <t xml:space="preserve">
1.Click Here
2.Control + Shift + I
3.Select all pictures
</t>
        </r>
      </text>
    </comment>
  </commentList>
</comments>
</file>

<file path=xl/sharedStrings.xml><?xml version="1.0" encoding="utf-8"?>
<sst xmlns="http://schemas.openxmlformats.org/spreadsheetml/2006/main" count="61" uniqueCount="52">
  <si>
    <t>SKU</t>
  </si>
  <si>
    <t>SIZE</t>
  </si>
  <si>
    <t>CNY</t>
  </si>
  <si>
    <t>THB</t>
  </si>
  <si>
    <t>Rate Price</t>
  </si>
  <si>
    <t>rate</t>
  </si>
  <si>
    <t xml:space="preserve">exchange </t>
  </si>
  <si>
    <t>NO.</t>
  </si>
  <si>
    <t xml:space="preserve">Picture </t>
  </si>
  <si>
    <t>SALE</t>
  </si>
  <si>
    <t>Description</t>
  </si>
  <si>
    <t xml:space="preserve"> Order </t>
  </si>
  <si>
    <t xml:space="preserve">Incoming </t>
  </si>
  <si>
    <t>Check Order</t>
  </si>
  <si>
    <t>Date</t>
  </si>
  <si>
    <t>CODE</t>
  </si>
  <si>
    <t>QTY</t>
  </si>
  <si>
    <t xml:space="preserve"> Incoming </t>
  </si>
  <si>
    <t>Order</t>
  </si>
  <si>
    <t>Difference</t>
  </si>
  <si>
    <t>PO</t>
  </si>
  <si>
    <t>No Size</t>
  </si>
  <si>
    <t>Income</t>
  </si>
  <si>
    <t>23/12/2021</t>
  </si>
  <si>
    <t>ชุดนอนผ้าเยื่อไผ่ กระโปรง</t>
  </si>
  <si>
    <t>ชุดนอนผ้าเยื่อไผ่ แขนสั้นขาห้าส่วน</t>
  </si>
  <si>
    <t>ชุดนอน silk satin เดรส</t>
  </si>
  <si>
    <t>ชุดนอน silk satin แขนสั้นขาสั้น</t>
  </si>
  <si>
    <t>ชุดนอน silk satin แขนสั้นขายาว</t>
  </si>
  <si>
    <t>ชุคนอน silk satn แขนยาวขายาว</t>
  </si>
  <si>
    <t>ชุดนอน silk satin แขนยาวขาสั้น</t>
  </si>
  <si>
    <t>ชุดนอนผู้ชาย Y</t>
  </si>
  <si>
    <t>ชุดนอนผ้าเยื่อไผ่ แขนสั้นขาสี่ส่วน</t>
  </si>
  <si>
    <t>ชุดนอนผ้าเยื่อไผ่ แขนสั้นขาสั้น</t>
  </si>
  <si>
    <t>ชุดนอนผ้าเยื่อไผ่ แขนสั้นขายาว</t>
  </si>
  <si>
    <t>ชุดนอนผ้าเยื่อไผ่ แขนยาวขายาว</t>
  </si>
  <si>
    <t>ชุดนอน High End</t>
  </si>
  <si>
    <t>SP0957</t>
  </si>
  <si>
    <t>SP0958</t>
  </si>
  <si>
    <t>M</t>
  </si>
  <si>
    <t>L</t>
  </si>
  <si>
    <t>ซาติน แขนยาวขายาว แมวเทา พื้นฟ้า M (กปก)</t>
  </si>
  <si>
    <t>ซาติน แขนยาวขายาว แมวเทา พื้นฟ้า L (กปก)</t>
  </si>
  <si>
    <t>ซาติน แขนยาวขายาว จุดขาว พื้นเขียว M (กปก)</t>
  </si>
  <si>
    <t>ซาติน แขนยาวขายาว จุดขาว พื้นเขียว L (กปก)</t>
  </si>
  <si>
    <t>SK0344</t>
  </si>
  <si>
    <t>SK0345</t>
  </si>
  <si>
    <t>ซาติน เดรส แขนห้าส่วน พื้นดำ กระเป๋าลาย M</t>
  </si>
  <si>
    <t>ซาติน เดรส แขนห้าส่วน พื้นดำ กระเป๋าลาย L</t>
  </si>
  <si>
    <t>ซาติน เดรส แขนห้าส่วน พื้นขาว กระเป๋าลาย M</t>
  </si>
  <si>
    <t>ซาติน เดรส แขนห้าส่วน พื้นขาว กระเป๋าลาย L</t>
  </si>
  <si>
    <t>78647293395246 po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</si>
</sst>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4">
    <font>
      <sz val="11"/>
      <color theme="1"/>
      <name val="Calibri"/>
      <family val="2"/>
      <charset val="222"/>
      <scheme val="minor"/>
    </font>
    <font>
      <sz val="11"/>
      <color theme="1"/>
      <name val="Calibri"/>
      <family val="2"/>
      <charset val="222"/>
      <scheme val="minor"/>
    </font>
    <font>
      <sz val="11"/>
      <color rgb="FF006100"/>
      <name val="Calibri"/>
      <family val="2"/>
      <charset val="222"/>
      <scheme val="minor"/>
    </font>
    <font>
      <sz val="11"/>
      <color rgb="FF9C0006"/>
      <name val="Calibri"/>
      <family val="2"/>
      <charset val="22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theme="1"/>
      <name val="Calibri Light"/>
      <family val="2"/>
      <charset val="222"/>
      <scheme val="major"/>
    </font>
    <font>
      <b/>
      <sz val="15"/>
      <color theme="3"/>
      <name val="Calibri"/>
      <family val="2"/>
      <charset val="222"/>
      <scheme val="minor"/>
    </font>
    <font>
      <b/>
      <sz val="13"/>
      <color theme="3"/>
      <name val="Calibri"/>
      <family val="2"/>
      <charset val="222"/>
      <scheme val="minor"/>
    </font>
    <font>
      <b/>
      <sz val="11"/>
      <color theme="3"/>
      <name val="Calibri"/>
      <family val="2"/>
      <charset val="222"/>
      <scheme val="minor"/>
    </font>
    <font>
      <sz val="20"/>
      <color rgb="FF9C5700"/>
      <name val="Calibri"/>
      <family val="2"/>
      <scheme val="minor"/>
    </font>
    <font>
      <b/>
      <sz val="12"/>
      <color theme="3"/>
      <name val="Calibri"/>
      <family val="2"/>
      <charset val="222"/>
      <scheme val="minor"/>
    </font>
    <font>
      <b/>
      <sz val="14"/>
      <color theme="3"/>
      <name val="Calibri"/>
      <family val="2"/>
      <charset val="222"/>
      <scheme val="minor"/>
    </font>
    <font>
      <b/>
      <sz val="12"/>
      <color theme="3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b/>
      <sz val="16"/>
      <color theme="3"/>
      <name val="Calibri"/>
      <family val="2"/>
      <charset val="222"/>
      <scheme val="minor"/>
    </font>
    <font>
      <b/>
      <sz val="14"/>
      <color theme="4" tint="-0.499984740745262"/>
      <name val="Calibri"/>
      <family val="2"/>
      <scheme val="minor"/>
    </font>
    <font>
      <sz val="8"/>
      <name val="Calibri"/>
      <family val="2"/>
      <charset val="222"/>
      <scheme val="minor"/>
    </font>
    <font>
      <b/>
      <sz val="24"/>
      <color theme="4" tint="-0.499984740745262"/>
      <name val="Calibri"/>
      <family val="2"/>
      <scheme val="minor"/>
    </font>
    <font>
      <sz val="16"/>
      <color theme="1"/>
      <name val="Calibri"/>
      <family val="2"/>
      <charset val="222"/>
      <scheme val="minor"/>
    </font>
    <font>
      <b/>
      <sz val="18"/>
      <color theme="3"/>
      <name val="Calibri"/>
      <family val="2"/>
      <charset val="222"/>
      <scheme val="minor"/>
    </font>
    <font>
      <b/>
      <sz val="26"/>
      <color theme="4" tint="-0.499984740745262"/>
      <name val="Calibri"/>
      <family val="2"/>
      <scheme val="minor"/>
    </font>
    <font>
      <b/>
      <sz val="36"/>
      <color rgb="FFFF0000"/>
      <name val="Calibri"/>
      <family val="2"/>
      <scheme val="minor"/>
    </font>
    <font>
      <sz val="11"/>
      <color rgb="FFFF0000"/>
      <name val="Calibri"/>
      <family val="2"/>
      <charset val="222"/>
      <scheme val="minor"/>
    </font>
    <font>
      <b/>
      <sz val="28"/>
      <color theme="8" tint="-0.499984740745262"/>
      <name val="Calibri"/>
      <family val="2"/>
      <scheme val="minor"/>
    </font>
    <font>
      <b/>
      <sz val="28"/>
      <color theme="5" tint="-0.249977111117893"/>
      <name val="Calibri"/>
      <family val="2"/>
      <scheme val="minor"/>
    </font>
    <font>
      <b/>
      <sz val="26"/>
      <color rgb="FF9C0006"/>
      <name val="Calibri"/>
      <family val="2"/>
      <scheme val="minor"/>
    </font>
    <font>
      <sz val="18"/>
      <color theme="8" tint="-0.499984740745262"/>
      <name val="Calibri"/>
      <family val="2"/>
      <scheme val="minor"/>
    </font>
    <font>
      <sz val="18"/>
      <color theme="5" tint="-0.249977111117893"/>
      <name val="Calibri"/>
      <family val="2"/>
      <scheme val="minor"/>
    </font>
    <font>
      <sz val="18"/>
      <color rgb="FF9C0006"/>
      <name val="Calibri"/>
      <family val="2"/>
      <charset val="222"/>
      <scheme val="minor"/>
    </font>
    <font>
      <sz val="11"/>
      <color theme="9" tint="-0.249977111117893"/>
      <name val="Calibri"/>
      <family val="2"/>
      <charset val="222"/>
      <scheme val="minor"/>
    </font>
    <font>
      <b/>
      <sz val="11"/>
      <color indexed="81"/>
      <name val="Tahoma"/>
      <family val="2"/>
    </font>
    <font>
      <b/>
      <sz val="12"/>
      <color indexed="81"/>
      <name val="Tahoma"/>
      <family val="2"/>
    </font>
  </fonts>
  <fills count="1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theme="4" tint="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theme="4" tint="0.3999755851924192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4">
    <xf numFmtId="0" fontId="0" fillId="0" borderId="0"/>
    <xf numFmtId="0" fontId="1" fillId="5" borderId="0" applyNumberFormat="0" applyBorder="0" applyAlignment="0" applyProtection="0"/>
    <xf numFmtId="0" fontId="4" fillId="0" borderId="0"/>
    <xf numFmtId="0" fontId="5" fillId="2" borderId="0" applyNumberFormat="0" applyBorder="0" applyAlignment="0" applyProtection="0"/>
    <xf numFmtId="0" fontId="6" fillId="4" borderId="0" applyNumberFormat="0" applyBorder="0" applyAlignment="0" applyProtection="0"/>
    <xf numFmtId="0" fontId="1" fillId="0" borderId="0"/>
    <xf numFmtId="0" fontId="3" fillId="3" borderId="0" applyNumberFormat="0" applyBorder="0" applyAlignment="0" applyProtection="0"/>
    <xf numFmtId="0" fontId="2" fillId="2" borderId="0" applyNumberFormat="0" applyBorder="0" applyAlignment="0" applyProtection="0"/>
    <xf numFmtId="43" fontId="1" fillId="0" borderId="0" applyFont="0" applyFill="0" applyBorder="0" applyAlignment="0" applyProtection="0"/>
    <xf numFmtId="0" fontId="8" fillId="0" borderId="24" applyNumberFormat="0" applyFill="0" applyAlignment="0" applyProtection="0"/>
    <xf numFmtId="0" fontId="9" fillId="0" borderId="25" applyNumberFormat="0" applyFill="0" applyAlignment="0" applyProtection="0"/>
    <xf numFmtId="0" fontId="10" fillId="0" borderId="26" applyNumberFormat="0" applyFill="0" applyAlignment="0" applyProtection="0"/>
    <xf numFmtId="0" fontId="1" fillId="8" borderId="0" applyNumberFormat="0" applyBorder="0" applyAlignment="0" applyProtection="0"/>
    <xf numFmtId="0" fontId="1" fillId="0" borderId="0"/>
  </cellStyleXfs>
  <cellXfs count="142">
    <xf numFmtId="0" fontId="0" fillId="0" borderId="0" xfId="0"/>
    <xf numFmtId="0" fontId="0" fillId="0" borderId="0" xfId="0" applyProtection="1">
      <protection locked="0"/>
    </xf>
    <xf numFmtId="0" fontId="7" fillId="0" borderId="33" xfId="5" applyFont="1" applyBorder="1" applyAlignment="1" applyProtection="1">
      <alignment horizontal="left"/>
      <protection locked="0"/>
    </xf>
    <xf numFmtId="0" fontId="0" fillId="5" borderId="7" xfId="1" applyFont="1" applyBorder="1" applyAlignment="1" applyProtection="1">
      <alignment horizontal="center" vertical="center"/>
      <protection locked="0"/>
    </xf>
    <xf numFmtId="0" fontId="1" fillId="5" borderId="7" xfId="1" applyBorder="1" applyAlignment="1" applyProtection="1">
      <alignment horizontal="center" vertical="center"/>
      <protection locked="0"/>
    </xf>
    <xf numFmtId="0" fontId="7" fillId="0" borderId="32" xfId="5" applyFont="1" applyBorder="1" applyAlignment="1" applyProtection="1">
      <alignment horizontal="left"/>
      <protection locked="0"/>
    </xf>
    <xf numFmtId="0" fontId="0" fillId="5" borderId="10" xfId="1" applyFont="1" applyBorder="1" applyAlignment="1" applyProtection="1">
      <alignment horizontal="center" vertical="center"/>
      <protection locked="0"/>
    </xf>
    <xf numFmtId="0" fontId="1" fillId="5" borderId="10" xfId="1" applyBorder="1" applyAlignment="1" applyProtection="1">
      <alignment horizontal="center" vertical="center"/>
      <protection locked="0"/>
    </xf>
    <xf numFmtId="0" fontId="7" fillId="0" borderId="34" xfId="5" applyFont="1" applyBorder="1" applyAlignment="1" applyProtection="1">
      <alignment horizontal="left"/>
      <protection locked="0"/>
    </xf>
    <xf numFmtId="0" fontId="0" fillId="5" borderId="13" xfId="1" applyFont="1" applyBorder="1" applyAlignment="1" applyProtection="1">
      <alignment horizontal="center" vertical="center"/>
      <protection locked="0"/>
    </xf>
    <xf numFmtId="0" fontId="1" fillId="5" borderId="13" xfId="1" applyBorder="1" applyAlignment="1" applyProtection="1">
      <alignment horizontal="center" vertical="center"/>
      <protection locked="0"/>
    </xf>
    <xf numFmtId="0" fontId="7" fillId="0" borderId="35" xfId="5" applyFont="1" applyBorder="1" applyAlignment="1" applyProtection="1">
      <alignment horizontal="left"/>
      <protection locked="0"/>
    </xf>
    <xf numFmtId="0" fontId="1" fillId="5" borderId="12" xfId="1" applyBorder="1" applyAlignment="1" applyProtection="1">
      <alignment horizontal="center" vertical="center"/>
      <protection locked="0"/>
    </xf>
    <xf numFmtId="0" fontId="0" fillId="5" borderId="8" xfId="1" applyFont="1" applyBorder="1" applyAlignment="1" applyProtection="1">
      <alignment horizontal="center" vertical="center"/>
      <protection locked="0"/>
    </xf>
    <xf numFmtId="0" fontId="1" fillId="5" borderId="8" xfId="1" applyBorder="1" applyAlignment="1" applyProtection="1">
      <alignment horizontal="center" vertical="center"/>
      <protection locked="0"/>
    </xf>
    <xf numFmtId="0" fontId="1" fillId="5" borderId="0" xfId="1" applyBorder="1" applyAlignment="1" applyProtection="1">
      <alignment horizontal="center" vertical="center"/>
      <protection locked="0"/>
    </xf>
    <xf numFmtId="43" fontId="1" fillId="7" borderId="0" xfId="8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/>
      <protection locked="0"/>
    </xf>
    <xf numFmtId="0" fontId="1" fillId="5" borderId="0" xfId="1" applyAlignment="1" applyProtection="1">
      <alignment horizontal="center" vertical="center"/>
      <protection locked="0"/>
    </xf>
    <xf numFmtId="43" fontId="1" fillId="7" borderId="0" xfId="8" applyFill="1" applyAlignment="1" applyProtection="1">
      <alignment horizontal="center" vertical="center"/>
      <protection locked="0"/>
    </xf>
    <xf numFmtId="0" fontId="1" fillId="8" borderId="7" xfId="12" applyBorder="1" applyAlignment="1" applyProtection="1">
      <alignment horizontal="center" vertical="center"/>
      <protection locked="0"/>
    </xf>
    <xf numFmtId="0" fontId="1" fillId="8" borderId="10" xfId="12" applyBorder="1" applyAlignment="1" applyProtection="1">
      <alignment horizontal="center" vertical="center"/>
      <protection locked="0"/>
    </xf>
    <xf numFmtId="0" fontId="1" fillId="8" borderId="13" xfId="12" applyBorder="1" applyAlignment="1" applyProtection="1">
      <alignment horizontal="center" vertical="center"/>
      <protection locked="0"/>
    </xf>
    <xf numFmtId="0" fontId="1" fillId="8" borderId="12" xfId="12" applyBorder="1" applyAlignment="1" applyProtection="1">
      <alignment horizontal="center" vertical="center"/>
      <protection locked="0"/>
    </xf>
    <xf numFmtId="0" fontId="1" fillId="8" borderId="8" xfId="12" applyBorder="1" applyAlignment="1" applyProtection="1">
      <alignment horizontal="center" vertical="center"/>
      <protection locked="0"/>
    </xf>
    <xf numFmtId="0" fontId="1" fillId="8" borderId="0" xfId="12" applyBorder="1" applyAlignment="1" applyProtection="1">
      <alignment horizontal="center" vertical="center"/>
      <protection locked="0"/>
    </xf>
    <xf numFmtId="0" fontId="1" fillId="8" borderId="0" xfId="12" applyAlignment="1" applyProtection="1">
      <alignment horizontal="center" vertical="center"/>
      <protection locked="0"/>
    </xf>
    <xf numFmtId="43" fontId="10" fillId="9" borderId="36" xfId="8" applyFont="1" applyFill="1" applyBorder="1" applyAlignment="1" applyProtection="1">
      <alignment horizontal="center" vertical="center"/>
      <protection hidden="1"/>
    </xf>
    <xf numFmtId="43" fontId="10" fillId="9" borderId="10" xfId="8" applyFont="1" applyFill="1" applyBorder="1" applyAlignment="1" applyProtection="1">
      <alignment horizontal="center" vertical="center"/>
      <protection hidden="1"/>
    </xf>
    <xf numFmtId="43" fontId="10" fillId="9" borderId="12" xfId="8" applyFont="1" applyFill="1" applyBorder="1" applyAlignment="1" applyProtection="1">
      <alignment horizontal="center" vertical="center"/>
      <protection hidden="1"/>
    </xf>
    <xf numFmtId="43" fontId="10" fillId="9" borderId="0" xfId="8" applyFont="1" applyFill="1" applyBorder="1" applyAlignment="1" applyProtection="1">
      <alignment horizontal="center" vertical="center"/>
      <protection locked="0" hidden="1"/>
    </xf>
    <xf numFmtId="43" fontId="10" fillId="9" borderId="0" xfId="8" applyFont="1" applyFill="1" applyAlignment="1" applyProtection="1">
      <alignment horizontal="center" vertical="center"/>
      <protection locked="0" hidden="1"/>
    </xf>
    <xf numFmtId="43" fontId="10" fillId="10" borderId="10" xfId="8" applyFont="1" applyFill="1" applyBorder="1" applyAlignment="1" applyProtection="1">
      <alignment horizontal="center" vertical="center"/>
      <protection hidden="1"/>
    </xf>
    <xf numFmtId="43" fontId="10" fillId="10" borderId="0" xfId="8" applyFont="1" applyFill="1" applyBorder="1" applyAlignment="1" applyProtection="1">
      <alignment horizontal="center" vertical="center"/>
      <protection locked="0" hidden="1"/>
    </xf>
    <xf numFmtId="43" fontId="10" fillId="10" borderId="0" xfId="8" applyFont="1" applyFill="1" applyAlignment="1" applyProtection="1">
      <alignment horizontal="center" vertical="center"/>
      <protection locked="0" hidden="1"/>
    </xf>
    <xf numFmtId="43" fontId="10" fillId="10" borderId="7" xfId="8" applyFont="1" applyFill="1" applyBorder="1" applyAlignment="1" applyProtection="1">
      <alignment horizontal="center" vertical="center"/>
      <protection hidden="1"/>
    </xf>
    <xf numFmtId="43" fontId="10" fillId="10" borderId="37" xfId="8" applyFont="1" applyFill="1" applyBorder="1" applyAlignment="1" applyProtection="1">
      <alignment horizontal="center" vertical="center"/>
      <protection hidden="1"/>
    </xf>
    <xf numFmtId="43" fontId="10" fillId="11" borderId="0" xfId="8" applyFont="1" applyFill="1" applyBorder="1" applyAlignment="1" applyProtection="1">
      <alignment horizontal="center" vertical="center"/>
      <protection locked="0" hidden="1"/>
    </xf>
    <xf numFmtId="43" fontId="10" fillId="11" borderId="0" xfId="8" applyFont="1" applyFill="1" applyAlignment="1" applyProtection="1">
      <alignment horizontal="center" vertical="center"/>
      <protection locked="0" hidden="1"/>
    </xf>
    <xf numFmtId="43" fontId="10" fillId="12" borderId="0" xfId="8" applyFont="1" applyFill="1" applyBorder="1" applyAlignment="1" applyProtection="1">
      <alignment horizontal="center" vertical="center"/>
      <protection locked="0" hidden="1"/>
    </xf>
    <xf numFmtId="43" fontId="10" fillId="12" borderId="0" xfId="8" applyFont="1" applyFill="1" applyAlignment="1" applyProtection="1">
      <alignment horizontal="center" vertical="center"/>
      <protection locked="0" hidden="1"/>
    </xf>
    <xf numFmtId="43" fontId="12" fillId="15" borderId="27" xfId="11" applyNumberFormat="1" applyFont="1" applyFill="1" applyBorder="1" applyAlignment="1" applyProtection="1">
      <alignment horizontal="center" vertical="center"/>
      <protection locked="0" hidden="1"/>
    </xf>
    <xf numFmtId="43" fontId="1" fillId="15" borderId="14" xfId="8" applyFill="1" applyBorder="1" applyAlignment="1" applyProtection="1">
      <alignment horizontal="center" vertical="center"/>
      <protection hidden="1"/>
    </xf>
    <xf numFmtId="43" fontId="1" fillId="15" borderId="10" xfId="8" applyFill="1" applyBorder="1" applyAlignment="1" applyProtection="1">
      <alignment horizontal="center" vertical="center"/>
      <protection hidden="1"/>
    </xf>
    <xf numFmtId="43" fontId="1" fillId="15" borderId="19" xfId="8" applyFill="1" applyBorder="1" applyAlignment="1" applyProtection="1">
      <alignment horizontal="center" vertical="center"/>
      <protection hidden="1"/>
    </xf>
    <xf numFmtId="43" fontId="1" fillId="15" borderId="15" xfId="8" applyFill="1" applyBorder="1" applyAlignment="1" applyProtection="1">
      <alignment horizontal="center" vertical="center"/>
      <protection hidden="1"/>
    </xf>
    <xf numFmtId="43" fontId="1" fillId="15" borderId="0" xfId="8" applyFill="1" applyBorder="1" applyAlignment="1" applyProtection="1">
      <alignment horizontal="center" vertical="center"/>
      <protection locked="0" hidden="1"/>
    </xf>
    <xf numFmtId="43" fontId="1" fillId="15" borderId="0" xfId="8" applyFill="1" applyAlignment="1" applyProtection="1">
      <alignment horizontal="center" vertical="center"/>
      <protection locked="0" hidden="1"/>
    </xf>
    <xf numFmtId="0" fontId="19" fillId="4" borderId="1" xfId="4" applyFont="1" applyBorder="1" applyAlignment="1">
      <alignment horizontal="center" vertical="center"/>
    </xf>
    <xf numFmtId="0" fontId="19" fillId="4" borderId="31" xfId="4" applyFont="1" applyBorder="1" applyAlignment="1">
      <alignment horizontal="center" vertical="center"/>
    </xf>
    <xf numFmtId="0" fontId="11" fillId="4" borderId="27" xfId="4" applyFont="1" applyBorder="1" applyAlignment="1">
      <alignment horizontal="center"/>
    </xf>
    <xf numFmtId="0" fontId="8" fillId="16" borderId="1" xfId="9" applyFill="1" applyBorder="1" applyAlignment="1" applyProtection="1">
      <alignment horizontal="center"/>
      <protection locked="0"/>
    </xf>
    <xf numFmtId="0" fontId="8" fillId="16" borderId="31" xfId="9" applyFill="1" applyBorder="1" applyAlignment="1" applyProtection="1">
      <alignment horizontal="center" vertical="top"/>
      <protection locked="0"/>
    </xf>
    <xf numFmtId="0" fontId="7" fillId="0" borderId="7" xfId="5" applyFont="1" applyBorder="1" applyProtection="1">
      <protection locked="0"/>
    </xf>
    <xf numFmtId="0" fontId="7" fillId="0" borderId="10" xfId="5" applyFont="1" applyBorder="1" applyProtection="1">
      <protection locked="0"/>
    </xf>
    <xf numFmtId="0" fontId="7" fillId="0" borderId="12" xfId="5" applyFont="1" applyBorder="1" applyProtection="1">
      <protection locked="0"/>
    </xf>
    <xf numFmtId="0" fontId="7" fillId="0" borderId="0" xfId="5" applyFont="1" applyAlignment="1" applyProtection="1">
      <alignment vertical="center"/>
      <protection locked="0"/>
    </xf>
    <xf numFmtId="0" fontId="7" fillId="0" borderId="0" xfId="5" applyFont="1" applyProtection="1">
      <protection locked="0"/>
    </xf>
    <xf numFmtId="0" fontId="7" fillId="0" borderId="0" xfId="5" applyFont="1" applyAlignment="1" applyProtection="1">
      <alignment horizontal="left"/>
      <protection locked="0"/>
    </xf>
    <xf numFmtId="0" fontId="1" fillId="0" borderId="0" xfId="5" applyProtection="1">
      <protection locked="0"/>
    </xf>
    <xf numFmtId="43" fontId="28" fillId="11" borderId="27" xfId="8" applyFont="1" applyFill="1" applyBorder="1"/>
    <xf numFmtId="43" fontId="29" fillId="12" borderId="27" xfId="3" applyNumberFormat="1" applyFont="1" applyFill="1" applyBorder="1"/>
    <xf numFmtId="43" fontId="30" fillId="3" borderId="27" xfId="6" applyNumberFormat="1" applyFont="1" applyBorder="1"/>
    <xf numFmtId="0" fontId="24" fillId="0" borderId="0" xfId="0" applyFont="1"/>
    <xf numFmtId="0" fontId="31" fillId="0" borderId="0" xfId="0" applyFont="1"/>
    <xf numFmtId="0" fontId="0" fillId="0" borderId="0" xfId="0" applyAlignment="1" applyProtection="1">
      <alignment horizontal="center" vertical="center"/>
      <protection locked="0"/>
    </xf>
    <xf numFmtId="0" fontId="7" fillId="0" borderId="0" xfId="5" applyFont="1" applyAlignment="1" applyProtection="1">
      <alignment horizontal="center" vertical="center"/>
      <protection locked="0"/>
    </xf>
    <xf numFmtId="43" fontId="14" fillId="7" borderId="38" xfId="11" applyNumberFormat="1" applyFont="1" applyFill="1" applyBorder="1" applyAlignment="1" applyProtection="1">
      <alignment horizontal="center" vertical="center"/>
      <protection locked="0"/>
    </xf>
    <xf numFmtId="43" fontId="1" fillId="7" borderId="6" xfId="8" applyFill="1" applyBorder="1" applyAlignment="1" applyProtection="1">
      <alignment horizontal="left" vertical="center"/>
      <protection locked="0"/>
    </xf>
    <xf numFmtId="43" fontId="1" fillId="7" borderId="9" xfId="8" applyFill="1" applyBorder="1" applyAlignment="1" applyProtection="1">
      <alignment horizontal="left" vertical="center"/>
      <protection locked="0"/>
    </xf>
    <xf numFmtId="43" fontId="1" fillId="7" borderId="9" xfId="8" applyFill="1" applyBorder="1" applyAlignment="1" applyProtection="1">
      <alignment horizontal="center" vertical="center"/>
      <protection locked="0"/>
    </xf>
    <xf numFmtId="43" fontId="1" fillId="7" borderId="11" xfId="8" applyFill="1" applyBorder="1" applyAlignment="1" applyProtection="1">
      <alignment horizontal="center" vertical="center"/>
      <protection locked="0"/>
    </xf>
    <xf numFmtId="0" fontId="1" fillId="8" borderId="17" xfId="12" applyBorder="1" applyAlignment="1" applyProtection="1">
      <alignment horizontal="center" vertical="center"/>
      <protection locked="0"/>
    </xf>
    <xf numFmtId="0" fontId="1" fillId="8" borderId="18" xfId="12" applyBorder="1" applyAlignment="1" applyProtection="1">
      <alignment horizontal="center" vertical="center"/>
      <protection locked="0"/>
    </xf>
    <xf numFmtId="0" fontId="15" fillId="8" borderId="21" xfId="12" applyFont="1" applyBorder="1" applyAlignment="1" applyProtection="1">
      <alignment horizontal="center" vertical="center"/>
      <protection locked="0"/>
    </xf>
    <xf numFmtId="0" fontId="15" fillId="5" borderId="2" xfId="11" applyFont="1" applyFill="1" applyBorder="1" applyAlignment="1" applyProtection="1">
      <alignment horizontal="center" vertical="center"/>
      <protection locked="0"/>
    </xf>
    <xf numFmtId="0" fontId="15" fillId="8" borderId="3" xfId="12" applyFont="1" applyBorder="1" applyAlignment="1" applyProtection="1">
      <alignment horizontal="center" vertical="center"/>
      <protection locked="0"/>
    </xf>
    <xf numFmtId="0" fontId="15" fillId="5" borderId="27" xfId="11" applyFont="1" applyFill="1" applyBorder="1" applyAlignment="1" applyProtection="1">
      <alignment horizontal="center" vertical="center"/>
      <protection locked="0"/>
    </xf>
    <xf numFmtId="0" fontId="0" fillId="0" borderId="39" xfId="0" applyBorder="1"/>
    <xf numFmtId="0" fontId="20" fillId="0" borderId="6" xfId="0" applyFont="1" applyBorder="1"/>
    <xf numFmtId="0" fontId="20" fillId="0" borderId="9" xfId="0" applyFont="1" applyBorder="1"/>
    <xf numFmtId="0" fontId="20" fillId="0" borderId="11" xfId="0" applyFont="1" applyBorder="1"/>
    <xf numFmtId="49" fontId="20" fillId="8" borderId="31" xfId="12" applyNumberFormat="1" applyFont="1" applyBorder="1" applyAlignment="1">
      <alignment horizontal="center" vertical="center"/>
    </xf>
    <xf numFmtId="0" fontId="21" fillId="0" borderId="0" xfId="10" applyFont="1" applyBorder="1" applyAlignment="1" applyProtection="1">
      <alignment horizontal="center" vertical="center"/>
      <protection locked="0"/>
    </xf>
    <xf numFmtId="0" fontId="23" fillId="0" borderId="0" xfId="5" applyFont="1" applyBorder="1" applyAlignment="1" applyProtection="1">
      <alignment horizontal="center" vertical="center"/>
      <protection locked="0"/>
    </xf>
    <xf numFmtId="0" fontId="7" fillId="0" borderId="14" xfId="5" applyFont="1" applyBorder="1" applyAlignment="1" applyProtection="1">
      <alignment horizontal="center" vertical="center"/>
      <protection locked="0"/>
    </xf>
    <xf numFmtId="0" fontId="7" fillId="0" borderId="19" xfId="5" applyFont="1" applyBorder="1" applyAlignment="1" applyProtection="1">
      <alignment horizontal="center" vertical="center"/>
      <protection locked="0"/>
    </xf>
    <xf numFmtId="0" fontId="7" fillId="0" borderId="15" xfId="5" applyFont="1" applyBorder="1" applyAlignment="1" applyProtection="1">
      <alignment horizontal="center" vertical="center"/>
      <protection locked="0"/>
    </xf>
    <xf numFmtId="0" fontId="7" fillId="0" borderId="16" xfId="5" applyFont="1" applyBorder="1" applyAlignment="1">
      <alignment horizontal="center" vertical="center"/>
    </xf>
    <xf numFmtId="0" fontId="7" fillId="0" borderId="9" xfId="5" applyFont="1" applyBorder="1" applyAlignment="1">
      <alignment horizontal="center" vertical="center"/>
    </xf>
    <xf numFmtId="0" fontId="7" fillId="0" borderId="20" xfId="5" applyFont="1" applyBorder="1" applyAlignment="1">
      <alignment horizontal="center" vertical="center"/>
    </xf>
    <xf numFmtId="0" fontId="7" fillId="0" borderId="11" xfId="5" applyFont="1" applyBorder="1" applyAlignment="1">
      <alignment horizontal="center" vertical="center"/>
    </xf>
    <xf numFmtId="0" fontId="7" fillId="0" borderId="7" xfId="5" applyFont="1" applyBorder="1" applyAlignment="1" applyProtection="1">
      <alignment horizontal="center"/>
      <protection locked="0"/>
    </xf>
    <xf numFmtId="0" fontId="7" fillId="0" borderId="10" xfId="5" applyFont="1" applyBorder="1" applyAlignment="1" applyProtection="1">
      <alignment horizontal="center"/>
      <protection locked="0"/>
    </xf>
    <xf numFmtId="0" fontId="7" fillId="0" borderId="13" xfId="5" applyFont="1" applyBorder="1" applyAlignment="1" applyProtection="1">
      <alignment horizontal="center"/>
      <protection locked="0"/>
    </xf>
    <xf numFmtId="0" fontId="7" fillId="0" borderId="12" xfId="5" applyFont="1" applyBorder="1" applyAlignment="1" applyProtection="1">
      <alignment horizontal="center"/>
      <protection locked="0"/>
    </xf>
    <xf numFmtId="43" fontId="10" fillId="11" borderId="7" xfId="8" applyFont="1" applyFill="1" applyBorder="1" applyAlignment="1" applyProtection="1">
      <alignment horizontal="center" vertical="center"/>
      <protection hidden="1"/>
    </xf>
    <xf numFmtId="43" fontId="10" fillId="11" borderId="10" xfId="8" applyFont="1" applyFill="1" applyBorder="1" applyAlignment="1" applyProtection="1">
      <alignment horizontal="center" vertical="center"/>
      <protection hidden="1"/>
    </xf>
    <xf numFmtId="43" fontId="10" fillId="11" borderId="12" xfId="8" applyFont="1" applyFill="1" applyBorder="1" applyAlignment="1" applyProtection="1">
      <alignment horizontal="center" vertical="center"/>
      <protection hidden="1"/>
    </xf>
    <xf numFmtId="43" fontId="10" fillId="12" borderId="7" xfId="8" applyFont="1" applyFill="1" applyBorder="1" applyAlignment="1" applyProtection="1">
      <alignment horizontal="center" vertical="center"/>
      <protection hidden="1"/>
    </xf>
    <xf numFmtId="43" fontId="10" fillId="12" borderId="10" xfId="8" applyFont="1" applyFill="1" applyBorder="1" applyAlignment="1" applyProtection="1">
      <alignment horizontal="center" vertical="center"/>
      <protection hidden="1"/>
    </xf>
    <xf numFmtId="43" fontId="10" fillId="12" borderId="12" xfId="8" applyFont="1" applyFill="1" applyBorder="1" applyAlignment="1" applyProtection="1">
      <alignment horizontal="center" vertical="center"/>
      <protection hidden="1"/>
    </xf>
    <xf numFmtId="0" fontId="7" fillId="0" borderId="8" xfId="5" applyFont="1" applyBorder="1" applyAlignment="1" applyProtection="1">
      <alignment horizontal="center"/>
      <protection locked="0"/>
    </xf>
    <xf numFmtId="0" fontId="23" fillId="0" borderId="22" xfId="5" applyFont="1" applyBorder="1" applyAlignment="1" applyProtection="1">
      <alignment horizontal="center" vertical="center"/>
      <protection locked="0"/>
    </xf>
    <xf numFmtId="0" fontId="23" fillId="0" borderId="21" xfId="5" applyFont="1" applyBorder="1" applyAlignment="1" applyProtection="1">
      <alignment horizontal="center" vertical="center"/>
      <protection locked="0"/>
    </xf>
    <xf numFmtId="0" fontId="23" fillId="0" borderId="23" xfId="5" applyFont="1" applyBorder="1" applyAlignment="1" applyProtection="1">
      <alignment horizontal="center" vertical="center"/>
      <protection locked="0"/>
    </xf>
    <xf numFmtId="0" fontId="10" fillId="0" borderId="30" xfId="11" applyBorder="1" applyAlignment="1" applyProtection="1">
      <alignment horizontal="center" vertical="center" wrapText="1"/>
      <protection locked="0"/>
    </xf>
    <xf numFmtId="0" fontId="10" fillId="0" borderId="5" xfId="11" applyBorder="1" applyAlignment="1" applyProtection="1">
      <alignment horizontal="center" vertical="center"/>
      <protection locked="0"/>
    </xf>
    <xf numFmtId="0" fontId="9" fillId="0" borderId="28" xfId="10" applyBorder="1" applyAlignment="1" applyProtection="1">
      <alignment horizontal="center" vertical="center"/>
      <protection locked="0"/>
    </xf>
    <xf numFmtId="0" fontId="9" fillId="0" borderId="5" xfId="10" applyBorder="1" applyAlignment="1" applyProtection="1">
      <alignment horizontal="center" vertical="center"/>
      <protection locked="0"/>
    </xf>
    <xf numFmtId="0" fontId="8" fillId="0" borderId="29" xfId="9" applyBorder="1" applyAlignment="1" applyProtection="1">
      <alignment horizontal="center" vertical="center"/>
      <protection locked="0"/>
    </xf>
    <xf numFmtId="0" fontId="8" fillId="0" borderId="5" xfId="9" applyBorder="1" applyAlignment="1" applyProtection="1">
      <alignment horizontal="center" vertical="center"/>
      <protection locked="0"/>
    </xf>
    <xf numFmtId="0" fontId="9" fillId="0" borderId="38" xfId="10" applyBorder="1" applyAlignment="1" applyProtection="1">
      <alignment horizontal="center" vertical="center"/>
      <protection locked="0"/>
    </xf>
    <xf numFmtId="0" fontId="17" fillId="5" borderId="2" xfId="10" applyFont="1" applyFill="1" applyBorder="1" applyAlignment="1" applyProtection="1">
      <alignment horizontal="center" vertical="center" wrapText="1"/>
      <protection locked="0"/>
    </xf>
    <xf numFmtId="0" fontId="17" fillId="5" borderId="4" xfId="10" applyFont="1" applyFill="1" applyBorder="1" applyAlignment="1" applyProtection="1">
      <alignment horizontal="center" vertical="center" wrapText="1"/>
      <protection locked="0"/>
    </xf>
    <xf numFmtId="0" fontId="16" fillId="6" borderId="2" xfId="9" applyFont="1" applyFill="1" applyBorder="1" applyAlignment="1" applyProtection="1">
      <alignment horizontal="center" vertical="center" wrapText="1"/>
      <protection locked="0"/>
    </xf>
    <xf numFmtId="0" fontId="16" fillId="6" borderId="4" xfId="9" applyFont="1" applyFill="1" applyBorder="1" applyAlignment="1" applyProtection="1">
      <alignment horizontal="center" vertical="center" wrapText="1"/>
      <protection locked="0"/>
    </xf>
    <xf numFmtId="0" fontId="16" fillId="6" borderId="3" xfId="9" applyFont="1" applyFill="1" applyBorder="1" applyAlignment="1" applyProtection="1">
      <alignment horizontal="center" vertical="center" wrapText="1"/>
      <protection locked="0"/>
    </xf>
    <xf numFmtId="43" fontId="13" fillId="14" borderId="2" xfId="10" applyNumberFormat="1" applyFont="1" applyFill="1" applyBorder="1" applyAlignment="1" applyProtection="1">
      <alignment horizontal="center" vertical="center"/>
      <protection locked="0" hidden="1"/>
    </xf>
    <xf numFmtId="43" fontId="13" fillId="14" borderId="3" xfId="10" applyNumberFormat="1" applyFont="1" applyFill="1" applyBorder="1" applyAlignment="1" applyProtection="1">
      <alignment horizontal="center" vertical="center"/>
      <protection locked="0" hidden="1"/>
    </xf>
    <xf numFmtId="43" fontId="13" fillId="13" borderId="2" xfId="10" applyNumberFormat="1" applyFont="1" applyFill="1" applyBorder="1" applyAlignment="1" applyProtection="1">
      <alignment horizontal="center" vertical="center"/>
      <protection locked="0" hidden="1"/>
    </xf>
    <xf numFmtId="43" fontId="13" fillId="13" borderId="3" xfId="10" applyNumberFormat="1" applyFont="1" applyFill="1" applyBorder="1" applyAlignment="1" applyProtection="1">
      <alignment horizontal="center" vertical="center"/>
      <protection locked="0" hidden="1"/>
    </xf>
    <xf numFmtId="0" fontId="17" fillId="8" borderId="2" xfId="12" applyFont="1" applyBorder="1" applyAlignment="1" applyProtection="1">
      <alignment horizontal="center" vertical="center" wrapText="1"/>
      <protection locked="0"/>
    </xf>
    <xf numFmtId="0" fontId="17" fillId="8" borderId="3" xfId="12" applyFont="1" applyBorder="1" applyAlignment="1" applyProtection="1">
      <alignment horizontal="center" vertical="center" wrapText="1"/>
      <protection locked="0"/>
    </xf>
    <xf numFmtId="0" fontId="26" fillId="12" borderId="1" xfId="3" applyFont="1" applyFill="1" applyBorder="1" applyAlignment="1">
      <alignment horizontal="center" vertical="center"/>
    </xf>
    <xf numFmtId="0" fontId="26" fillId="12" borderId="31" xfId="3" applyFont="1" applyFill="1" applyBorder="1" applyAlignment="1">
      <alignment horizontal="center" vertical="center"/>
    </xf>
    <xf numFmtId="0" fontId="27" fillId="3" borderId="1" xfId="6" applyFont="1" applyBorder="1" applyAlignment="1">
      <alignment horizontal="center" vertical="center"/>
    </xf>
    <xf numFmtId="0" fontId="27" fillId="3" borderId="31" xfId="6" applyFont="1" applyBorder="1" applyAlignment="1">
      <alignment horizontal="center" vertical="center"/>
    </xf>
    <xf numFmtId="0" fontId="25" fillId="11" borderId="1" xfId="6" applyFont="1" applyFill="1" applyBorder="1" applyAlignment="1">
      <alignment horizontal="center" vertical="center"/>
    </xf>
    <xf numFmtId="0" fontId="25" fillId="11" borderId="31" xfId="6" applyFont="1" applyFill="1" applyBorder="1" applyAlignment="1">
      <alignment horizontal="center" vertical="center"/>
    </xf>
    <xf numFmtId="0" fontId="22" fillId="8" borderId="1" xfId="12" applyFont="1" applyBorder="1" applyAlignment="1">
      <alignment horizontal="center" vertical="center"/>
    </xf>
    <xf numFmtId="0" fontId="22" fillId="8" borderId="31" xfId="12" applyFont="1" applyBorder="1" applyAlignment="1">
      <alignment horizontal="center" vertical="center"/>
    </xf>
    <xf numFmtId="0" fontId="21" fillId="0" borderId="1" xfId="10" applyFont="1" applyBorder="1" applyAlignment="1" applyProtection="1">
      <alignment horizontal="center" vertical="center"/>
      <protection locked="0"/>
    </xf>
    <xf numFmtId="0" fontId="21" fillId="0" borderId="31" xfId="10" applyFont="1" applyBorder="1" applyAlignment="1" applyProtection="1">
      <alignment horizontal="center" vertical="center"/>
      <protection locked="0"/>
    </xf>
    <xf numFmtId="0" fontId="7" fillId="17" borderId="6" xfId="5" applyFont="1" applyFill="1" applyBorder="1" applyAlignment="1" applyProtection="1">
      <alignment horizontal="center" vertical="center"/>
      <protection locked="0"/>
    </xf>
    <xf numFmtId="0" fontId="7" fillId="17" borderId="9" xfId="5" applyFont="1" applyFill="1" applyBorder="1" applyAlignment="1" applyProtection="1">
      <alignment horizontal="center" vertical="center"/>
      <protection locked="0"/>
    </xf>
    <xf numFmtId="0" fontId="7" fillId="17" borderId="20" xfId="5" applyFont="1" applyFill="1" applyBorder="1" applyAlignment="1" applyProtection="1">
      <alignment horizontal="center" vertical="center"/>
      <protection locked="0"/>
    </xf>
    <xf numFmtId="0" fontId="7" fillId="17" borderId="11" xfId="5" applyFont="1" applyFill="1" applyBorder="1" applyAlignment="1" applyProtection="1">
      <alignment horizontal="center" vertical="center"/>
      <protection locked="0"/>
    </xf>
    <xf numFmtId="0" fontId="7" fillId="17" borderId="16" xfId="5" applyFont="1" applyFill="1" applyBorder="1" applyAlignment="1">
      <alignment horizontal="center" vertical="center"/>
    </xf>
    <xf numFmtId="0" fontId="7" fillId="17" borderId="9" xfId="5" applyFont="1" applyFill="1" applyBorder="1" applyAlignment="1">
      <alignment horizontal="center" vertical="center"/>
    </xf>
    <xf numFmtId="0" fontId="7" fillId="17" borderId="20" xfId="5" applyFont="1" applyFill="1" applyBorder="1" applyAlignment="1">
      <alignment horizontal="center" vertical="center"/>
    </xf>
    <xf numFmtId="0" fontId="7" fillId="17" borderId="11" xfId="5" applyFont="1" applyFill="1" applyBorder="1" applyAlignment="1">
      <alignment horizontal="center" vertical="center"/>
    </xf>
  </cellXfs>
  <cellStyles count="14">
    <cellStyle name="20% - Accent1" xfId="1" builtinId="30"/>
    <cellStyle name="20% - Accent2" xfId="12" builtinId="34"/>
    <cellStyle name="Bad 2" xfId="6" xr:uid="{00000000-0005-0000-0000-000006000000}"/>
    <cellStyle name="Comma" xfId="8" builtinId="3"/>
    <cellStyle name="Good 2" xfId="7" xr:uid="{00000000-0005-0000-0000-000007000000}"/>
    <cellStyle name="Good 3" xfId="3" xr:uid="{00000000-0005-0000-0000-000008000000}"/>
    <cellStyle name="Heading 1" xfId="9" builtinId="16"/>
    <cellStyle name="Heading 2" xfId="10" builtinId="17"/>
    <cellStyle name="Heading 3" xfId="11" builtinId="18"/>
    <cellStyle name="Neutral 2" xfId="4" xr:uid="{00000000-0005-0000-0000-000009000000}"/>
    <cellStyle name="Normal" xfId="0" builtinId="0"/>
    <cellStyle name="Normal 2" xfId="2" xr:uid="{00000000-0005-0000-0000-00000B000000}"/>
    <cellStyle name="Normal 2 3" xfId="5" xr:uid="{00000000-0005-0000-0000-00000C000000}"/>
    <cellStyle name="Normal 2 3 2" xfId="13" xr:uid="{53DA91D2-6A3C-475C-85EF-FC78488DEE16}"/>
  </cellStyles>
  <dxfs count="0"/>
  <tableStyles count="0" defaultTableStyle="TableStyleMedium2" defaultPivotStyle="PivotStyleLight16"/>
  <colors>
    <mruColors>
      <color rgb="FFFF97A3"/>
      <color rgb="FFFFDD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2</xdr:row>
      <xdr:rowOff>38100</xdr:rowOff>
    </xdr:from>
    <xdr:to>
      <xdr:col>1</xdr:col>
      <xdr:colOff>1511300</xdr:colOff>
      <xdr:row>6</xdr:row>
      <xdr:rowOff>386080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FB53C9D-205C-408E-BE7F-217CF05599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066" y="857907"/>
          <a:ext cx="1473200" cy="1987594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7</xdr:row>
      <xdr:rowOff>38100</xdr:rowOff>
    </xdr:from>
    <xdr:to>
      <xdr:col>1</xdr:col>
      <xdr:colOff>1511300</xdr:colOff>
      <xdr:row>11</xdr:row>
      <xdr:rowOff>386080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6A02547-894C-41D3-8D84-B0EE0AB8B6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540" y="2918460"/>
          <a:ext cx="1473200" cy="19939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12</xdr:row>
      <xdr:rowOff>38100</xdr:rowOff>
    </xdr:from>
    <xdr:to>
      <xdr:col>1</xdr:col>
      <xdr:colOff>1511300</xdr:colOff>
      <xdr:row>16</xdr:row>
      <xdr:rowOff>386080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9AD7BD8-CD95-4D20-8774-07E97E9E0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540" y="4975860"/>
          <a:ext cx="1473200" cy="19939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17</xdr:row>
      <xdr:rowOff>38100</xdr:rowOff>
    </xdr:from>
    <xdr:to>
      <xdr:col>1</xdr:col>
      <xdr:colOff>1511300</xdr:colOff>
      <xdr:row>21</xdr:row>
      <xdr:rowOff>386080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AD8C7A6F-509A-4ACE-A702-4E00EBE148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066" y="7006459"/>
          <a:ext cx="1473200" cy="198759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ropbox/MUSLIN%20PAJAMAS%20ALL%20IN%20FO/Manual/PO/&#3586;&#3629;&#3591;&#3648;&#3586;&#3657;&#3634;&#3617;&#3633;&#3626;&#3621;&#3636;&#3609;/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orksheet"/>
    </sheetNames>
    <sheetDataSet>
      <sheetData sheetId="0">
        <row r="1">
          <cell r="A1" t="str">
            <v>รหัสสต็อก</v>
          </cell>
          <cell r="B1" t="str">
            <v>รหัสขาย</v>
          </cell>
          <cell r="C1" t="str">
            <v>รายละเอียด</v>
          </cell>
        </row>
        <row r="2">
          <cell r="A2" t="str">
            <v>BA0001-L</v>
          </cell>
          <cell r="B2" t="str">
            <v>A1</v>
          </cell>
          <cell r="C2" t="str">
            <v>เยื่อไผ่ แขนสั้นขาสั้น ผีเสื้อ L</v>
          </cell>
        </row>
        <row r="3">
          <cell r="A3" t="str">
            <v>BA0001-M</v>
          </cell>
          <cell r="B3" t="str">
            <v>A1</v>
          </cell>
          <cell r="C3" t="str">
            <v>เยื่อไผ่ แขนสั้นขาสั้น ผีเสื้อ M</v>
          </cell>
        </row>
        <row r="4">
          <cell r="A4" t="str">
            <v>BA0001-S</v>
          </cell>
          <cell r="B4" t="str">
            <v>BA1</v>
          </cell>
          <cell r="C4" t="str">
            <v>เยื่อไผ่ แขนสั้นขาสั้น ผีเสื้อ S</v>
          </cell>
        </row>
        <row r="5">
          <cell r="A5" t="str">
            <v>BA0002-L</v>
          </cell>
          <cell r="B5" t="str">
            <v>A2</v>
          </cell>
          <cell r="C5" t="str">
            <v>เยื่อไผ่ แขนสั้นขาสั้น ผีเสื้อ นู้ด L</v>
          </cell>
        </row>
        <row r="6">
          <cell r="A6" t="str">
            <v>BA0002-M</v>
          </cell>
          <cell r="B6" t="str">
            <v>A2</v>
          </cell>
          <cell r="C6" t="str">
            <v>เยื่อไผ่ แขนสั้นขาสั้น ผีเสื้อ นู้ด M</v>
          </cell>
        </row>
        <row r="7">
          <cell r="A7" t="str">
            <v>BA0002-S</v>
          </cell>
          <cell r="B7" t="str">
            <v>A2</v>
          </cell>
          <cell r="C7" t="str">
            <v>เยื่อไผ่ แขนสั้นขาสั้น ผีเสื้อ นู้ด S</v>
          </cell>
        </row>
        <row r="8">
          <cell r="A8" t="str">
            <v>BA0005-L</v>
          </cell>
          <cell r="B8" t="str">
            <v>A5</v>
          </cell>
          <cell r="C8" t="str">
            <v>เยื่อไผ่ แขนสั้นขาสั้น นก นู้ด L</v>
          </cell>
        </row>
        <row r="9">
          <cell r="A9" t="str">
            <v>BA0005-M</v>
          </cell>
          <cell r="B9" t="str">
            <v>A5</v>
          </cell>
          <cell r="C9" t="str">
            <v>เยื่อไผ่ แขนสั้นขาสั้น นก นู้ด M</v>
          </cell>
        </row>
        <row r="10">
          <cell r="A10" t="str">
            <v>BA0005-XL</v>
          </cell>
          <cell r="B10" t="str">
            <v>A5</v>
          </cell>
          <cell r="C10" t="str">
            <v>เยื่อไผ่ แขนสั้นขาสั้น นก นู้ด XL</v>
          </cell>
        </row>
        <row r="11">
          <cell r="A11" t="str">
            <v>BA0006-L</v>
          </cell>
          <cell r="B11" t="str">
            <v>A6</v>
          </cell>
          <cell r="C11" t="str">
            <v>เยื่อไผ่ แขนสั้นขาสั้น นก ครีม L</v>
          </cell>
        </row>
        <row r="12">
          <cell r="A12" t="str">
            <v>BA0006-M</v>
          </cell>
          <cell r="B12" t="str">
            <v>A6</v>
          </cell>
          <cell r="C12" t="str">
            <v>เยื่อไผ่ แขนสั้นขาสั้น นก ครีม M</v>
          </cell>
        </row>
        <row r="13">
          <cell r="A13" t="str">
            <v>BA0006-XL</v>
          </cell>
          <cell r="B13" t="str">
            <v>A6</v>
          </cell>
          <cell r="C13" t="str">
            <v>เยื่อไผ่ แขนสั้นขาสั้น นก ครีม XL</v>
          </cell>
        </row>
        <row r="14">
          <cell r="A14" t="str">
            <v>BA0007-M</v>
          </cell>
          <cell r="B14" t="str">
            <v>A7</v>
          </cell>
          <cell r="C14" t="str">
            <v>เยื่อไผ่ แขนสั้นขาสั้น นก ชมพู M Oversize</v>
          </cell>
        </row>
        <row r="15">
          <cell r="A15" t="str">
            <v>BA0007-XL</v>
          </cell>
          <cell r="B15" t="str">
            <v>A7</v>
          </cell>
          <cell r="C15" t="str">
            <v>เยื่อไผ่ แขนสั้นขาสั้น นก ชมพู XL Oversize</v>
          </cell>
        </row>
        <row r="16">
          <cell r="A16" t="str">
            <v>BA0009-2XL</v>
          </cell>
          <cell r="B16" t="str">
            <v>A9</v>
          </cell>
          <cell r="C16" t="str">
            <v>เยื่อไผ่ แขนสั้นขาสั้น นกบราว 2XL</v>
          </cell>
        </row>
        <row r="17">
          <cell r="A17" t="str">
            <v>BA0009-L</v>
          </cell>
          <cell r="B17" t="str">
            <v>A9</v>
          </cell>
          <cell r="C17" t="str">
            <v>เยื่อไผ่ แขนสั้น ขาสั้น นกบราว L</v>
          </cell>
        </row>
        <row r="18">
          <cell r="A18" t="str">
            <v>BA0009-M</v>
          </cell>
          <cell r="B18" t="str">
            <v>A9</v>
          </cell>
          <cell r="C18" t="str">
            <v>เยื่อไผ่ แขนสั้นขาสั้น นกบราว M</v>
          </cell>
        </row>
        <row r="19">
          <cell r="A19" t="str">
            <v>BA0009-XL</v>
          </cell>
          <cell r="B19" t="str">
            <v>A9</v>
          </cell>
          <cell r="C19" t="str">
            <v>เยื่อไผ่ แขนสั้น ขาสั้น นกบราว XL</v>
          </cell>
        </row>
        <row r="20">
          <cell r="A20" t="str">
            <v>BA0013-L</v>
          </cell>
          <cell r="B20" t="str">
            <v>A13</v>
          </cell>
          <cell r="C20" t="str">
            <v>เยื่อไผ่ แขนสั้นขาสั้น แมวฟ้า L</v>
          </cell>
        </row>
        <row r="21">
          <cell r="A21" t="str">
            <v>BA0013-M</v>
          </cell>
          <cell r="B21" t="str">
            <v>A13</v>
          </cell>
          <cell r="C21" t="str">
            <v>เยื่อไผ่ แขนสั้นขาสั้น แมวฟ้า M</v>
          </cell>
        </row>
        <row r="22">
          <cell r="A22" t="str">
            <v>BA0013-S</v>
          </cell>
          <cell r="B22" t="str">
            <v>A13</v>
          </cell>
          <cell r="C22" t="str">
            <v>เยื่อไผ่ แขนสั้นขาสั้น แมวฟ้า S</v>
          </cell>
        </row>
        <row r="23">
          <cell r="A23" t="str">
            <v>BA0014-L</v>
          </cell>
          <cell r="B23" t="str">
            <v>A14</v>
          </cell>
          <cell r="C23" t="str">
            <v>เยื่อไผ่ แขนสั้นขาสั้น ทางเทา น้องหมา L</v>
          </cell>
        </row>
        <row r="24">
          <cell r="A24" t="str">
            <v>BA0014-M</v>
          </cell>
          <cell r="B24" t="str">
            <v>A14</v>
          </cell>
          <cell r="C24" t="str">
            <v>เยื่อไผ่ แขนสั้นขาสั้น ทางเทา น้องหมา M</v>
          </cell>
        </row>
        <row r="25">
          <cell r="A25" t="str">
            <v>BA0014-S</v>
          </cell>
          <cell r="B25" t="str">
            <v>A14</v>
          </cell>
          <cell r="C25" t="str">
            <v>เยื่อไผ่ แขนสั้นขาสั้น ทางเทา น้องหมา S</v>
          </cell>
        </row>
        <row r="26">
          <cell r="A26" t="str">
            <v>BA0014-XL</v>
          </cell>
          <cell r="B26" t="str">
            <v>A14</v>
          </cell>
          <cell r="C26" t="str">
            <v>เยื่อไผ่ แขนสั้นขาสั้น ทางเทา น้องหมา XL</v>
          </cell>
        </row>
        <row r="27">
          <cell r="A27" t="str">
            <v>BA0015-L</v>
          </cell>
          <cell r="B27" t="str">
            <v>A15</v>
          </cell>
          <cell r="C27" t="str">
            <v>เยื่อไผ่ แขนสั้นขาสั้น ลายทางดำ น้องหมา L</v>
          </cell>
        </row>
        <row r="28">
          <cell r="A28" t="str">
            <v>BA0015-S</v>
          </cell>
          <cell r="B28" t="str">
            <v>A15</v>
          </cell>
          <cell r="C28" t="str">
            <v>เยื่อไผ่ แขนสั้นขาสั้น ลายทางดำ น้องหมา S</v>
          </cell>
        </row>
        <row r="29">
          <cell r="A29" t="str">
            <v>BA0015-XL</v>
          </cell>
          <cell r="B29" t="str">
            <v>A15</v>
          </cell>
          <cell r="C29" t="str">
            <v>เยื่อไผ่ แขนสั้นขาสั้น ลายทางดำ น้องหมา XL</v>
          </cell>
        </row>
        <row r="30">
          <cell r="A30" t="str">
            <v>BA0020-L</v>
          </cell>
          <cell r="B30" t="str">
            <v>A20</v>
          </cell>
          <cell r="C30" t="str">
            <v>เยื่อไผ่ แขนสั้นขาสั้น ใบไม้เขียว NEW L</v>
          </cell>
        </row>
        <row r="31">
          <cell r="A31" t="str">
            <v>BA0020-M</v>
          </cell>
          <cell r="B31" t="str">
            <v>A20</v>
          </cell>
          <cell r="C31" t="str">
            <v>เยื่อไผ่ แขนสั้นขาสั้น ใบไม้เขียว NEW M</v>
          </cell>
        </row>
        <row r="32">
          <cell r="A32" t="str">
            <v>BA0020-S</v>
          </cell>
          <cell r="B32" t="str">
            <v>A20</v>
          </cell>
          <cell r="C32" t="str">
            <v>เยื่อไผ่ แขนสั้นขาสั้น ใบไม้เขียว NEW S</v>
          </cell>
        </row>
        <row r="33">
          <cell r="A33" t="str">
            <v>BA0021-L</v>
          </cell>
          <cell r="B33" t="str">
            <v>A21</v>
          </cell>
          <cell r="C33" t="str">
            <v>เยื่อไผ่ แขนสั้นขาสั้น Tropical ใบไม้เขียว L Oversize</v>
          </cell>
        </row>
        <row r="34">
          <cell r="A34" t="str">
            <v>BA0021-M</v>
          </cell>
          <cell r="B34" t="str">
            <v>A21</v>
          </cell>
          <cell r="C34" t="str">
            <v>เยื่อไผ่ แขนสั้นขาสั้น Tropical ใบไม้เขียว M Oversize</v>
          </cell>
        </row>
        <row r="35">
          <cell r="A35" t="str">
            <v>BA0021-XL</v>
          </cell>
          <cell r="B35" t="str">
            <v>A21</v>
          </cell>
          <cell r="C35" t="str">
            <v>เยื่อไผ่ แขนสั้นขาสั้น Tropical ใบไม้เขียว XL Oversize</v>
          </cell>
        </row>
        <row r="36">
          <cell r="A36" t="str">
            <v>BA0023-L</v>
          </cell>
          <cell r="B36" t="str">
            <v>A23</v>
          </cell>
          <cell r="C36" t="str">
            <v>เยื่อไผ่ แขนสั้นขาสั้น TropicaL ใบไม้เหลือง OverSize L</v>
          </cell>
        </row>
        <row r="37">
          <cell r="A37" t="str">
            <v>BA0023-M</v>
          </cell>
          <cell r="B37" t="str">
            <v>A23</v>
          </cell>
          <cell r="C37" t="str">
            <v>เยื่อไผ่ แขนสั้นขาสั้น TropicaL ใบไม้เหลือง OverSize M</v>
          </cell>
        </row>
        <row r="38">
          <cell r="A38" t="str">
            <v>BA0023-S</v>
          </cell>
          <cell r="B38" t="str">
            <v>A23</v>
          </cell>
          <cell r="C38" t="str">
            <v>เยื่อไผ่ แขนสั้นขาสั้น TropicaL ใบไม้เหลือง S OverSize</v>
          </cell>
        </row>
        <row r="39">
          <cell r="A39" t="str">
            <v>BA0024-L</v>
          </cell>
          <cell r="B39" t="str">
            <v>A24</v>
          </cell>
          <cell r="C39" t="str">
            <v>เยื่อไผ่ แขนสั้นขาสั้น ใบไม้น้ำตาล คอแดง L</v>
          </cell>
        </row>
        <row r="40">
          <cell r="A40" t="str">
            <v>BA0024-M</v>
          </cell>
          <cell r="B40" t="str">
            <v>A24</v>
          </cell>
          <cell r="C40" t="str">
            <v>เยื่อไผ่ แขนสั้นขาสั้น ใบไม้น้ำตาล คอแดง M</v>
          </cell>
        </row>
        <row r="41">
          <cell r="A41" t="str">
            <v>BA0024-S</v>
          </cell>
          <cell r="B41" t="str">
            <v>A24</v>
          </cell>
          <cell r="C41" t="str">
            <v>เยื่อไผ่ แขนสั้นขาสั้น ใบไม้น้ำตาล คอแดง S</v>
          </cell>
        </row>
        <row r="42">
          <cell r="A42" t="str">
            <v>BA0025-L</v>
          </cell>
          <cell r="B42" t="str">
            <v>A25</v>
          </cell>
          <cell r="C42" t="str">
            <v>เยื่อไผ่ แขนสั้นขาสั้น ใบไม้น้ำตาล ขอบแดง L</v>
          </cell>
        </row>
        <row r="43">
          <cell r="A43" t="str">
            <v>BA0025-M</v>
          </cell>
          <cell r="B43" t="str">
            <v>A25</v>
          </cell>
          <cell r="C43" t="str">
            <v>เยื่อไผ่ แขนสั้นขาสั้น ใบไม้น้ำตาล ขอบแดง M</v>
          </cell>
        </row>
        <row r="44">
          <cell r="A44" t="str">
            <v>BA0025-S</v>
          </cell>
          <cell r="B44" t="str">
            <v>A25</v>
          </cell>
          <cell r="C44" t="str">
            <v>เยื่อไผ่ แขนสั้นขาสั้น ใบไม้น้ำตาล ขอบแดง S</v>
          </cell>
        </row>
        <row r="45">
          <cell r="A45" t="str">
            <v>BA0025-XL</v>
          </cell>
          <cell r="B45" t="str">
            <v>A25</v>
          </cell>
          <cell r="C45" t="str">
            <v>เยื่อไผ่ แขนสั้นขาสั้น ใบไม้น้ำตาล ขอบแดง XL</v>
          </cell>
        </row>
        <row r="46">
          <cell r="A46" t="str">
            <v>BA0032-L</v>
          </cell>
          <cell r="B46" t="str">
            <v>A32</v>
          </cell>
          <cell r="C46" t="str">
            <v>เยื่อไผ่ แขนสั้นขาสั้น ฮาวายเขียว L</v>
          </cell>
        </row>
        <row r="47">
          <cell r="A47" t="str">
            <v>BA0032-M</v>
          </cell>
          <cell r="B47" t="str">
            <v>A32</v>
          </cell>
          <cell r="C47" t="str">
            <v>เยื่อไผ่ แขนสั้นขาสั้น ฮาวายเขียว M</v>
          </cell>
        </row>
        <row r="48">
          <cell r="A48" t="str">
            <v>BA0032-XL</v>
          </cell>
          <cell r="B48" t="str">
            <v>A32</v>
          </cell>
          <cell r="C48" t="str">
            <v>เยื่อไผ่ แขนสั้นขาสั้น ฮาวายเขียว XL</v>
          </cell>
        </row>
        <row r="49">
          <cell r="A49" t="str">
            <v>BA0033-L</v>
          </cell>
          <cell r="B49" t="str">
            <v>A33</v>
          </cell>
          <cell r="C49" t="str">
            <v>เยื่อไผ่ แขนสั้นขาสั้น ฮาวายเหลือง L</v>
          </cell>
        </row>
        <row r="50">
          <cell r="A50" t="str">
            <v>BA0033-M</v>
          </cell>
          <cell r="B50" t="str">
            <v>A33</v>
          </cell>
          <cell r="C50" t="str">
            <v>เยื่อไผ่ แขนสั้นขาสั้น ฮาวายเหลือง M</v>
          </cell>
        </row>
        <row r="51">
          <cell r="A51" t="str">
            <v>BA0033-XL</v>
          </cell>
          <cell r="B51" t="str">
            <v>A33</v>
          </cell>
          <cell r="C51" t="str">
            <v>เยื่อไผ่ แขนสั้นขาสั้น ฮาวายเหลือง XL</v>
          </cell>
        </row>
        <row r="52">
          <cell r="A52" t="str">
            <v>BA00330-L</v>
          </cell>
          <cell r="B52" t="str">
            <v>A330</v>
          </cell>
        </row>
        <row r="53">
          <cell r="A53" t="str">
            <v>BA0034-L</v>
          </cell>
          <cell r="B53" t="str">
            <v>A34</v>
          </cell>
          <cell r="C53" t="str">
            <v>เยื่อไผ่ แขนสั้นขาสั้น ใบบัวน้ำตาล พื้นม่วง L</v>
          </cell>
        </row>
        <row r="54">
          <cell r="A54" t="str">
            <v>BA0034-M</v>
          </cell>
          <cell r="B54" t="str">
            <v>A34</v>
          </cell>
          <cell r="C54" t="str">
            <v>เยื่อไผ่ แขนสั้นขาสั้น ใบบัวน้ำตาล พื้นม่วง M</v>
          </cell>
        </row>
        <row r="55">
          <cell r="A55" t="str">
            <v>BA0034-S</v>
          </cell>
          <cell r="B55" t="str">
            <v>A34</v>
          </cell>
          <cell r="C55" t="str">
            <v>เยื่อไผ่ แขนสั้นขาสั้น ใบบัวน้ำตาล พื้นม่วง S</v>
          </cell>
        </row>
        <row r="56">
          <cell r="A56" t="str">
            <v>BA0035-L</v>
          </cell>
          <cell r="B56" t="str">
            <v>A35</v>
          </cell>
          <cell r="C56" t="str">
            <v>เยื่อไผ่ แขนสั้นขาสั้น ขาวดอกไม้เล็ก L</v>
          </cell>
        </row>
        <row r="57">
          <cell r="A57" t="str">
            <v>BA0035-M</v>
          </cell>
          <cell r="B57" t="str">
            <v>A35</v>
          </cell>
          <cell r="C57" t="str">
            <v>เยื่อไผ่ แขนสั้นขาสั้น ขาวดอกไม้เล็ก M</v>
          </cell>
        </row>
        <row r="58">
          <cell r="A58" t="str">
            <v>BA0035-S</v>
          </cell>
          <cell r="B58" t="str">
            <v>A35</v>
          </cell>
          <cell r="C58" t="str">
            <v>เยื่อไผ่ แขนสั้นขาสั้น ขาวดอกไม้เล็ก S</v>
          </cell>
        </row>
        <row r="59">
          <cell r="A59" t="str">
            <v>BA0035-XL</v>
          </cell>
          <cell r="B59" t="str">
            <v>A35</v>
          </cell>
          <cell r="C59" t="str">
            <v>เยื่อไผ่ แขนสั้นขาสั้น ขาวดอกไม้เล็ก XL</v>
          </cell>
        </row>
        <row r="60">
          <cell r="A60" t="str">
            <v>BA0036-L</v>
          </cell>
          <cell r="B60" t="str">
            <v>A36</v>
          </cell>
          <cell r="C60" t="str">
            <v>เยื่อไผ่ แขนสั้นขาสั้น ดอกไม้ขาวใหญ่ พื้นเขียว L</v>
          </cell>
        </row>
        <row r="61">
          <cell r="A61" t="str">
            <v>BA0036-M</v>
          </cell>
          <cell r="B61" t="str">
            <v>A36</v>
          </cell>
          <cell r="C61" t="str">
            <v>เยื่อไผ่ แขนสั้นขาสั้น ดอกไม้ขาวใหญ่ พื้นเขียว M</v>
          </cell>
        </row>
        <row r="62">
          <cell r="A62" t="str">
            <v>BA0036-XL</v>
          </cell>
          <cell r="B62" t="str">
            <v>A36</v>
          </cell>
          <cell r="C62" t="str">
            <v>เยื่อไผ่ แขนสั้นขาสั้น ดอกไม้ขาวใหญ่ พื้นเขียว XL</v>
          </cell>
        </row>
        <row r="63">
          <cell r="A63" t="str">
            <v>BA0037-L</v>
          </cell>
          <cell r="B63" t="str">
            <v>A37</v>
          </cell>
          <cell r="C63" t="str">
            <v>เยื่อไผ่ แขนสั้นขนสั้น สีกรม ดอกไม้ขาว L</v>
          </cell>
        </row>
        <row r="64">
          <cell r="A64" t="str">
            <v>BA0037-M</v>
          </cell>
          <cell r="B64" t="str">
            <v>A37</v>
          </cell>
          <cell r="C64" t="str">
            <v>เยื่อไผ่ แขนสั้นขาสั้น สีกรม ดอกไม้ขาว M</v>
          </cell>
        </row>
        <row r="65">
          <cell r="A65" t="str">
            <v>BA0037-XL</v>
          </cell>
          <cell r="B65" t="str">
            <v>A37</v>
          </cell>
          <cell r="C65" t="str">
            <v>เยื่อไผ่ แขนสั้นขาสั้น สีกรม ดอกไม้ขาว XL</v>
          </cell>
        </row>
        <row r="66">
          <cell r="A66" t="str">
            <v>BA0057-L</v>
          </cell>
          <cell r="B66" t="str">
            <v>A57</v>
          </cell>
          <cell r="C66" t="str">
            <v>เยื่อไผ่ แขนสั้นขาสั้น ดอกไม้ พื้นครีม L</v>
          </cell>
        </row>
        <row r="67">
          <cell r="A67" t="str">
            <v>BA0057-M</v>
          </cell>
          <cell r="B67" t="str">
            <v>A57</v>
          </cell>
          <cell r="C67" t="str">
            <v>เยื่อไผ่ แขนสั้นขาสั้น ดอกไม้ พื้นครีม M</v>
          </cell>
        </row>
        <row r="68">
          <cell r="A68" t="str">
            <v>BA0057-S</v>
          </cell>
          <cell r="B68" t="str">
            <v>A57</v>
          </cell>
          <cell r="C68" t="str">
            <v>เยื่อไผ่ แขนสั้นขาสั้น ดอกไม้ พื้นครีม S</v>
          </cell>
        </row>
        <row r="69">
          <cell r="A69" t="str">
            <v>BA0065-L</v>
          </cell>
          <cell r="B69" t="str">
            <v>A65</v>
          </cell>
          <cell r="C69" t="str">
            <v>เยื่อไผ่ แขนสั้นขาสั้น ดอกไม้ชมพู พื้นฟ้าอ่อน L</v>
          </cell>
        </row>
        <row r="70">
          <cell r="A70" t="str">
            <v>BA0065-M</v>
          </cell>
          <cell r="B70" t="str">
            <v>A65</v>
          </cell>
          <cell r="C70" t="str">
            <v>เยื่อไผ่ แขนสั้นขาสั้น ดอกไม้ชมพู พื้นฟ้าอ่อน M</v>
          </cell>
        </row>
        <row r="71">
          <cell r="A71" t="str">
            <v>BA0065-XL</v>
          </cell>
          <cell r="B71" t="str">
            <v>A65</v>
          </cell>
          <cell r="C71" t="str">
            <v>เยื่อไผ่ แขนสั้นขาสั้น ดอกไม้ชมพู พื้นฟ้าอ่อน XL</v>
          </cell>
        </row>
        <row r="72">
          <cell r="A72" t="str">
            <v>BA0068-F</v>
          </cell>
          <cell r="B72" t="str">
            <v>A68</v>
          </cell>
          <cell r="C72" t="str">
            <v>เยื่อไผ่ แขนสั้นขาสั้น สีดำ ดอกไม้ชมพู FreeSize</v>
          </cell>
        </row>
        <row r="73">
          <cell r="A73" t="str">
            <v>BA0070-L</v>
          </cell>
          <cell r="B73" t="str">
            <v>A70</v>
          </cell>
          <cell r="C73" t="str">
            <v>เยื่อไผ่ แขนสั้นขาสั้น ดอกไม้ม่วง L</v>
          </cell>
        </row>
        <row r="74">
          <cell r="A74" t="str">
            <v>BA0070-M</v>
          </cell>
          <cell r="B74" t="str">
            <v>A70</v>
          </cell>
          <cell r="C74" t="str">
            <v>เยื่อไผ่ แขนสั้นขาสั้น ดอกไม้ม่วง M</v>
          </cell>
        </row>
        <row r="75">
          <cell r="A75" t="str">
            <v>BA0070-XL</v>
          </cell>
          <cell r="B75" t="str">
            <v>A70</v>
          </cell>
          <cell r="C75" t="str">
            <v>เยื่อไผ่ แขนสั้นขาสั้น ดอกไม้ม่วง XL</v>
          </cell>
        </row>
        <row r="76">
          <cell r="A76" t="str">
            <v>BA0071-L</v>
          </cell>
          <cell r="B76" t="str">
            <v>A71</v>
          </cell>
          <cell r="C76" t="str">
            <v>เยื่อไผ่ แขนสั้นขาสั้น ดอกไม้ม่วง พื้นเหลือง L</v>
          </cell>
        </row>
        <row r="77">
          <cell r="A77" t="str">
            <v>BA0071-M</v>
          </cell>
          <cell r="B77" t="str">
            <v>A71</v>
          </cell>
          <cell r="C77" t="str">
            <v>เยื่อไผ่ แขนสั้นขาสั้น ดอกไม้ม่วง พื้นเหลือง M</v>
          </cell>
        </row>
        <row r="78">
          <cell r="A78" t="str">
            <v>BA0071-XL</v>
          </cell>
          <cell r="B78" t="str">
            <v>A71</v>
          </cell>
          <cell r="C78" t="str">
            <v>เยื่อไผ่ แขนสั้นขาสั้น ดอกไม้ม่วง พื้นเหลือง XL</v>
          </cell>
        </row>
        <row r="79">
          <cell r="A79" t="str">
            <v>BA0072-L</v>
          </cell>
          <cell r="B79" t="str">
            <v>A72</v>
          </cell>
          <cell r="C79" t="str">
            <v>เยื่อไผ่ แขนสั้นขาสั้น ชมอ่อน ดอกไม้ม่วงเทา L</v>
          </cell>
        </row>
        <row r="80">
          <cell r="A80" t="str">
            <v>BA0072-M</v>
          </cell>
          <cell r="B80" t="str">
            <v>A72</v>
          </cell>
          <cell r="C80" t="str">
            <v>เยื่อไผ่ แขนสั้นขาสั้น ชมอ่อน ดอกไม้ม่วงเทา M</v>
          </cell>
        </row>
        <row r="81">
          <cell r="A81" t="str">
            <v>BA0072-XL</v>
          </cell>
          <cell r="B81" t="str">
            <v>A72</v>
          </cell>
          <cell r="C81" t="str">
            <v>เยื่อไผ่ แขนสั้นขาสั้น ชมอ่อน ดอกไม้ม่วงเทา XL</v>
          </cell>
        </row>
        <row r="82">
          <cell r="A82" t="str">
            <v>BA0073-L</v>
          </cell>
          <cell r="B82" t="str">
            <v>A73</v>
          </cell>
          <cell r="C82" t="str">
            <v>เยื่อไผ่ แขนสั้นขาสั้น ดอกไม้น้ำตาล L</v>
          </cell>
        </row>
        <row r="83">
          <cell r="A83" t="str">
            <v>BA0073-M</v>
          </cell>
          <cell r="B83" t="str">
            <v>A73</v>
          </cell>
          <cell r="C83" t="str">
            <v>เยื่อไผ่ แขนสั้นขาสั้น ดอกไม้น้ำตาล M</v>
          </cell>
        </row>
        <row r="84">
          <cell r="A84" t="str">
            <v>BA0073-S</v>
          </cell>
          <cell r="B84" t="str">
            <v>A73</v>
          </cell>
          <cell r="C84" t="str">
            <v>เยื่อไผ่ แขนสั้นขาสั้น ลายดอกไม้น้ำตาล S</v>
          </cell>
        </row>
        <row r="85">
          <cell r="A85" t="str">
            <v>BA0073-XL</v>
          </cell>
          <cell r="B85" t="str">
            <v>A73</v>
          </cell>
          <cell r="C85" t="str">
            <v>เยื่อไผ่ แขนสั้นขาสั้น ดอกไม้น้ำตาล XL</v>
          </cell>
        </row>
        <row r="86">
          <cell r="A86" t="str">
            <v>BA0076-L</v>
          </cell>
          <cell r="B86" t="str">
            <v>A76</v>
          </cell>
          <cell r="C86" t="str">
            <v>เยื่อไผ่ แขนสั้นขาสั้น ดอกไม้ พื้นม่วง L</v>
          </cell>
        </row>
        <row r="87">
          <cell r="A87" t="str">
            <v>BA0076-M</v>
          </cell>
          <cell r="B87" t="str">
            <v>A76</v>
          </cell>
          <cell r="C87" t="str">
            <v>เยื่อไผ่ แขนสั้นขาสั้น ดอกไม้ พื้นม่วง M</v>
          </cell>
        </row>
        <row r="88">
          <cell r="A88" t="str">
            <v>BA0076-S</v>
          </cell>
          <cell r="B88" t="str">
            <v>A76</v>
          </cell>
          <cell r="C88" t="str">
            <v>เยื่อไผ่ แขนสั้นขาสั้น ดอกไม้ พื้นม่วง S</v>
          </cell>
        </row>
        <row r="89">
          <cell r="A89" t="str">
            <v>BA0088-L</v>
          </cell>
          <cell r="B89" t="str">
            <v>A88</v>
          </cell>
          <cell r="C89" t="str">
            <v>เยื่อไผ่ แขนสั้นขาสั้น ดอกกล้วยไม้ L</v>
          </cell>
        </row>
        <row r="90">
          <cell r="A90" t="str">
            <v>BA0088-M</v>
          </cell>
          <cell r="B90" t="str">
            <v>A88</v>
          </cell>
          <cell r="C90" t="str">
            <v>เยื่อไผ่ แขนสั้นขาสั้น ดอกกล้วยไม้ M</v>
          </cell>
        </row>
        <row r="91">
          <cell r="A91" t="str">
            <v>BA0088-S</v>
          </cell>
          <cell r="B91" t="str">
            <v>A88</v>
          </cell>
          <cell r="C91" t="str">
            <v>เยื่อไผ่ แขนสั้นขาสั้น ดอกกล้วยไม้ S</v>
          </cell>
        </row>
        <row r="92">
          <cell r="A92" t="str">
            <v>BA0089-L</v>
          </cell>
          <cell r="B92" t="str">
            <v>A89</v>
          </cell>
          <cell r="C92" t="str">
            <v>เยื่อไผ่ แขนสั้นขาสั้น กล้วยไม้ พื้นครีม L Oversize</v>
          </cell>
        </row>
        <row r="93">
          <cell r="A93" t="str">
            <v>BA0089-M</v>
          </cell>
          <cell r="B93" t="str">
            <v>A89</v>
          </cell>
          <cell r="C93" t="str">
            <v>เยื่อไผ่ แขนสั้นขาสั้น กล้วยไม้ พื้นครีม M Oversize</v>
          </cell>
        </row>
        <row r="94">
          <cell r="A94" t="str">
            <v>BA0089-XL</v>
          </cell>
          <cell r="B94" t="str">
            <v>A89</v>
          </cell>
          <cell r="C94" t="str">
            <v>เยื่อไผ่ แขนสั้นขาสั้น กล้วยไม้ พื้นครีม XL Oversize</v>
          </cell>
        </row>
        <row r="95">
          <cell r="A95" t="str">
            <v>BA0090-L</v>
          </cell>
          <cell r="B95" t="str">
            <v>A90</v>
          </cell>
          <cell r="C95" t="str">
            <v>เยื่อไผ่ แขนสั้นขาสั้น ดอกไม้ Secret L</v>
          </cell>
        </row>
        <row r="96">
          <cell r="A96" t="str">
            <v>BA0090-M</v>
          </cell>
          <cell r="B96" t="str">
            <v>A90</v>
          </cell>
          <cell r="C96" t="str">
            <v>เยื่อไผ่ แขนสั้นขาสั้น ดอกไม้ Secret M</v>
          </cell>
        </row>
        <row r="97">
          <cell r="A97" t="str">
            <v>BA0090-S</v>
          </cell>
          <cell r="B97" t="str">
            <v>A90</v>
          </cell>
          <cell r="C97" t="str">
            <v>เยื่อไผ่ แขนสั้นขาสั้น ดอกไม้ Secret S</v>
          </cell>
        </row>
        <row r="98">
          <cell r="A98" t="str">
            <v>BA0091-L</v>
          </cell>
          <cell r="B98" t="str">
            <v>A91</v>
          </cell>
          <cell r="C98" t="str">
            <v>เยื่อไผ่ แขนสั้นขาสั้น สีเขียวน้ำทะเล ดอกไม้ L</v>
          </cell>
        </row>
        <row r="99">
          <cell r="A99" t="str">
            <v>BA0091-M</v>
          </cell>
          <cell r="B99" t="str">
            <v>A91</v>
          </cell>
          <cell r="C99" t="str">
            <v>เยื่อไผ่ แขนสั้นขาสั้น สีเขียวน้ำทะเล ดอกไม้ M</v>
          </cell>
        </row>
        <row r="100">
          <cell r="A100" t="str">
            <v>BA0091-XL</v>
          </cell>
          <cell r="B100" t="str">
            <v>A91</v>
          </cell>
          <cell r="C100" t="str">
            <v>เยื่อไผ่ แขนสั้นขาสั้น สีเขียวน้ำทะเล ดอกไม้ XL</v>
          </cell>
        </row>
        <row r="101">
          <cell r="A101" t="str">
            <v>BA0097-L</v>
          </cell>
          <cell r="B101" t="str">
            <v>A97</v>
          </cell>
          <cell r="C101" t="str">
            <v>เยื่อไผ่ แขนสั้นขาสั้น ดอกชบา ส้ม L</v>
          </cell>
        </row>
        <row r="102">
          <cell r="A102" t="str">
            <v>BA0097-M</v>
          </cell>
          <cell r="B102" t="str">
            <v>A97</v>
          </cell>
          <cell r="C102" t="str">
            <v>เยื่อไผ่ แขนสั้นขาสั้น ดอกชบา ส้ม M</v>
          </cell>
        </row>
        <row r="103">
          <cell r="A103" t="str">
            <v>BA0097-XL</v>
          </cell>
          <cell r="B103" t="str">
            <v>A97</v>
          </cell>
          <cell r="C103" t="str">
            <v>เยื่อไผ่ แขนสั้นขาสั้น ดอกชบา ส้ม XL</v>
          </cell>
        </row>
        <row r="104">
          <cell r="A104" t="str">
            <v>BA0098-L</v>
          </cell>
          <cell r="B104" t="str">
            <v>A98</v>
          </cell>
          <cell r="C104" t="str">
            <v>เยื่อไผ่ แขนสั้นขาสั้น โบตั๋น NEW L</v>
          </cell>
        </row>
        <row r="105">
          <cell r="A105" t="str">
            <v>BA0098-M</v>
          </cell>
          <cell r="B105" t="str">
            <v>A98</v>
          </cell>
          <cell r="C105" t="str">
            <v>เยื่อไผ่ แขนสั้นขาสั้น โบตั๋น NEW M</v>
          </cell>
        </row>
        <row r="106">
          <cell r="A106" t="str">
            <v>BA0098-S</v>
          </cell>
          <cell r="B106" t="str">
            <v>A98</v>
          </cell>
          <cell r="C106" t="str">
            <v>เยื่อไผ่ แขนสั้นขาสั้น โบตั๋น NEW S</v>
          </cell>
        </row>
        <row r="107">
          <cell r="A107" t="str">
            <v>BA0098-XL</v>
          </cell>
          <cell r="B107" t="str">
            <v>A98</v>
          </cell>
          <cell r="C107" t="str">
            <v>เยื่อไผ่ แขนสั้นขาสั้น โบตั๋น NEW XL</v>
          </cell>
        </row>
        <row r="108">
          <cell r="A108" t="str">
            <v>BA0103-L</v>
          </cell>
          <cell r="B108" t="str">
            <v>A103</v>
          </cell>
          <cell r="C108" t="str">
            <v>เยื่อไผ่ แขนสั้น ขาสั้น ดอกทิวลิป พื้นฟ้า L</v>
          </cell>
        </row>
        <row r="109">
          <cell r="A109" t="str">
            <v>BA0103-M</v>
          </cell>
          <cell r="B109" t="str">
            <v>A103</v>
          </cell>
          <cell r="C109" t="str">
            <v>เยื่อไผ่ แขนสั้นขาสั้น ดอกทิวลิป พื้นฟ้า M</v>
          </cell>
        </row>
        <row r="110">
          <cell r="A110" t="str">
            <v>BA0103-S</v>
          </cell>
          <cell r="B110" t="str">
            <v>A103</v>
          </cell>
          <cell r="C110" t="str">
            <v>เยื่อไผ่ แขนสั้น ขาสั้น ดอกทิวลิป พื้นฟ้า S</v>
          </cell>
        </row>
        <row r="111">
          <cell r="A111" t="str">
            <v>BA0103-XL</v>
          </cell>
          <cell r="B111" t="str">
            <v>A103</v>
          </cell>
          <cell r="C111" t="str">
            <v>เยื่อไผ่ แขนสั้นขาสั้น ดอกทิวลิป พื้นฟ้า XL</v>
          </cell>
        </row>
        <row r="112">
          <cell r="A112" t="str">
            <v>BA0106-L</v>
          </cell>
          <cell r="B112" t="str">
            <v>A106</v>
          </cell>
          <cell r="C112" t="str">
            <v>เยื่อไผ่ แขนสั้นขาสั้น พีช Tropical L</v>
          </cell>
        </row>
        <row r="113">
          <cell r="A113" t="str">
            <v>BA0106-M</v>
          </cell>
          <cell r="B113" t="str">
            <v>A106</v>
          </cell>
          <cell r="C113" t="str">
            <v>เยื่อไผ่ แขนสั้นขาสั้น พีช Tropical M</v>
          </cell>
        </row>
        <row r="114">
          <cell r="A114" t="str">
            <v>BA0106-S</v>
          </cell>
          <cell r="B114" t="str">
            <v>A106</v>
          </cell>
          <cell r="C114" t="str">
            <v>เยื่อไผ่ แขนสั้นขาสั้น พีช Tropical S</v>
          </cell>
        </row>
        <row r="115">
          <cell r="A115" t="str">
            <v>BA0106-XL</v>
          </cell>
          <cell r="B115" t="str">
            <v>A106</v>
          </cell>
          <cell r="C115" t="str">
            <v>เยื่อไผ่ แขนสั้นขาสั้น พีช Tropical XL</v>
          </cell>
        </row>
        <row r="116">
          <cell r="A116" t="str">
            <v>BA0108-F</v>
          </cell>
          <cell r="B116" t="str">
            <v>A108</v>
          </cell>
          <cell r="C116" t="str">
            <v>เยื่อไผ่ แขนสั้นขาสั้น พีช FreeSize</v>
          </cell>
        </row>
        <row r="117">
          <cell r="A117" t="str">
            <v>BA0108-L</v>
          </cell>
          <cell r="B117" t="str">
            <v>A108</v>
          </cell>
          <cell r="C117" t="str">
            <v>เยื่อไผ่ แขนสั้นขาสั้น พีช Oversize L</v>
          </cell>
        </row>
        <row r="118">
          <cell r="A118" t="str">
            <v>BA0108-M</v>
          </cell>
          <cell r="B118" t="str">
            <v>A108</v>
          </cell>
          <cell r="C118" t="str">
            <v>เยื่อไผ่ แขนสั้นขาสั้น พีช Oversize M</v>
          </cell>
        </row>
        <row r="119">
          <cell r="A119" t="str">
            <v>BA0108-S</v>
          </cell>
          <cell r="B119" t="str">
            <v>JA108</v>
          </cell>
          <cell r="C119" t="str">
            <v>เยื่อไผ่ แขนสั้นขาสั้น พีช Oversize S ตัวโชว์</v>
          </cell>
        </row>
        <row r="120">
          <cell r="A120" t="str">
            <v>BA0110-L</v>
          </cell>
          <cell r="B120" t="str">
            <v>A110</v>
          </cell>
          <cell r="C120" t="str">
            <v>เยื่อไผ่ แขนสั้นขาสั้น ลายเลมอน สีม่วง OverSize L</v>
          </cell>
        </row>
        <row r="121">
          <cell r="A121" t="str">
            <v>BA0110-M</v>
          </cell>
          <cell r="B121" t="str">
            <v>A110</v>
          </cell>
          <cell r="C121" t="str">
            <v>เยื่อไผ่ แขนสั้นขาสั้น ลายเลมอน สีม่วง OverSize M</v>
          </cell>
        </row>
        <row r="122">
          <cell r="A122" t="str">
            <v>BA0110-S</v>
          </cell>
          <cell r="B122" t="str">
            <v>A110</v>
          </cell>
          <cell r="C122" t="str">
            <v>เยื่อไผ่ แขนสั้นขาสั้น ลายเลมอน สีม่วง OverSize S</v>
          </cell>
        </row>
        <row r="123">
          <cell r="A123" t="str">
            <v>BA0111-L</v>
          </cell>
          <cell r="B123" t="str">
            <v>A111</v>
          </cell>
          <cell r="C123" t="str">
            <v>เยื่อไผ่ แขนสั้นขาสั้น สัปปะรด พื้นเหลือง OverSize L</v>
          </cell>
        </row>
        <row r="124">
          <cell r="A124" t="str">
            <v>BA0111-M</v>
          </cell>
          <cell r="B124" t="str">
            <v>A111</v>
          </cell>
          <cell r="C124" t="str">
            <v>เยื่อไผ่ แขนสั้นขาสั้น สัปปะรด พื้นเหลือง OVERSIZE M</v>
          </cell>
        </row>
        <row r="125">
          <cell r="A125" t="str">
            <v>BA0111-S</v>
          </cell>
          <cell r="B125" t="str">
            <v>A111</v>
          </cell>
          <cell r="C125" t="str">
            <v>เยื่อไผ่ แขนสั้นขาสั้น สัปปะรด พื้นเหลือง OverSize S</v>
          </cell>
        </row>
        <row r="126">
          <cell r="A126" t="str">
            <v>BA0112-L</v>
          </cell>
          <cell r="B126" t="str">
            <v>A112</v>
          </cell>
          <cell r="C126" t="str">
            <v>เยื่อไผ่ แขนสั้นขาสั้น สาลี่ L</v>
          </cell>
        </row>
        <row r="127">
          <cell r="A127" t="str">
            <v>BA0112-M</v>
          </cell>
          <cell r="B127" t="str">
            <v>A112</v>
          </cell>
          <cell r="C127" t="str">
            <v>เยื่อไผ่ แขนสั้นขาสั้น สาลี่ M</v>
          </cell>
        </row>
        <row r="128">
          <cell r="A128" t="str">
            <v>BA0112-S</v>
          </cell>
          <cell r="B128" t="str">
            <v>A112</v>
          </cell>
          <cell r="C128" t="str">
            <v>เยื่อไผ่ แขนสั้นขาสั้น สาลี่ S</v>
          </cell>
        </row>
        <row r="129">
          <cell r="A129" t="str">
            <v>BA0112-XL</v>
          </cell>
          <cell r="B129" t="str">
            <v>A112</v>
          </cell>
          <cell r="C129" t="str">
            <v>เยื่อไผ่ แขนสั้นขาสั้น สาลี่ XL</v>
          </cell>
        </row>
        <row r="130">
          <cell r="A130" t="str">
            <v>BA0113-L</v>
          </cell>
          <cell r="B130" t="str">
            <v>A113</v>
          </cell>
          <cell r="C130" t="str">
            <v>เยื่อไผ่ แขนสั้นขาสั้น ชมพูพื้น L</v>
          </cell>
        </row>
        <row r="131">
          <cell r="A131" t="str">
            <v>BA0113-M</v>
          </cell>
          <cell r="B131" t="str">
            <v>A113</v>
          </cell>
          <cell r="C131" t="str">
            <v>เยื่อไผ่ แขนสั้นขาสั้น ชมพูพื้น M</v>
          </cell>
        </row>
        <row r="132">
          <cell r="A132" t="str">
            <v>BA0113-S</v>
          </cell>
          <cell r="B132" t="str">
            <v>A113</v>
          </cell>
          <cell r="C132" t="str">
            <v>เยื่อไผ่ แขนสั้นขาสั้น ชมพูพื้น S</v>
          </cell>
        </row>
        <row r="133">
          <cell r="A133" t="str">
            <v>BA0113-XL</v>
          </cell>
          <cell r="B133" t="str">
            <v>A113</v>
          </cell>
          <cell r="C133" t="str">
            <v>เยื่อไผ่ แขนสั้นขาสั้น ชมพูพื้น XL</v>
          </cell>
        </row>
        <row r="134">
          <cell r="A134" t="str">
            <v>BA0114-L</v>
          </cell>
          <cell r="B134" t="str">
            <v>A114</v>
          </cell>
          <cell r="C134" t="str">
            <v>เยื่อไผ่ แขนสั้นขาสั้น เขียวอ่อนพื้น L</v>
          </cell>
        </row>
        <row r="135">
          <cell r="A135" t="str">
            <v>BA0114-M</v>
          </cell>
          <cell r="B135" t="str">
            <v>A114</v>
          </cell>
          <cell r="C135" t="str">
            <v>เยื่อไผ่ แขนสั้นขาสั้น เขียวอ่อนพื้น M</v>
          </cell>
        </row>
        <row r="136">
          <cell r="A136" t="str">
            <v>BA0114-S</v>
          </cell>
          <cell r="B136" t="str">
            <v>A114</v>
          </cell>
          <cell r="C136" t="str">
            <v>เยื่อไผ่ แขนสั้นขาสั้น เขียวอ่อนพื้น S</v>
          </cell>
        </row>
        <row r="137">
          <cell r="A137" t="str">
            <v>BA0114-XL</v>
          </cell>
          <cell r="B137" t="str">
            <v>A114</v>
          </cell>
          <cell r="C137" t="str">
            <v>เยื่อไผ่ แขนสั้นขาสั้น เขียวอ่อนพื้น XL</v>
          </cell>
        </row>
        <row r="138">
          <cell r="A138" t="str">
            <v>BA0115-L</v>
          </cell>
          <cell r="B138" t="str">
            <v>A115</v>
          </cell>
          <cell r="C138" t="str">
            <v>เยื่อไผ่ แขนสั้นขาสั้น เทาฟ้าพื้น L</v>
          </cell>
        </row>
        <row r="139">
          <cell r="A139" t="str">
            <v>BA0115-M</v>
          </cell>
          <cell r="B139" t="str">
            <v>A115</v>
          </cell>
          <cell r="C139" t="str">
            <v>เยื่อไผ่ แขนสั้นขาสั้น เทาฟ้าพื้น M</v>
          </cell>
        </row>
        <row r="140">
          <cell r="A140" t="str">
            <v>BA0115-S</v>
          </cell>
          <cell r="B140" t="str">
            <v>A115</v>
          </cell>
          <cell r="C140" t="str">
            <v>เยื่อไผ่ แขนสั้นขาสั้น เทาฟ้าพื้น S</v>
          </cell>
        </row>
        <row r="141">
          <cell r="A141" t="str">
            <v>BA0115-XL</v>
          </cell>
          <cell r="B141" t="str">
            <v>A115</v>
          </cell>
          <cell r="C141" t="str">
            <v>เยื่อไผ่ แขนสั้นขาสั้น เทาฟ้าพื้น XL</v>
          </cell>
        </row>
        <row r="142">
          <cell r="A142" t="str">
            <v>BA0117-L</v>
          </cell>
          <cell r="B142" t="str">
            <v>A117</v>
          </cell>
          <cell r="C142" t="str">
            <v>เยื่อไผ่ แขนสั้นขาสั้น ลายทาง พาสเทล L</v>
          </cell>
        </row>
        <row r="143">
          <cell r="A143" t="str">
            <v>BA0117-M</v>
          </cell>
          <cell r="B143" t="str">
            <v>A117</v>
          </cell>
          <cell r="C143" t="str">
            <v>เยื่อไผ่ แขนสั้นขาสั้น ลายทาง พาสเทล M</v>
          </cell>
        </row>
        <row r="144">
          <cell r="A144" t="str">
            <v>BA0117-S</v>
          </cell>
          <cell r="B144" t="str">
            <v>A117</v>
          </cell>
          <cell r="C144" t="str">
            <v>เยื่อไผ่ แขนสั้นขาสั้น ลายทาง พาสเทล S</v>
          </cell>
        </row>
        <row r="145">
          <cell r="A145" t="str">
            <v>BA0117-XL</v>
          </cell>
          <cell r="B145" t="str">
            <v>A117</v>
          </cell>
          <cell r="C145" t="str">
            <v>เยื่อไผ่ แขนสั้นขาสั้น ลายทาง พาสเทล XL</v>
          </cell>
        </row>
        <row r="146">
          <cell r="A146" t="str">
            <v>BA0118-L</v>
          </cell>
          <cell r="B146" t="str">
            <v>A118</v>
          </cell>
          <cell r="C146" t="str">
            <v>เยื่อไผ่ แขนสั้นขาสั้น ทางเขียว L</v>
          </cell>
        </row>
        <row r="147">
          <cell r="A147" t="str">
            <v>BA0118-M</v>
          </cell>
          <cell r="B147" t="str">
            <v>A118</v>
          </cell>
          <cell r="C147" t="str">
            <v>เยื่อไผ่ แขนสั้นขาสั้น ทางเขียว M</v>
          </cell>
        </row>
        <row r="148">
          <cell r="A148" t="str">
            <v>BA0118-S</v>
          </cell>
          <cell r="B148" t="str">
            <v>A118</v>
          </cell>
          <cell r="C148" t="str">
            <v>เยื่อไผ่ แขนสั้นขาสั้น ทางเขียว S</v>
          </cell>
        </row>
        <row r="149">
          <cell r="A149" t="str">
            <v>BA0118-XL</v>
          </cell>
          <cell r="B149" t="str">
            <v>A118</v>
          </cell>
          <cell r="C149" t="str">
            <v>เยื่อไผ่ แขนสั้นขาสั้น ทางเขียว XL</v>
          </cell>
        </row>
        <row r="150">
          <cell r="A150" t="str">
            <v>BA0119-2XL</v>
          </cell>
          <cell r="B150" t="str">
            <v>A119</v>
          </cell>
          <cell r="C150" t="str">
            <v>เยื่อไผ่ แขนสั้นขาสั้น ตารางดำขาว 2XL</v>
          </cell>
        </row>
        <row r="151">
          <cell r="A151" t="str">
            <v>BA0119-L</v>
          </cell>
          <cell r="B151" t="str">
            <v>A119</v>
          </cell>
          <cell r="C151" t="str">
            <v>เยื่อไผ่ แขนสั้นขาสั้น ตารางดำขาว L</v>
          </cell>
        </row>
        <row r="152">
          <cell r="A152" t="str">
            <v>BA0119-M</v>
          </cell>
          <cell r="B152" t="str">
            <v>A119</v>
          </cell>
          <cell r="C152" t="str">
            <v>เยื่อไผ่ แขนสั้นขาสั้น ตารางดำขาว M</v>
          </cell>
        </row>
        <row r="153">
          <cell r="A153" t="str">
            <v>BA0119-XL</v>
          </cell>
          <cell r="B153" t="str">
            <v>A119</v>
          </cell>
          <cell r="C153" t="str">
            <v>เยื่อไผ่ แขนสั้นขาสั้น ตารางดำขาว XL</v>
          </cell>
        </row>
        <row r="154">
          <cell r="A154" t="str">
            <v>BA0121-2XL</v>
          </cell>
          <cell r="B154" t="str">
            <v>A121</v>
          </cell>
          <cell r="C154" t="str">
            <v>เยื่อไผ่ แขนสั้น ขาสั้น ขาวลายจุด Tropical 2XL</v>
          </cell>
        </row>
        <row r="155">
          <cell r="A155" t="str">
            <v>BA0121-L</v>
          </cell>
          <cell r="B155" t="str">
            <v>A121</v>
          </cell>
          <cell r="C155" t="str">
            <v>เยื่อไผ่ แขนสั้น ขาสั้น ขาวลายจุด Tropical L</v>
          </cell>
        </row>
        <row r="156">
          <cell r="A156" t="str">
            <v>BA0121-M</v>
          </cell>
          <cell r="B156" t="str">
            <v>A121</v>
          </cell>
          <cell r="C156" t="str">
            <v>เยื่อไผ่ แขนสั้น ขาสั้น ขาวลายจุด Tropical M</v>
          </cell>
        </row>
        <row r="157">
          <cell r="A157" t="str">
            <v>BA0121-XL</v>
          </cell>
          <cell r="B157" t="str">
            <v>A121</v>
          </cell>
          <cell r="C157" t="str">
            <v>เยื่อไผ่ แขนสั้นขาสั้น ขาวลายจุด Tropical XL</v>
          </cell>
        </row>
        <row r="158">
          <cell r="A158" t="str">
            <v>BA0124-L</v>
          </cell>
          <cell r="B158" t="str">
            <v>A124</v>
          </cell>
          <cell r="C158" t="str">
            <v>เยื่อไผ่ แขนสั้นขาสั้น จุดน้ำเงินเหลือง L</v>
          </cell>
        </row>
        <row r="159">
          <cell r="A159" t="str">
            <v>BA0124-M</v>
          </cell>
          <cell r="B159" t="str">
            <v>A124</v>
          </cell>
          <cell r="C159" t="str">
            <v>เยื่อไผ่ แขนสั้นขาสั้น จุดน้ำเงินเหลือง M</v>
          </cell>
        </row>
        <row r="160">
          <cell r="A160" t="str">
            <v>BA0124-XL</v>
          </cell>
          <cell r="B160" t="str">
            <v>A124</v>
          </cell>
          <cell r="C160" t="str">
            <v>เยื่อไผ่ แขนสั้นขาสั้น จุดน้ำเงินเหลือง XL</v>
          </cell>
        </row>
        <row r="161">
          <cell r="A161" t="str">
            <v>BA0125-L</v>
          </cell>
          <cell r="B161" t="str">
            <v>A125</v>
          </cell>
          <cell r="C161" t="str">
            <v>เยื่อไผ่ แขนสั้นขาสั้น จุดเขียว L</v>
          </cell>
        </row>
        <row r="162">
          <cell r="A162" t="str">
            <v>BA0125-M</v>
          </cell>
          <cell r="B162" t="str">
            <v>A125</v>
          </cell>
          <cell r="C162" t="str">
            <v>เยื่อไผ่ แขนสั้นขาสั้น จุดเขียว M</v>
          </cell>
        </row>
        <row r="163">
          <cell r="A163" t="str">
            <v>BA0125-S</v>
          </cell>
          <cell r="B163" t="str">
            <v>A125</v>
          </cell>
          <cell r="C163" t="str">
            <v>เยื่อไผ่ แขนสั้นขาสั้น จุดเขียว S</v>
          </cell>
        </row>
        <row r="164">
          <cell r="A164" t="str">
            <v>BA0125-XL</v>
          </cell>
          <cell r="B164" t="str">
            <v>A125</v>
          </cell>
          <cell r="C164" t="str">
            <v>เยื่อไผ่ แขนสั้นขาสั้น จุดเขียว XL</v>
          </cell>
        </row>
        <row r="165">
          <cell r="A165" t="str">
            <v>BA0126-L</v>
          </cell>
          <cell r="B165" t="str">
            <v>A126</v>
          </cell>
          <cell r="C165" t="str">
            <v>เยื่อไผ่ แขนสั้นขาสั้น จุดชมพู L</v>
          </cell>
        </row>
        <row r="166">
          <cell r="A166" t="str">
            <v>BA0126-M</v>
          </cell>
          <cell r="B166" t="str">
            <v>A126</v>
          </cell>
          <cell r="C166" t="str">
            <v>เยื่อไผ่ แขนสั้นขาสั้น จุดชมพู M</v>
          </cell>
        </row>
        <row r="167">
          <cell r="A167" t="str">
            <v>BA0126-S</v>
          </cell>
          <cell r="B167" t="str">
            <v>A126</v>
          </cell>
          <cell r="C167" t="str">
            <v>เยื่อไผ่ แขนสั้นขาสั้น จุดชมพู S</v>
          </cell>
        </row>
        <row r="168">
          <cell r="A168" t="str">
            <v>BA0126-XL</v>
          </cell>
          <cell r="B168" t="str">
            <v>A126</v>
          </cell>
          <cell r="C168" t="str">
            <v>เยื่อไผ่ แขนสั้นขาสั้น จุดชมพู XL</v>
          </cell>
        </row>
        <row r="169">
          <cell r="A169" t="str">
            <v>BA0130-L</v>
          </cell>
          <cell r="B169" t="str">
            <v>BA130</v>
          </cell>
          <cell r="C169" t="str">
            <v>เยื่อไผ่ แขนสั้นขาสั้น Map L</v>
          </cell>
        </row>
        <row r="170">
          <cell r="A170" t="str">
            <v>BA0130-M</v>
          </cell>
          <cell r="B170" t="str">
            <v>A130</v>
          </cell>
          <cell r="C170" t="str">
            <v>เยื่อไผ่ แขนสั้นขาสั้น Map M</v>
          </cell>
        </row>
        <row r="171">
          <cell r="A171" t="str">
            <v>BA0130-S</v>
          </cell>
          <cell r="B171" t="str">
            <v>A130</v>
          </cell>
          <cell r="C171" t="str">
            <v>เยื่อไผ่ แขนสั้นขาสั้น Map S</v>
          </cell>
        </row>
        <row r="172">
          <cell r="A172" t="str">
            <v>BA0131-L</v>
          </cell>
          <cell r="B172" t="str">
            <v>A131</v>
          </cell>
          <cell r="C172" t="str">
            <v>เยื่อไผ่ แขนสั้นขาสั้น Line friend น้ำเงิน L</v>
          </cell>
        </row>
        <row r="173">
          <cell r="A173" t="str">
            <v>BA0131-M</v>
          </cell>
          <cell r="B173" t="str">
            <v>A131</v>
          </cell>
          <cell r="C173" t="str">
            <v>เยื่อไผ่ แขนสั้นขาสั้น Line friend น้ำเงิน M</v>
          </cell>
        </row>
        <row r="174">
          <cell r="A174" t="str">
            <v>BA0131-XL</v>
          </cell>
          <cell r="B174" t="str">
            <v>A131</v>
          </cell>
          <cell r="C174" t="str">
            <v>เยื่อไผ่ แขนสั้นขาสั้น Line friend น้ำเงิน XL</v>
          </cell>
        </row>
        <row r="175">
          <cell r="A175" t="str">
            <v>BA0132-L</v>
          </cell>
          <cell r="B175" t="str">
            <v>A132</v>
          </cell>
          <cell r="C175" t="str">
            <v>เยื่อไผ่ แขนสั้นขาสั้น Line friend ชมพู L</v>
          </cell>
        </row>
        <row r="176">
          <cell r="A176" t="str">
            <v>BA0132-M</v>
          </cell>
          <cell r="B176" t="str">
            <v>A132</v>
          </cell>
          <cell r="C176" t="str">
            <v>เยื่อไผ่ แขนสั้นขาสั้น Line friend ชมพู M</v>
          </cell>
        </row>
        <row r="177">
          <cell r="A177" t="str">
            <v>BA0132-XL</v>
          </cell>
          <cell r="B177" t="str">
            <v>A132</v>
          </cell>
          <cell r="C177" t="str">
            <v>เยื่อไผ่ แขนสั้นขาสั้น Line friend ชมพู XL</v>
          </cell>
        </row>
        <row r="178">
          <cell r="A178" t="str">
            <v>BA0133-L</v>
          </cell>
          <cell r="B178" t="str">
            <v>A133</v>
          </cell>
          <cell r="C178" t="str">
            <v>เยื่อไผ่ แขนสั้นขาสั้น ดาว สีฟ้า L</v>
          </cell>
        </row>
        <row r="179">
          <cell r="A179" t="str">
            <v>BA0133-M</v>
          </cell>
          <cell r="B179" t="str">
            <v>A133</v>
          </cell>
          <cell r="C179" t="str">
            <v>เยื่อไผ่ แขนสั้นขาสั้น ดาว สีฟ้า M</v>
          </cell>
        </row>
        <row r="180">
          <cell r="A180" t="str">
            <v>BA0133-S</v>
          </cell>
          <cell r="B180" t="str">
            <v>A133</v>
          </cell>
          <cell r="C180" t="str">
            <v>เยื่อไผ่ แขนสั้นขาสั้น ดาว สีฟ้า S</v>
          </cell>
        </row>
        <row r="181">
          <cell r="A181" t="str">
            <v>BA0133-XL</v>
          </cell>
          <cell r="B181" t="str">
            <v>A133</v>
          </cell>
          <cell r="C181" t="str">
            <v>เยื่อไผ่ แขนสั้นขาสั้น ดาว สีฟ้า XL</v>
          </cell>
        </row>
        <row r="182">
          <cell r="A182" t="str">
            <v>BA0134-L</v>
          </cell>
          <cell r="B182" t="str">
            <v>A134</v>
          </cell>
          <cell r="C182" t="str">
            <v>เยื่อไผ่ แขนสั้นขาสั้น หมีการ์ตูน ชมพู L</v>
          </cell>
        </row>
        <row r="183">
          <cell r="A183" t="str">
            <v>BA0134-M</v>
          </cell>
          <cell r="B183" t="str">
            <v>A134</v>
          </cell>
          <cell r="C183" t="str">
            <v>เยื่อไผ่ แขนสั้นขาสั้น หมีการ์ตูน ชมพู M</v>
          </cell>
        </row>
        <row r="184">
          <cell r="A184" t="str">
            <v>BA0134-S</v>
          </cell>
          <cell r="B184" t="str">
            <v>A134</v>
          </cell>
          <cell r="C184" t="str">
            <v>เยื่อไผ่ แขนสั้นขาสั้น หมีการ์ตูน ชมพู S</v>
          </cell>
        </row>
        <row r="185">
          <cell r="A185" t="str">
            <v>BA0134-XL</v>
          </cell>
          <cell r="B185" t="str">
            <v>A134</v>
          </cell>
          <cell r="C185" t="str">
            <v>เยื่อไผ่ แขนสั้นขาสั้น หมีการ์ตูน ชมพู XL</v>
          </cell>
        </row>
        <row r="186">
          <cell r="A186" t="str">
            <v>BA0135-2XL</v>
          </cell>
          <cell r="B186" t="str">
            <v>A135</v>
          </cell>
          <cell r="C186" t="str">
            <v>เยื่อไผ่ แขนสั้นขาสั้น ลายอาร์ทพาสเทล 2XL</v>
          </cell>
        </row>
        <row r="187">
          <cell r="A187" t="str">
            <v>BA0135-L</v>
          </cell>
          <cell r="B187" t="str">
            <v>A135</v>
          </cell>
          <cell r="C187" t="str">
            <v>เยื่อไผ่ แขนสั้นขาสั้น ลายอาร์ทพาสเทล L</v>
          </cell>
        </row>
        <row r="188">
          <cell r="A188" t="str">
            <v>BA0135-M</v>
          </cell>
          <cell r="B188" t="str">
            <v>A135</v>
          </cell>
          <cell r="C188" t="str">
            <v>เยื่อไผ่ แขนสั้นขาสั้น ลายอาร์ทพาสเทล M</v>
          </cell>
        </row>
        <row r="189">
          <cell r="A189" t="str">
            <v>BA0135-XL</v>
          </cell>
          <cell r="B189" t="str">
            <v>BA135</v>
          </cell>
          <cell r="C189" t="str">
            <v>เยื่อไผ่ แขนสั้นขาสั้น ลายอาร์ทพาสเทล XL</v>
          </cell>
        </row>
        <row r="190">
          <cell r="A190" t="str">
            <v>BA0139-L</v>
          </cell>
          <cell r="B190" t="str">
            <v>A139</v>
          </cell>
          <cell r="C190" t="str">
            <v>เยื่อไผ่ แขนสั้นขาสั้น สวมแขน ระบายขาว จุด L</v>
          </cell>
        </row>
        <row r="191">
          <cell r="A191" t="str">
            <v>BA0139-M</v>
          </cell>
          <cell r="B191" t="str">
            <v>A139</v>
          </cell>
          <cell r="C191" t="str">
            <v>เยื่อไผ่ แขนสั้นขาสั้น สวมแขน ระบายขาว จุด M</v>
          </cell>
        </row>
        <row r="192">
          <cell r="A192" t="str">
            <v>BA0139-S</v>
          </cell>
          <cell r="B192" t="str">
            <v>A139</v>
          </cell>
          <cell r="C192" t="str">
            <v>เยื่อไผ่ แขนสั้นขาสั้น สวมแขน ระบายขาว จุด S</v>
          </cell>
        </row>
        <row r="193">
          <cell r="A193" t="str">
            <v>BA0140-M</v>
          </cell>
          <cell r="B193" t="str">
            <v>A140</v>
          </cell>
          <cell r="C193" t="str">
            <v>เยื่อไผ่ แขนสั้นขาสั้น สวมแขน ระบายชมพูจุดM</v>
          </cell>
        </row>
        <row r="194">
          <cell r="A194" t="str">
            <v>BA0141-L</v>
          </cell>
          <cell r="B194" t="str">
            <v>A141</v>
          </cell>
          <cell r="C194" t="str">
            <v>เยื่อไผ่ แขนสั้นขาสั้น คอวี  ฮาวายเหลือง L</v>
          </cell>
        </row>
        <row r="195">
          <cell r="A195" t="str">
            <v>BA0153-L</v>
          </cell>
          <cell r="B195" t="str">
            <v>A153</v>
          </cell>
          <cell r="C195" t="str">
            <v>เยื่อไผ่ แขนสั้นขาสั้น คอบัว พื้นขาว L</v>
          </cell>
        </row>
        <row r="196">
          <cell r="A196" t="str">
            <v>BA0153-M</v>
          </cell>
          <cell r="B196" t="str">
            <v>A153</v>
          </cell>
          <cell r="C196" t="str">
            <v>เยื่อไผ่ แขนสั้นขาสั้น คอบัว พื้นขาว M</v>
          </cell>
        </row>
        <row r="197">
          <cell r="A197" t="str">
            <v>BA0153-S</v>
          </cell>
          <cell r="B197" t="str">
            <v>A153</v>
          </cell>
          <cell r="C197" t="str">
            <v>เยื่อไผ่ แขนสั้นขาสั้น คอบัว พื้นขาว S</v>
          </cell>
        </row>
        <row r="198">
          <cell r="A198" t="str">
            <v>BA0153-XL</v>
          </cell>
          <cell r="B198" t="str">
            <v>A153</v>
          </cell>
          <cell r="C198" t="str">
            <v>เยื่อไผ่ แขนสั้นขาสั้น คอบัว พื้นขาว XL</v>
          </cell>
        </row>
        <row r="199">
          <cell r="A199" t="str">
            <v>BA0154-L</v>
          </cell>
          <cell r="B199" t="str">
            <v>A154</v>
          </cell>
          <cell r="C199" t="str">
            <v>เยื่อไผ่ แขนสั้นขาสั้น คอบัว พื้นเขียว L</v>
          </cell>
        </row>
        <row r="200">
          <cell r="A200" t="str">
            <v>BA0154-M</v>
          </cell>
          <cell r="B200" t="str">
            <v>A154</v>
          </cell>
          <cell r="C200" t="str">
            <v>เยื่อไผ่ แขนสั้นขาสั้น คอบัว พื้นเขียว M</v>
          </cell>
        </row>
        <row r="201">
          <cell r="A201" t="str">
            <v>BA0154-S</v>
          </cell>
          <cell r="B201" t="str">
            <v>A154</v>
          </cell>
          <cell r="C201" t="str">
            <v>เยื่อไผ่ แขนสั้นขาสั้น คอบัว พื้นเขียว S</v>
          </cell>
        </row>
        <row r="202">
          <cell r="A202" t="str">
            <v>BA0154-XL</v>
          </cell>
          <cell r="B202" t="str">
            <v>A154</v>
          </cell>
          <cell r="C202" t="str">
            <v>เยื่อไผ่ แขนสั้นขาสั้น คอบัว พื้นเขียว XL</v>
          </cell>
        </row>
        <row r="203">
          <cell r="A203" t="str">
            <v>BA0155-L</v>
          </cell>
          <cell r="B203" t="str">
            <v>A155</v>
          </cell>
          <cell r="C203" t="str">
            <v>เยื่อไผ่ แขนสั้นขาสั้น คอบัว ชมพูอ่อน L</v>
          </cell>
        </row>
        <row r="204">
          <cell r="A204" t="str">
            <v>BA0155-M</v>
          </cell>
          <cell r="B204" t="str">
            <v>A155</v>
          </cell>
          <cell r="C204" t="str">
            <v>เยื่อไผ่ แขนสั้นขาสั้น คอบัว ชมพูอ่อน M</v>
          </cell>
        </row>
        <row r="205">
          <cell r="A205" t="str">
            <v>BA0155-S</v>
          </cell>
          <cell r="B205" t="str">
            <v>A155</v>
          </cell>
          <cell r="C205" t="str">
            <v>เยื่อไผ่ แขนสั้นขาสั้น คอบัว ชมพูอ่อน S</v>
          </cell>
        </row>
        <row r="206">
          <cell r="A206" t="str">
            <v>BA0155-XL</v>
          </cell>
          <cell r="B206" t="str">
            <v>A155</v>
          </cell>
          <cell r="C206" t="str">
            <v>เยื่อไผ่ แขนสั้นขาสั้น คอบัว ชมพูอ่อน XL</v>
          </cell>
        </row>
        <row r="207">
          <cell r="A207" t="str">
            <v>BA0157-L</v>
          </cell>
          <cell r="B207" t="str">
            <v>A157</v>
          </cell>
          <cell r="C207" t="str">
            <v>เยื่อไผ่ แขนสั้นขาสั้น คอบัว ลายจุด L</v>
          </cell>
        </row>
        <row r="208">
          <cell r="A208" t="str">
            <v>BA0157-M</v>
          </cell>
          <cell r="B208" t="str">
            <v>A157</v>
          </cell>
          <cell r="C208" t="str">
            <v>เยื่อไผ่ แขนสั้นขาสั้น คอบัว ลายจุด M</v>
          </cell>
        </row>
        <row r="209">
          <cell r="A209" t="str">
            <v>BA0157-S</v>
          </cell>
          <cell r="B209" t="str">
            <v>A157</v>
          </cell>
          <cell r="C209" t="str">
            <v>เยื่อไผ่ แขนสั้นขาสั้น คอบัว ลายจุด S</v>
          </cell>
        </row>
        <row r="210">
          <cell r="A210" t="str">
            <v>BA0157-XL</v>
          </cell>
          <cell r="B210" t="str">
            <v>A157</v>
          </cell>
          <cell r="C210" t="str">
            <v>เยื่อไผ่ แขนสั้นขาสั้น คอบัว ลายจุด XL</v>
          </cell>
        </row>
        <row r="211">
          <cell r="A211" t="str">
            <v>BA0158-L</v>
          </cell>
          <cell r="B211" t="str">
            <v>A158</v>
          </cell>
          <cell r="C211" t="str">
            <v>เยื่อไผ่ แขนสั้นขาสั้น คอบัว สีโอรส L</v>
          </cell>
        </row>
        <row r="212">
          <cell r="A212" t="str">
            <v>BA0158-M</v>
          </cell>
          <cell r="B212" t="str">
            <v>A158</v>
          </cell>
          <cell r="C212" t="str">
            <v>เยื่อไผ่ แขนสั้นขาสั้น คอบัว สีโอรส M</v>
          </cell>
        </row>
        <row r="213">
          <cell r="A213" t="str">
            <v>BA0158-S</v>
          </cell>
          <cell r="B213" t="str">
            <v>A158</v>
          </cell>
          <cell r="C213" t="str">
            <v>เยื่อไผ่ แขนสั้นขาสั้น คอบัว สีโอรส S</v>
          </cell>
        </row>
        <row r="214">
          <cell r="A214" t="str">
            <v>BA0158-XL</v>
          </cell>
          <cell r="B214" t="str">
            <v>A158</v>
          </cell>
          <cell r="C214" t="str">
            <v>เยื่อไผ่ แขนสั้นขาสั้น คอบัว สีโอรส XL</v>
          </cell>
        </row>
        <row r="215">
          <cell r="A215" t="str">
            <v>BA0160-L</v>
          </cell>
          <cell r="B215" t="str">
            <v>A160</v>
          </cell>
          <cell r="C215" t="str">
            <v>เยื่อไผ่ แขนสั้นขาสั้น คอปก ลายนกสีชมพู L</v>
          </cell>
        </row>
        <row r="216">
          <cell r="A216" t="str">
            <v>BA0160-M</v>
          </cell>
          <cell r="B216" t="str">
            <v>A160</v>
          </cell>
          <cell r="C216" t="str">
            <v>เยื่อไผ่ แขนสั้นขาสั้น คอปก ลายนกสีชมพู M</v>
          </cell>
        </row>
        <row r="217">
          <cell r="A217" t="str">
            <v>BA0160-S</v>
          </cell>
          <cell r="B217" t="str">
            <v>A160</v>
          </cell>
          <cell r="C217" t="str">
            <v>เยื่อไผ่ แขนสั้นขาสั้น คอปก ลายนกสีชมพู S</v>
          </cell>
        </row>
        <row r="218">
          <cell r="A218" t="str">
            <v>BA0160-XL</v>
          </cell>
          <cell r="B218" t="str">
            <v>A160</v>
          </cell>
          <cell r="C218" t="str">
            <v>เยื่อไผ่ แขนสั้นขาสั้น คอปก ลายนกสีชมพู XL</v>
          </cell>
        </row>
        <row r="219">
          <cell r="A219" t="str">
            <v>BA0161-M</v>
          </cell>
          <cell r="B219" t="str">
            <v>A161</v>
          </cell>
          <cell r="C219" t="str">
            <v>เยื่อไผ่ แขนสั้นขาสั้น คอปก ดอกไม้ สีโอรส M</v>
          </cell>
        </row>
        <row r="220">
          <cell r="A220" t="str">
            <v>BA0163-L</v>
          </cell>
          <cell r="B220" t="str">
            <v>A163</v>
          </cell>
          <cell r="C220" t="str">
            <v>เยื่อไผ่ แขนสั้นขาสั้น เสื้อญี่ปุ่น ไอติมแตงโม พื้นฟ้า L</v>
          </cell>
        </row>
        <row r="221">
          <cell r="A221" t="str">
            <v>BA0163-M</v>
          </cell>
          <cell r="B221" t="str">
            <v>A163</v>
          </cell>
          <cell r="C221" t="str">
            <v>เยื่อไผ่ แขนสั้นขาสั้น เสื้อญี่ปุ่น ไอติมแตงโม พื้นฟ้า M</v>
          </cell>
        </row>
        <row r="222">
          <cell r="A222" t="str">
            <v>BA0164-L</v>
          </cell>
          <cell r="B222" t="str">
            <v>A164</v>
          </cell>
          <cell r="C222" t="str">
            <v>เยื่อไผ่ แขนสั้นขาสั้น เสื้อญี่ปุ่น ไอติมแตงโม พื้นขาว L</v>
          </cell>
        </row>
        <row r="223">
          <cell r="A223" t="str">
            <v>BA0164-M</v>
          </cell>
          <cell r="B223" t="str">
            <v>A164</v>
          </cell>
          <cell r="C223" t="str">
            <v>เยื่อไผ่ แขนสั้นขาสั้น เสื้อญี่ปุ่น ไอติมแตงโม พื้นขาว M</v>
          </cell>
        </row>
        <row r="224">
          <cell r="A224" t="str">
            <v>BA0164-XL</v>
          </cell>
          <cell r="B224" t="str">
            <v>A164</v>
          </cell>
          <cell r="C224" t="str">
            <v>เยื่อไผ่ แขนสั้นขาสั้น เสื้อญี่ปุ่น ไอติมแตงโม พื้นขาว XL</v>
          </cell>
        </row>
        <row r="225">
          <cell r="A225" t="str">
            <v>BA0165-L</v>
          </cell>
          <cell r="B225" t="str">
            <v>A165</v>
          </cell>
          <cell r="C225" t="str">
            <v>เยื่อไผ่ แขนสั้นขาสั้น เสื้อญี่ปุ่น โบตั๋น NEW L</v>
          </cell>
        </row>
        <row r="226">
          <cell r="A226" t="str">
            <v>BA0165-M</v>
          </cell>
          <cell r="B226" t="str">
            <v>A165</v>
          </cell>
          <cell r="C226" t="str">
            <v>เยื่อไผ่ แขนสั้นขาสั้น เสื้อญี่ปุ่น โบตั๋น NEW M</v>
          </cell>
        </row>
        <row r="227">
          <cell r="A227" t="str">
            <v>BA0166-L</v>
          </cell>
          <cell r="B227" t="str">
            <v>A166</v>
          </cell>
          <cell r="C227" t="str">
            <v>เยื่อไผ่ แขนสั้นขาสั้น เสื้อญี่ปุ่น โบตั๋น ชมพู L</v>
          </cell>
        </row>
        <row r="228">
          <cell r="A228" t="str">
            <v>BA0166-M</v>
          </cell>
          <cell r="B228" t="str">
            <v>A166</v>
          </cell>
          <cell r="C228" t="str">
            <v>เยื่อไผ่ แขนสั้นขาสั้น เสื้อญี่ปุ่น โบตั๋น ชมพู M</v>
          </cell>
        </row>
        <row r="229">
          <cell r="A229" t="str">
            <v>BA0167-L</v>
          </cell>
          <cell r="B229" t="str">
            <v>A167</v>
          </cell>
          <cell r="C229" t="str">
            <v>เยื่อไผ่ แขนสั้นขาสั้น เสื้อญี่ปุ่น โบตั๋น ฟ้า L</v>
          </cell>
        </row>
        <row r="230">
          <cell r="A230" t="str">
            <v>BA0167-M</v>
          </cell>
          <cell r="B230" t="str">
            <v>A167</v>
          </cell>
          <cell r="C230" t="str">
            <v>เยื่อไผ่ แขนสั้นขาสั้น เสื้อญี่ปุ่น โบตั๋น ฟ้า M</v>
          </cell>
        </row>
        <row r="231">
          <cell r="A231" t="str">
            <v>BA0168-L</v>
          </cell>
          <cell r="B231" t="str">
            <v>A168</v>
          </cell>
          <cell r="C231" t="str">
            <v>เยื่อไผ่ แขนสั้นขาสั้น เสื้อญี่ปุ่น โบตั๋น ต้นไม้ L</v>
          </cell>
        </row>
        <row r="232">
          <cell r="A232" t="str">
            <v>BA0168-M</v>
          </cell>
          <cell r="B232" t="str">
            <v>A168</v>
          </cell>
          <cell r="C232" t="str">
            <v>เยื่อไผ่ แขนสั้นขาสั้น เสื้อญี่ปุ่น โบตั๋น ต้นไม้ M</v>
          </cell>
        </row>
        <row r="233">
          <cell r="A233" t="str">
            <v>BA0169-L</v>
          </cell>
          <cell r="B233" t="str">
            <v>A169</v>
          </cell>
          <cell r="C233" t="str">
            <v>เยื่อไผ่ แขนสั้นขาสั้น เสื้อญี่ปุ่น โบตั๋น ดอกไม้น้ำตาล พื้นครีม L</v>
          </cell>
        </row>
        <row r="234">
          <cell r="A234" t="str">
            <v>BA0169-M</v>
          </cell>
          <cell r="B234" t="str">
            <v>A169</v>
          </cell>
          <cell r="C234" t="str">
            <v>เยื่อไผ่ แขนสั้นขาสั้น เสื้อญี่ปุ่น โบตั๋น ดอกไม้น้ำตาล พื้นครีม M</v>
          </cell>
        </row>
        <row r="235">
          <cell r="A235" t="str">
            <v>BA0178-L</v>
          </cell>
          <cell r="B235" t="str">
            <v>A178</v>
          </cell>
          <cell r="C235" t="str">
            <v>เยื่อไผ่ แขนสั้นขาสั้น จุดชมพู พื้นครีม L</v>
          </cell>
        </row>
        <row r="236">
          <cell r="A236" t="str">
            <v>BA0178-M</v>
          </cell>
          <cell r="B236" t="str">
            <v>A178</v>
          </cell>
          <cell r="C236" t="str">
            <v>เยื่อไผ่ แขนสั้นขาสั้น จุดชมพู พื้นครีม M</v>
          </cell>
        </row>
        <row r="237">
          <cell r="A237" t="str">
            <v>BA0178-S</v>
          </cell>
          <cell r="B237" t="str">
            <v>A178</v>
          </cell>
          <cell r="C237" t="str">
            <v>เยื่อไผ่ แขนสั้นขาสั้น จุดชมพู พื้นครีม S</v>
          </cell>
        </row>
        <row r="238">
          <cell r="A238" t="str">
            <v>BA0178-XL</v>
          </cell>
          <cell r="B238" t="str">
            <v>A178</v>
          </cell>
          <cell r="C238" t="str">
            <v>เยื่อไผ่ แขนสั้นขาสั้น จุดชมพู พื้นครีม XL</v>
          </cell>
        </row>
        <row r="239">
          <cell r="A239" t="str">
            <v>BA0179-L</v>
          </cell>
          <cell r="B239" t="str">
            <v>A179</v>
          </cell>
          <cell r="C239" t="str">
            <v>เยื่อไผ่ แขนสั้นขาสั้น จุดครีม พื้นโอรส L</v>
          </cell>
        </row>
        <row r="240">
          <cell r="A240" t="str">
            <v>BA0179-M</v>
          </cell>
          <cell r="B240" t="str">
            <v>A179</v>
          </cell>
          <cell r="C240" t="str">
            <v>เยื่อไผ่ แขนสั้นขาสั้น จุดครีม พื้นโอรส M</v>
          </cell>
        </row>
        <row r="241">
          <cell r="A241" t="str">
            <v>BA0179-S</v>
          </cell>
          <cell r="B241" t="str">
            <v>A179</v>
          </cell>
          <cell r="C241" t="str">
            <v>เยื่อไผ่ แขนสั้นขาสั้น จุดครีม พื้นโอรส S</v>
          </cell>
        </row>
        <row r="242">
          <cell r="A242" t="str">
            <v>BA0179-XL</v>
          </cell>
          <cell r="B242" t="str">
            <v>A179</v>
          </cell>
          <cell r="C242" t="str">
            <v>เยื่อไผ่ แขนสั้นขาสั้น จุดครีม พื้นโอรส XL</v>
          </cell>
        </row>
        <row r="243">
          <cell r="A243" t="str">
            <v>BA0187-L</v>
          </cell>
          <cell r="B243" t="str">
            <v>A187</v>
          </cell>
          <cell r="C243" t="str">
            <v>เยื่อไผ่แขนสั้นขาสั้น  ลายตาราง มะนาว L</v>
          </cell>
        </row>
        <row r="244">
          <cell r="A244" t="str">
            <v>BA0187-M</v>
          </cell>
          <cell r="B244" t="str">
            <v>A187</v>
          </cell>
          <cell r="C244" t="str">
            <v>เยื่อไผ่แขนสั้นขาสั้น  ลายตาราง มะนาว M</v>
          </cell>
        </row>
        <row r="245">
          <cell r="A245" t="str">
            <v>BA0187-S</v>
          </cell>
          <cell r="B245" t="str">
            <v>A187</v>
          </cell>
          <cell r="C245" t="str">
            <v>เยื่อไผ่แขนสั้นขาสั้น  ลายตาราง มะนาว S</v>
          </cell>
        </row>
        <row r="246">
          <cell r="A246" t="str">
            <v>BA0188-L</v>
          </cell>
          <cell r="B246" t="str">
            <v>A188</v>
          </cell>
          <cell r="C246" t="str">
            <v>เยื่อไผ่ แขนสั้นขาสั้น ตาราง ชมพู L</v>
          </cell>
        </row>
        <row r="247">
          <cell r="A247" t="str">
            <v>BA0188-M</v>
          </cell>
          <cell r="B247" t="str">
            <v>A188</v>
          </cell>
          <cell r="C247" t="str">
            <v>เยื่อไผ่ แขนสั้นขาสั้น ตาราง ชมพู M</v>
          </cell>
        </row>
        <row r="248">
          <cell r="A248" t="str">
            <v>BA0188-S</v>
          </cell>
          <cell r="B248" t="str">
            <v>A188</v>
          </cell>
          <cell r="C248" t="str">
            <v>เยื่อไผ่แขนสั้นขาสั้น ตาราง ชมพู S</v>
          </cell>
        </row>
        <row r="249">
          <cell r="A249" t="str">
            <v>BA0191-L</v>
          </cell>
          <cell r="B249" t="str">
            <v>A191</v>
          </cell>
          <cell r="C249" t="str">
            <v>เยื่อไผ่ แขนสั้นขาสั้น โบตั๋น โอรสพื้นเขียว L</v>
          </cell>
        </row>
        <row r="250">
          <cell r="A250" t="str">
            <v>BA0191-M</v>
          </cell>
          <cell r="B250" t="str">
            <v>A191</v>
          </cell>
          <cell r="C250" t="str">
            <v>เยื่อไผ่ แขนสั้นขาสั้น โบตั๋น โอรสพื้นเขียว M</v>
          </cell>
        </row>
        <row r="251">
          <cell r="A251" t="str">
            <v>BA0191-S</v>
          </cell>
          <cell r="B251" t="str">
            <v>A191</v>
          </cell>
          <cell r="C251" t="str">
            <v>เยื่อไผ่ แขนสั้นขาสั้น โบตั๋น โอรสพื้นเขียว S</v>
          </cell>
        </row>
        <row r="252">
          <cell r="A252" t="str">
            <v>BA0191-XL</v>
          </cell>
          <cell r="B252" t="str">
            <v>A191</v>
          </cell>
          <cell r="C252" t="str">
            <v>เยื่อไผ่ แขนสั้น ขาสั้น โบตั๋น โอรสพื้นเขียว XL</v>
          </cell>
        </row>
        <row r="253">
          <cell r="A253" t="str">
            <v>BA0194-L</v>
          </cell>
          <cell r="B253" t="str">
            <v>A194</v>
          </cell>
          <cell r="C253" t="str">
            <v>เยื่อไผ่ แขนสั้นขาสั้น ดาว สีฟ้า oversize L</v>
          </cell>
        </row>
        <row r="254">
          <cell r="A254" t="str">
            <v>BA0194-M</v>
          </cell>
          <cell r="B254" t="str">
            <v>A194</v>
          </cell>
          <cell r="C254" t="str">
            <v>เยื่อไผ่ แขนสั้นขาสั้น ดาว สีฟ้า oversize M</v>
          </cell>
        </row>
        <row r="255">
          <cell r="A255" t="str">
            <v>BA0194-S</v>
          </cell>
          <cell r="B255" t="str">
            <v>A194</v>
          </cell>
          <cell r="C255" t="str">
            <v>เยื่อไผ่ แขนสั้นขาสั้น ดาว สีฟ้า OverSize S</v>
          </cell>
        </row>
        <row r="256">
          <cell r="A256" t="str">
            <v>BA0195-L</v>
          </cell>
          <cell r="B256" t="str">
            <v>A195</v>
          </cell>
          <cell r="C256" t="str">
            <v>เยื่อไผ่ แขนสั้นขาสั้น คอปก โบฮีเมีมน พื้นฟ้า OverSize L</v>
          </cell>
        </row>
        <row r="257">
          <cell r="A257" t="str">
            <v>BA0195-M</v>
          </cell>
          <cell r="B257" t="str">
            <v>A195</v>
          </cell>
          <cell r="C257" t="str">
            <v>เยื่อไผ่ แขนสั้นขาสั้น คอปก โบฮีเมีมน พื้นฟ้า OverSize M</v>
          </cell>
        </row>
        <row r="258">
          <cell r="A258" t="str">
            <v>BA0195-S</v>
          </cell>
          <cell r="B258" t="str">
            <v>A195</v>
          </cell>
          <cell r="C258" t="str">
            <v>เยื่อไผ่ แขนสั้นขาสั้น คอปก โบฮีเมีมน พื้นฟ้า oversize S</v>
          </cell>
        </row>
        <row r="259">
          <cell r="A259" t="str">
            <v>BA0196-L</v>
          </cell>
          <cell r="B259" t="str">
            <v>A196</v>
          </cell>
          <cell r="C259" t="str">
            <v>เยื่อไผ่ แขนสั้นขาสั้น ใบไม้น้ำตาล พื้นแดง oversize L</v>
          </cell>
        </row>
        <row r="260">
          <cell r="A260" t="str">
            <v>BA0196-M</v>
          </cell>
          <cell r="B260" t="str">
            <v>A196</v>
          </cell>
          <cell r="C260" t="str">
            <v>เยื่อไผ่ แขนสั้นขาสั้น ใบไม้น้ำตาล พื้นแดง oversize M</v>
          </cell>
        </row>
        <row r="261">
          <cell r="A261" t="str">
            <v>BA0196-S</v>
          </cell>
          <cell r="B261" t="str">
            <v>A196</v>
          </cell>
          <cell r="C261" t="str">
            <v>เยื่อไผ่ แขนสั้นขาสั้น ใบไม้น้ำตาล พื้นแดง oversize S</v>
          </cell>
        </row>
        <row r="262">
          <cell r="A262" t="str">
            <v>BA0197-L</v>
          </cell>
          <cell r="B262" t="str">
            <v>A197</v>
          </cell>
          <cell r="C262" t="str">
            <v>เยื่อไผ่ แขนสั้นขาสั้น ใบไม้ฟ้า พื้นเทา oversize L</v>
          </cell>
        </row>
        <row r="263">
          <cell r="A263" t="str">
            <v>BA0197-M</v>
          </cell>
          <cell r="B263" t="str">
            <v>A197</v>
          </cell>
          <cell r="C263" t="str">
            <v>เยื่อไผ่ แขนสั้นขาสั้น ใบไม้ฟ้า พื้นเทา oversize M</v>
          </cell>
        </row>
        <row r="264">
          <cell r="A264" t="str">
            <v>BA0197-S</v>
          </cell>
          <cell r="B264" t="str">
            <v>A197</v>
          </cell>
          <cell r="C264" t="str">
            <v>เยื่อไผ่ แขนสั้นขาสั้น ใบไม้ฟ้า พื้นเทา oversize S</v>
          </cell>
        </row>
        <row r="265">
          <cell r="A265" t="str">
            <v>BA0223-L</v>
          </cell>
          <cell r="B265" t="str">
            <v>A223</v>
          </cell>
          <cell r="C265" t="str">
            <v>เยื่อไผ่ แขนสั้นขาสั้น พีช Tropical คอกลม L</v>
          </cell>
        </row>
        <row r="266">
          <cell r="A266" t="str">
            <v>BA0223-M</v>
          </cell>
          <cell r="B266" t="str">
            <v>A223</v>
          </cell>
          <cell r="C266" t="str">
            <v>เยื่อไผ่ แขนสั้นขาสั้น พีช Tropical คอกลม M</v>
          </cell>
        </row>
        <row r="267">
          <cell r="A267" t="str">
            <v>BA0223-S</v>
          </cell>
          <cell r="B267" t="str">
            <v>A223</v>
          </cell>
          <cell r="C267" t="str">
            <v>เยื่อไผ่ แขนสั้นขาสั้น พีช Tropical คอกลม S</v>
          </cell>
        </row>
        <row r="268">
          <cell r="A268" t="str">
            <v>BA0225-L</v>
          </cell>
          <cell r="B268" t="str">
            <v>A225</v>
          </cell>
          <cell r="C268" t="str">
            <v>เยื่อไผ่ แขนสั้นขาสั้น ดอกพวงเหลือง L</v>
          </cell>
        </row>
        <row r="269">
          <cell r="A269" t="str">
            <v>BA0225-M</v>
          </cell>
          <cell r="B269" t="str">
            <v>A225</v>
          </cell>
          <cell r="C269" t="str">
            <v>เยื่อไผ่ แขนสั้นขาสั้น ดอกพวงเหลือง M</v>
          </cell>
        </row>
        <row r="270">
          <cell r="A270" t="str">
            <v>BA0227-L</v>
          </cell>
          <cell r="B270" t="str">
            <v>A227</v>
          </cell>
          <cell r="C270" t="str">
            <v>เยื่อไผ่ แขนสั้นขาสั้น Cony Jung L</v>
          </cell>
        </row>
        <row r="271">
          <cell r="A271" t="str">
            <v>BA0227-M</v>
          </cell>
          <cell r="B271" t="str">
            <v>A227</v>
          </cell>
          <cell r="C271" t="str">
            <v>เยื่อไผ่ แขนสั้นขาสั้น Cony Jung M</v>
          </cell>
        </row>
        <row r="272">
          <cell r="A272" t="str">
            <v>BA0232-M</v>
          </cell>
          <cell r="B272" t="str">
            <v>A232</v>
          </cell>
          <cell r="C272" t="str">
            <v>เยื่อไผ่ แขนสั้นขาสั้น ดอกไม้แดงเล็ก พื้นขาว M</v>
          </cell>
        </row>
        <row r="273">
          <cell r="A273" t="str">
            <v>BA0233-L</v>
          </cell>
          <cell r="B273" t="str">
            <v>A233</v>
          </cell>
          <cell r="C273" t="str">
            <v>เยื่อไผ่ แขนสั้นขาสั้น ดอกชบาชมพู พื้นชมพู L</v>
          </cell>
        </row>
        <row r="274">
          <cell r="A274" t="str">
            <v>BA0233-M</v>
          </cell>
          <cell r="B274" t="str">
            <v>A233</v>
          </cell>
          <cell r="C274" t="str">
            <v>เยื่อไผ่ แขนสั้นขาสั้น ดอกชบาชมพู พื้นชมพู M</v>
          </cell>
        </row>
        <row r="275">
          <cell r="A275" t="str">
            <v>BA0236-L</v>
          </cell>
          <cell r="B275" t="str">
            <v>JA236</v>
          </cell>
          <cell r="C275" t="str">
            <v>เยื่อไผ่ แขนสั้นขาสั้น ดอกไม้ดำ พื้นเขียว L ตัวโชว์</v>
          </cell>
        </row>
        <row r="276">
          <cell r="A276" t="str">
            <v>BA0236-M</v>
          </cell>
          <cell r="B276" t="str">
            <v>JA236</v>
          </cell>
          <cell r="C276" t="str">
            <v>เยื่อไผ่ แขนสั้นขาสั้น ดอกไม้ดำ พื้นเขียว M</v>
          </cell>
        </row>
        <row r="277">
          <cell r="A277" t="str">
            <v>BA0236-S</v>
          </cell>
          <cell r="B277" t="str">
            <v>JA236</v>
          </cell>
          <cell r="C277" t="str">
            <v>เยื่อไผ่ แขนสั้นขาสั้น ดอกไม้ดำ พื้นเขียว S ตัวโชว์</v>
          </cell>
        </row>
        <row r="278">
          <cell r="A278" t="str">
            <v>BA0236-XL</v>
          </cell>
          <cell r="B278" t="str">
            <v>JA236</v>
          </cell>
          <cell r="C278" t="str">
            <v>เยื่อไผ่ แขนสั้นขาสั้น ดอกไม้ดำ พื้นเขียว XL ตัวโชว์</v>
          </cell>
        </row>
        <row r="279">
          <cell r="A279" t="str">
            <v>BA0239-L</v>
          </cell>
          <cell r="B279" t="str">
            <v>A239</v>
          </cell>
          <cell r="C279" t="str">
            <v>เยื่อไผ่ แขนสั้นขาสั้น คอวี ปกดำหนา พื้นขาว L</v>
          </cell>
        </row>
        <row r="280">
          <cell r="A280" t="str">
            <v>BA0239-M</v>
          </cell>
          <cell r="B280" t="str">
            <v>A239</v>
          </cell>
          <cell r="C280" t="str">
            <v>เยื่อไผ่ แขนสั้นขาสั้น คอวี ปกดำหนา พื้นขาว M</v>
          </cell>
        </row>
        <row r="281">
          <cell r="A281" t="str">
            <v>BA0239-S</v>
          </cell>
          <cell r="B281" t="str">
            <v>A239</v>
          </cell>
          <cell r="C281" t="str">
            <v>เยื่อไผ่ แขนสั้นขาสั้น คอวี ปกดำหนา พื้นขาว S</v>
          </cell>
        </row>
        <row r="282">
          <cell r="A282" t="str">
            <v>BA0240-L</v>
          </cell>
          <cell r="B282" t="str">
            <v>A240</v>
          </cell>
          <cell r="C282" t="str">
            <v>เยื่อไผ่ แขนสั้นขาสั้น  ดอกไม้เล็กส้ม พื้นขาว L</v>
          </cell>
        </row>
        <row r="283">
          <cell r="A283" t="str">
            <v>BA0240-M</v>
          </cell>
          <cell r="B283" t="str">
            <v>A240</v>
          </cell>
          <cell r="C283" t="str">
            <v>เยื่อไผ่ แขนสั้นขาสั้น ดอกไม้เล็กส้ม พื้นขาว M</v>
          </cell>
        </row>
        <row r="284">
          <cell r="A284" t="str">
            <v>BA0240-S</v>
          </cell>
          <cell r="B284" t="str">
            <v>A240</v>
          </cell>
          <cell r="C284" t="str">
            <v>เยื่อไผ่ แขนสั้นขาสั้น  ดอกไม้เล็กส้ม พื้นขาว S</v>
          </cell>
        </row>
        <row r="285">
          <cell r="A285" t="str">
            <v>BA0242-S</v>
          </cell>
          <cell r="B285" t="str">
            <v>A242</v>
          </cell>
          <cell r="C285" t="str">
            <v>เยื่อไผ่ แขนสั้นขาสั้น คอกลม ดอกชบาชมพู พื้นชมพู S</v>
          </cell>
        </row>
        <row r="286">
          <cell r="A286" t="str">
            <v>BA0243-L</v>
          </cell>
          <cell r="B286" t="str">
            <v>A243</v>
          </cell>
          <cell r="C286" t="str">
            <v>เยื่อไผ่ แขนสั้นขาสั้น ผีเสื้อเหลือง พื้นฟ้า L</v>
          </cell>
        </row>
        <row r="287">
          <cell r="A287" t="str">
            <v>BA0244-M</v>
          </cell>
          <cell r="B287" t="str">
            <v>A244</v>
          </cell>
          <cell r="C287" t="str">
            <v>เยื่อไผ่ แขนสั้นขาสั้น ดอกมิลาน  M</v>
          </cell>
        </row>
        <row r="288">
          <cell r="A288" t="str">
            <v>BA0245-XL</v>
          </cell>
          <cell r="B288" t="str">
            <v>A245</v>
          </cell>
          <cell r="C288" t="str">
            <v>เยื่อไผ่ แขนสั้นขาสั้น กุหลาบชมพู พื้นฟ้า XL</v>
          </cell>
        </row>
        <row r="289">
          <cell r="A289" t="str">
            <v>BA0257-L</v>
          </cell>
          <cell r="B289" t="str">
            <v>A257</v>
          </cell>
          <cell r="C289" t="str">
            <v>เยื่อไผ่ แขนสั้นขาสั้น Brand new พื้นเขียว L</v>
          </cell>
        </row>
        <row r="290">
          <cell r="A290" t="str">
            <v>BA0257-M</v>
          </cell>
          <cell r="B290" t="str">
            <v>A257</v>
          </cell>
          <cell r="C290" t="str">
            <v>เยื่อไผ่ แขนสั้นขาสั้น Brand new พื้นเขียว M</v>
          </cell>
        </row>
        <row r="291">
          <cell r="A291" t="str">
            <v>BA0257-S</v>
          </cell>
          <cell r="B291" t="str">
            <v>A257</v>
          </cell>
          <cell r="C291" t="str">
            <v>เยื่อไผ่ แขนสั้นขาสั้น Brand new พื้นเขียว S</v>
          </cell>
        </row>
        <row r="292">
          <cell r="A292" t="str">
            <v>BA0259-L</v>
          </cell>
          <cell r="B292" t="str">
            <v>A259</v>
          </cell>
          <cell r="C292" t="str">
            <v>เยื่อไผ่ แขนสั้นขาสั้น ช้างน้อยพ่นน้ำ L</v>
          </cell>
        </row>
        <row r="293">
          <cell r="A293" t="str">
            <v>BA0259-M</v>
          </cell>
          <cell r="B293" t="str">
            <v>A259</v>
          </cell>
          <cell r="C293" t="str">
            <v>เยื่อไผ่ แขนสั้นขาสั้น ช้างน้อยพ่นน้ำ M</v>
          </cell>
        </row>
        <row r="294">
          <cell r="A294" t="str">
            <v>BA0259-S</v>
          </cell>
          <cell r="B294" t="str">
            <v>A259</v>
          </cell>
          <cell r="C294" t="str">
            <v>เยื่อไผ่ แขนสั้นขาสั้น ช้างน้อยพ่นน้ำ S</v>
          </cell>
        </row>
        <row r="295">
          <cell r="A295" t="str">
            <v>BA0260-L</v>
          </cell>
          <cell r="B295" t="str">
            <v>A260</v>
          </cell>
          <cell r="C295" t="str">
            <v>เยื่อไผ่ แขนสั้นขาสั้น ใบไม้หลากสี พื้นชมพู L</v>
          </cell>
        </row>
        <row r="296">
          <cell r="A296" t="str">
            <v>BA0260-M</v>
          </cell>
          <cell r="B296" t="str">
            <v>A260</v>
          </cell>
          <cell r="C296" t="str">
            <v>เยื่อไผ่ แขนสั้นขาสั้น ใบไม้หลากสี พื้นชมพู M</v>
          </cell>
        </row>
        <row r="297">
          <cell r="A297" t="str">
            <v>BA0260-S</v>
          </cell>
          <cell r="B297" t="str">
            <v>A260</v>
          </cell>
          <cell r="C297" t="str">
            <v>เยื่อไผ่ แขนสั้นขาสั้น ใบไม้หลากสี พื้นชมพู S</v>
          </cell>
        </row>
        <row r="298">
          <cell r="A298" t="str">
            <v>BA0261-L</v>
          </cell>
          <cell r="B298" t="str">
            <v>A261</v>
          </cell>
          <cell r="C298" t="str">
            <v>เยื่อไผ่ แขนสั้นขาสั้น เสือน้ำตาล พื้นขาว L</v>
          </cell>
        </row>
        <row r="299">
          <cell r="A299" t="str">
            <v>BA0261-M</v>
          </cell>
          <cell r="B299" t="str">
            <v>A261</v>
          </cell>
          <cell r="C299" t="str">
            <v>เยื่อไผ่ แขนสั้นขาสั้น เสือน้ำตาล พื้นขาว M</v>
          </cell>
        </row>
        <row r="300">
          <cell r="A300" t="str">
            <v>BA0261-S</v>
          </cell>
          <cell r="B300" t="str">
            <v>A261</v>
          </cell>
          <cell r="C300" t="str">
            <v>เยื่อไผ่ แขนสั้นขาสั้น เสือน้ำตาล พื้นขาว S</v>
          </cell>
        </row>
        <row r="301">
          <cell r="A301" t="str">
            <v>BA0262-L</v>
          </cell>
          <cell r="B301" t="str">
            <v>A262</v>
          </cell>
          <cell r="C301" t="str">
            <v>เยื่อไผ่ แขนสั้นขาสั้น เสือขาว พื้นดำ L</v>
          </cell>
        </row>
        <row r="302">
          <cell r="A302" t="str">
            <v>BA0262-M</v>
          </cell>
          <cell r="B302" t="str">
            <v>A262</v>
          </cell>
          <cell r="C302" t="str">
            <v>เยื่อไผ่ แขนสั้นขาสั้น เสือขาว พื้นดำ M</v>
          </cell>
        </row>
        <row r="303">
          <cell r="A303" t="str">
            <v>BA0262-S</v>
          </cell>
          <cell r="B303" t="str">
            <v>A262</v>
          </cell>
          <cell r="C303" t="str">
            <v>เยื่อไผ่ แขนสั้นขาสั้น เสือขาว พื้นดำ S</v>
          </cell>
        </row>
        <row r="304">
          <cell r="A304" t="str">
            <v>BA0263-L</v>
          </cell>
          <cell r="B304" t="str">
            <v>A263</v>
          </cell>
          <cell r="C304" t="str">
            <v>เยื่อไผ่ แขนสั้นขาสั้น ยีราฟ นก ลิง พื้นขาว L</v>
          </cell>
        </row>
        <row r="305">
          <cell r="A305" t="str">
            <v>BA0263-M</v>
          </cell>
          <cell r="B305" t="str">
            <v>A263</v>
          </cell>
          <cell r="C305" t="str">
            <v>เยื่อไผ่ แขนสั้นขาสั้น ยีราฟ นก ลิง พื้นขาว M</v>
          </cell>
        </row>
        <row r="306">
          <cell r="A306" t="str">
            <v>BA0263-S</v>
          </cell>
          <cell r="B306" t="str">
            <v>A263</v>
          </cell>
          <cell r="C306" t="str">
            <v>เยื่อไผ่ แขนสั้นขาสั้น ยีราฟ นก ลิง พื้นขาว S</v>
          </cell>
        </row>
        <row r="307">
          <cell r="A307" t="str">
            <v>BA0265-L</v>
          </cell>
          <cell r="B307" t="str">
            <v>A265</v>
          </cell>
          <cell r="C307" t="str">
            <v>เยื่อไผ่ แขนสั้นขาสั้น กาฟิว พื้นกรม L</v>
          </cell>
        </row>
        <row r="308">
          <cell r="A308" t="str">
            <v>BA0265-M</v>
          </cell>
          <cell r="B308" t="str">
            <v>A265</v>
          </cell>
          <cell r="C308" t="str">
            <v>เยื่อไผ่ แขนสั้นขาสั้น กาฟิว พื้นกรม M</v>
          </cell>
        </row>
        <row r="309">
          <cell r="A309" t="str">
            <v>BA0265-S</v>
          </cell>
          <cell r="B309" t="str">
            <v>A265</v>
          </cell>
          <cell r="C309" t="str">
            <v>เยื่อไผ่ แขนสั้นขาสั้น กาฟิว พื้นกรม S</v>
          </cell>
        </row>
        <row r="310">
          <cell r="A310" t="str">
            <v>BA0266-L</v>
          </cell>
          <cell r="B310" t="str">
            <v>A266</v>
          </cell>
          <cell r="C310" t="str">
            <v>เยื่อไผ่ แขนสั้นขาสั้น คอกลม สตอเบอรี่ L</v>
          </cell>
        </row>
        <row r="311">
          <cell r="A311" t="str">
            <v>BA0266-M</v>
          </cell>
          <cell r="B311" t="str">
            <v>A266</v>
          </cell>
          <cell r="C311" t="str">
            <v>เยื่อไผ่ แขนสั้นขาสั้น คอกลม สตอเบอรี่ M</v>
          </cell>
        </row>
        <row r="312">
          <cell r="A312" t="str">
            <v>BA0267-L</v>
          </cell>
          <cell r="B312" t="str">
            <v>A267</v>
          </cell>
          <cell r="C312" t="str">
            <v>เยื่อไผ่ แขนสั้นขาสั้น คอปก สตอเบอรี่ L</v>
          </cell>
        </row>
        <row r="313">
          <cell r="A313" t="str">
            <v>BA0267-M</v>
          </cell>
          <cell r="B313" t="str">
            <v>A267</v>
          </cell>
          <cell r="C313" t="str">
            <v>เยื่อไผ่ แขนสั้นขาสั้น คอปก สตอเบอรี่ M</v>
          </cell>
        </row>
        <row r="314">
          <cell r="A314" t="str">
            <v>BA0271-L</v>
          </cell>
          <cell r="B314" t="str">
            <v>A271</v>
          </cell>
          <cell r="C314" t="str">
            <v>เยื่อไผ่ แขนสั้นขาสั้น กระเป๋าเชอรี่ พื้นชมพู L</v>
          </cell>
        </row>
        <row r="315">
          <cell r="A315" t="str">
            <v>BA0271-M</v>
          </cell>
          <cell r="B315" t="str">
            <v>A271</v>
          </cell>
          <cell r="C315" t="str">
            <v>เยื่อไผ่ แขนสั้นขาสั้น กระเป๋าเชอรี่ พื้นชมพู M</v>
          </cell>
        </row>
        <row r="316">
          <cell r="A316" t="str">
            <v>BA0272-L</v>
          </cell>
          <cell r="B316" t="str">
            <v>A272</v>
          </cell>
          <cell r="C316" t="str">
            <v>เยื่อไผ่ แขนสั้นขาสั้น กระเป๋ามะพร้าว พื้นขาว L</v>
          </cell>
        </row>
        <row r="317">
          <cell r="A317" t="str">
            <v>BA0272-M</v>
          </cell>
          <cell r="B317" t="str">
            <v>A272</v>
          </cell>
          <cell r="C317" t="str">
            <v>เยื่อไผ่ แขนสั้นขาสั้น กระเป๋ามะพร้าว พื้นขาว M</v>
          </cell>
        </row>
        <row r="318">
          <cell r="A318" t="str">
            <v>BA0281-M</v>
          </cell>
          <cell r="B318" t="str">
            <v>A281</v>
          </cell>
          <cell r="C318" t="str">
            <v>เยื่อไผ่ แขนสั้นขาสั้น แมวขาวเทา พื้นชมพู M</v>
          </cell>
        </row>
        <row r="319">
          <cell r="A319" t="str">
            <v>BA0283-L</v>
          </cell>
          <cell r="B319" t="str">
            <v>A283</v>
          </cell>
          <cell r="C319" t="str">
            <v>เยื่อไผ่ แขนสั้นขาสั้น Line friend ขาว L</v>
          </cell>
        </row>
        <row r="320">
          <cell r="A320" t="str">
            <v>BA0283-S</v>
          </cell>
          <cell r="B320" t="str">
            <v>A283</v>
          </cell>
          <cell r="C320" t="str">
            <v>เยื่อไผ่ แขนสั้นขาสั้น Line friend ขาว S</v>
          </cell>
        </row>
        <row r="321">
          <cell r="A321" t="str">
            <v>BA0284-L</v>
          </cell>
          <cell r="B321" t="str">
            <v>A284</v>
          </cell>
          <cell r="C321" t="str">
            <v>เยื่อไผ่ แขนสั้นขาสั้น พิทบูล พื้นดำ L</v>
          </cell>
        </row>
        <row r="322">
          <cell r="A322" t="str">
            <v>BA0284-M</v>
          </cell>
          <cell r="B322" t="str">
            <v>A284</v>
          </cell>
          <cell r="C322" t="str">
            <v>เยื่อไผ่ แขนสั้นขาสั้น พิทบูล พื้นดำ M</v>
          </cell>
        </row>
        <row r="323">
          <cell r="A323" t="str">
            <v>BA0284-S</v>
          </cell>
          <cell r="B323" t="str">
            <v>A284</v>
          </cell>
          <cell r="C323" t="str">
            <v>เยื่อไผ่ แขนสั้นขาสั้น พิทบูล พื้นดำ S</v>
          </cell>
        </row>
        <row r="324">
          <cell r="A324" t="str">
            <v>BA0284-XL</v>
          </cell>
          <cell r="B324" t="str">
            <v>A284</v>
          </cell>
          <cell r="C324" t="str">
            <v>เยื่อไผ่ แขนสั้นขาสั้น พิทบูล พื้นดำ XL</v>
          </cell>
        </row>
        <row r="325">
          <cell r="A325" t="str">
            <v>BA0286-L</v>
          </cell>
          <cell r="B325" t="str">
            <v>A286</v>
          </cell>
          <cell r="C325" t="str">
            <v>เยื่อไผ่ แขนสั้นขาสั้น แมว แฟชั่น พื้นชมพู L</v>
          </cell>
        </row>
        <row r="326">
          <cell r="A326" t="str">
            <v>BA0286-M</v>
          </cell>
          <cell r="B326" t="str">
            <v>A286</v>
          </cell>
          <cell r="C326" t="str">
            <v>เยื่อไผ่ แขนสั้นขาสั้น แมว แฟชั่น พื้นชมพู M</v>
          </cell>
        </row>
        <row r="327">
          <cell r="A327" t="str">
            <v>BA0286-S</v>
          </cell>
          <cell r="B327" t="str">
            <v>A286</v>
          </cell>
          <cell r="C327" t="str">
            <v>เยื่อไผ่ แขนสั้นขาสั้น แมว แฟชั่น พื้นชมพู S</v>
          </cell>
        </row>
        <row r="328">
          <cell r="A328" t="str">
            <v>BA0287-2XL</v>
          </cell>
          <cell r="B328" t="str">
            <v>A287</v>
          </cell>
          <cell r="C328" t="str">
            <v>เยื่อไผ่ แขนสั้นขาสั้น Splash Gray OVERSIZE 2XL</v>
          </cell>
        </row>
        <row r="329">
          <cell r="A329" t="str">
            <v>BA0287-L</v>
          </cell>
          <cell r="B329" t="str">
            <v>A287</v>
          </cell>
          <cell r="C329" t="str">
            <v>เยื่อไผ่ แขนสั้นขาสั้น Splash Gray OVERSIZE L</v>
          </cell>
        </row>
        <row r="330">
          <cell r="A330" t="str">
            <v>BA0287-M</v>
          </cell>
          <cell r="B330" t="str">
            <v>A287</v>
          </cell>
          <cell r="C330" t="str">
            <v>เยื่อไผ่ แขนสั้นขาสั้น Splash Gray OVERSIZE M</v>
          </cell>
        </row>
        <row r="331">
          <cell r="A331" t="str">
            <v>BA0287-S</v>
          </cell>
          <cell r="B331" t="str">
            <v>A287</v>
          </cell>
          <cell r="C331" t="str">
            <v>เยื่อไผ่ แขนสั้นขาสั้น Splash Gray OVERSIZE S</v>
          </cell>
        </row>
        <row r="332">
          <cell r="A332" t="str">
            <v>BA0288-L</v>
          </cell>
          <cell r="B332" t="str">
            <v>A288</v>
          </cell>
          <cell r="C332" t="str">
            <v>เยื่อไผ่ แขนสั้นขาสั้น Ocean colors OVERSIZE L</v>
          </cell>
        </row>
        <row r="333">
          <cell r="A333" t="str">
            <v>BA0288-M</v>
          </cell>
          <cell r="B333" t="str">
            <v>A288</v>
          </cell>
          <cell r="C333" t="str">
            <v>เยื่อไผ่ แขนสั้นขาสั้น Ocean colors OVERSIZE M</v>
          </cell>
        </row>
        <row r="334">
          <cell r="A334" t="str">
            <v>BA0288-S</v>
          </cell>
          <cell r="B334" t="str">
            <v>A288</v>
          </cell>
          <cell r="C334" t="str">
            <v>เยื่อไผ่ แขนสั้นขาสั้น Ocean colors OVERSIZE S</v>
          </cell>
        </row>
        <row r="335">
          <cell r="A335" t="str">
            <v>BA0289-L</v>
          </cell>
          <cell r="B335" t="str">
            <v>A289</v>
          </cell>
          <cell r="C335" t="str">
            <v>เยื่อไผ่ แขนสั้นขาสั้น Snowwhite ส้ม OVERSIZE L</v>
          </cell>
        </row>
        <row r="336">
          <cell r="A336" t="str">
            <v>BA0289-M</v>
          </cell>
          <cell r="B336" t="str">
            <v>A289</v>
          </cell>
          <cell r="C336" t="str">
            <v>เยื่อไผ่ แขนสั้นขาสั้น Snowwhite ส้ม OVERSIZE M</v>
          </cell>
        </row>
        <row r="337">
          <cell r="A337" t="str">
            <v>BA0289-S</v>
          </cell>
          <cell r="B337" t="str">
            <v>A289</v>
          </cell>
          <cell r="C337" t="str">
            <v>เยื่อไผ่ แขนสั้นขาสั้น Snowwhite ส้ม OVERSIZE S</v>
          </cell>
        </row>
        <row r="338">
          <cell r="A338" t="str">
            <v>BA0290-L</v>
          </cell>
          <cell r="B338" t="str">
            <v>A290</v>
          </cell>
          <cell r="C338" t="str">
            <v>เยื่อไผ่ แขนสั้นขาสั้น Snowwhite เขียว OVERSIZE L</v>
          </cell>
        </row>
        <row r="339">
          <cell r="A339" t="str">
            <v>BA0290-S</v>
          </cell>
          <cell r="B339" t="str">
            <v>A290</v>
          </cell>
          <cell r="C339" t="str">
            <v>เยื่อไผ่ แขนสั้นขาสั้น Snowwhite เขียว OVERSIZE S</v>
          </cell>
        </row>
        <row r="340">
          <cell r="A340" t="str">
            <v>BA0291-L</v>
          </cell>
          <cell r="B340" t="str">
            <v>A291</v>
          </cell>
          <cell r="C340" t="str">
            <v>เยื่อไผ่ แขนสั้นขาสั้น มัดย้อม OVERSIZE L</v>
          </cell>
        </row>
        <row r="341">
          <cell r="A341" t="str">
            <v>BA0291-M</v>
          </cell>
          <cell r="B341" t="str">
            <v>A291</v>
          </cell>
          <cell r="C341" t="str">
            <v>เยื่อไผ่ แขนสั้นขาสั้น มัดย้อม OVERSIZE M</v>
          </cell>
        </row>
        <row r="342">
          <cell r="A342" t="str">
            <v>BA0291-S</v>
          </cell>
          <cell r="B342" t="str">
            <v>A291</v>
          </cell>
          <cell r="C342" t="str">
            <v>เยื่อไผ่ แขนสั้นขาสั้น มัดย้อม OVERSIZE S</v>
          </cell>
        </row>
        <row r="343">
          <cell r="A343" t="str">
            <v>BA0293-L</v>
          </cell>
          <cell r="B343" t="str">
            <v>A293</v>
          </cell>
          <cell r="C343" t="str">
            <v>เยื่อไผ่ แขนสั้นขาสั้น Pink flower green L</v>
          </cell>
        </row>
        <row r="344">
          <cell r="A344" t="str">
            <v>BA0293-M</v>
          </cell>
          <cell r="B344" t="str">
            <v>A293</v>
          </cell>
          <cell r="C344" t="str">
            <v>เยื่อไผ่ แขนสั้นขาสั้น Pink flower green M</v>
          </cell>
        </row>
        <row r="345">
          <cell r="A345" t="str">
            <v>BA0293-S</v>
          </cell>
          <cell r="B345" t="str">
            <v>A293</v>
          </cell>
          <cell r="C345" t="str">
            <v>เยื่อไผ่ แขนสั้นขาสั้น Pink flower green S</v>
          </cell>
        </row>
        <row r="346">
          <cell r="A346" t="str">
            <v>BA0293-XL</v>
          </cell>
          <cell r="B346" t="str">
            <v>A293</v>
          </cell>
          <cell r="C346" t="str">
            <v>เยื่อไผ่ แขนสั้นขาสั้น Pink flower green XL</v>
          </cell>
        </row>
        <row r="347">
          <cell r="A347" t="str">
            <v>BA0294-2XL</v>
          </cell>
          <cell r="B347" t="str">
            <v>A294</v>
          </cell>
          <cell r="C347" t="str">
            <v>เยื่อไผ่ แขนสั้นขาสั้น กล้วยไม้ พื้นฟ้า 2XL</v>
          </cell>
        </row>
        <row r="348">
          <cell r="A348" t="str">
            <v>BA0294-L</v>
          </cell>
          <cell r="B348" t="str">
            <v>A294</v>
          </cell>
          <cell r="C348" t="str">
            <v>เยื่อไผ่ แขนสั้นขาสั้น กล้วยไม้ พื้นฟ้า L</v>
          </cell>
        </row>
        <row r="349">
          <cell r="A349" t="str">
            <v>BA0294-M</v>
          </cell>
          <cell r="B349" t="str">
            <v>A294</v>
          </cell>
          <cell r="C349" t="str">
            <v>เยื่อไผ่ แขนสั้นขาสั้น กล้วยไม้ พื้นฟ้า M</v>
          </cell>
        </row>
        <row r="350">
          <cell r="A350" t="str">
            <v>BA0294-XL</v>
          </cell>
          <cell r="B350" t="str">
            <v>A294</v>
          </cell>
          <cell r="C350" t="str">
            <v>เยื่อไผ่ แขนสั้นขาสั้น กล้วยไม้ พื้นฟ้า XL</v>
          </cell>
        </row>
        <row r="351">
          <cell r="A351" t="str">
            <v>BA0295-2XL</v>
          </cell>
          <cell r="B351" t="str">
            <v>A295</v>
          </cell>
          <cell r="C351" t="str">
            <v>เยื่อไผ่ แขนสั้นขาสั้น กล้วยไม้ พื้นดำ 2XL</v>
          </cell>
        </row>
        <row r="352">
          <cell r="A352" t="str">
            <v>BA0295-L</v>
          </cell>
          <cell r="B352" t="str">
            <v>A295</v>
          </cell>
          <cell r="C352" t="str">
            <v>เยื่อไผ่ แขนสั้นขาสั้น กล้วยไม้ พื้นดำ L</v>
          </cell>
        </row>
        <row r="353">
          <cell r="A353" t="str">
            <v>BA0295-M</v>
          </cell>
          <cell r="B353" t="str">
            <v>A295</v>
          </cell>
          <cell r="C353" t="str">
            <v>เยื่อไผ่ แขนสั้นขาสั้น กล้วยไม้ พื้นดำ M</v>
          </cell>
        </row>
        <row r="354">
          <cell r="A354" t="str">
            <v>BA0295-XL</v>
          </cell>
          <cell r="B354" t="str">
            <v>A295</v>
          </cell>
          <cell r="C354" t="str">
            <v>เยื่อไผ่ แขนสั้นขาสั้น กล้วยไม้ พื้นดำ XL</v>
          </cell>
        </row>
        <row r="355">
          <cell r="A355" t="str">
            <v>BA0296-2XL</v>
          </cell>
          <cell r="B355" t="str">
            <v>A296</v>
          </cell>
          <cell r="C355" t="str">
            <v>เยื่อไผ่ แขนสั้นขาสั้น กุหลาบซ้อนสีชมพู พื้นดำ 2XL</v>
          </cell>
        </row>
        <row r="356">
          <cell r="A356" t="str">
            <v>BA0296-L</v>
          </cell>
          <cell r="B356" t="str">
            <v>A296</v>
          </cell>
          <cell r="C356" t="str">
            <v>เยื่อไผ่ แขนสั้นขาสั้น กุหลาบซ้อนสีชมพู พื้นดำ L</v>
          </cell>
        </row>
        <row r="357">
          <cell r="A357" t="str">
            <v>BA0296-M</v>
          </cell>
          <cell r="B357" t="str">
            <v>A296</v>
          </cell>
          <cell r="C357" t="str">
            <v>เยื่อไผ่ แขนสั้นขาสั้น กุหลาบซ้อนสีชมพู พื้นดำ M</v>
          </cell>
        </row>
        <row r="358">
          <cell r="A358" t="str">
            <v>BA0296-XL</v>
          </cell>
          <cell r="B358" t="str">
            <v>A296</v>
          </cell>
          <cell r="C358" t="str">
            <v>เยื่อไผ่ แขนสั้นขาสั้น กุหลาบซ้อนสีชมพู พื้นดำ XL</v>
          </cell>
        </row>
        <row r="359">
          <cell r="A359" t="str">
            <v>BA0297-2XL</v>
          </cell>
          <cell r="B359" t="str">
            <v>A297</v>
          </cell>
          <cell r="C359" t="str">
            <v>เยื่อไผ่ แขนสั้นขาสั้น กุหลาบซ้อนสีส้ม พื้นเทา 2XL</v>
          </cell>
        </row>
        <row r="360">
          <cell r="A360" t="str">
            <v>BA0297-L</v>
          </cell>
          <cell r="B360" t="str">
            <v>A297</v>
          </cell>
          <cell r="C360" t="str">
            <v>เยื่อไผ่ แขนสั้นขาสั้น กุหลาบซ้อนสีส้ม พื้นเทา L</v>
          </cell>
        </row>
        <row r="361">
          <cell r="A361" t="str">
            <v>BA0297-M</v>
          </cell>
          <cell r="B361" t="str">
            <v>A297</v>
          </cell>
          <cell r="C361" t="str">
            <v>เยื่อไผ่ แขนสั้นขาสั้น กุหลาบซ้อนสีส้ม พื้นเทา M</v>
          </cell>
        </row>
        <row r="362">
          <cell r="A362" t="str">
            <v>BA0297-XL</v>
          </cell>
          <cell r="B362" t="str">
            <v>A297</v>
          </cell>
          <cell r="C362" t="str">
            <v>เยื่อไผ่ แขนสั้นขาสั้น กุหลาบซ้อนสีส้ม พื้นเทา XL</v>
          </cell>
        </row>
        <row r="363">
          <cell r="A363" t="str">
            <v>BA0298-2XL</v>
          </cell>
          <cell r="B363" t="str">
            <v>A298</v>
          </cell>
          <cell r="C363" t="str">
            <v>เยื่อไผ่ แขนสั้นขาสั้น จุดหมี จุดแมว พื้นกรม 2XL</v>
          </cell>
        </row>
        <row r="364">
          <cell r="A364" t="str">
            <v>BA0298-L</v>
          </cell>
          <cell r="B364" t="str">
            <v>A298</v>
          </cell>
          <cell r="C364" t="str">
            <v>เยื่อไผ่ แขนสั้นขาสั้น จุดหมี จุดแมว พื้นกรม L</v>
          </cell>
        </row>
        <row r="365">
          <cell r="A365" t="str">
            <v>BA0298-M</v>
          </cell>
          <cell r="B365" t="str">
            <v>A298</v>
          </cell>
          <cell r="C365" t="str">
            <v>เยื่อไผ่ แขนสั้นขาสั้น จุดหมี จุดแมว พื้นกรม M</v>
          </cell>
        </row>
        <row r="366">
          <cell r="A366" t="str">
            <v>BA0298-XL</v>
          </cell>
          <cell r="B366" t="str">
            <v>A298</v>
          </cell>
          <cell r="C366" t="str">
            <v>เยื่อไผ่ แขนสั้นขาสั้น จุดหมี จุดแมว พื้นกรม XL</v>
          </cell>
        </row>
        <row r="367">
          <cell r="A367" t="str">
            <v>BA0299-2XL</v>
          </cell>
          <cell r="B367" t="str">
            <v>A299</v>
          </cell>
          <cell r="C367" t="str">
            <v>เยื่อไผ่ แขนสั้นขาสั้น จุดหมี จุดแมว พื้นชมพู 2XL</v>
          </cell>
        </row>
        <row r="368">
          <cell r="A368" t="str">
            <v>BA0299-L</v>
          </cell>
          <cell r="B368" t="str">
            <v>A299</v>
          </cell>
          <cell r="C368" t="str">
            <v>เยื่อไผ่ แขนสั้นขาสั้น จุดหมี จุดแมว พื้นชมพู L</v>
          </cell>
        </row>
        <row r="369">
          <cell r="A369" t="str">
            <v>BA0299-M</v>
          </cell>
          <cell r="B369" t="str">
            <v>A299</v>
          </cell>
          <cell r="C369" t="str">
            <v>เยื่อไผ่ แขนสั้นขาสั้น จุดหมี จุดแมว พื้นชมพู M</v>
          </cell>
        </row>
        <row r="370">
          <cell r="A370" t="str">
            <v>BA0299-XL</v>
          </cell>
          <cell r="B370" t="str">
            <v>A299</v>
          </cell>
          <cell r="C370" t="str">
            <v>เยื่อไผ่ แขนสั้นขาสั้น จุดหมี จุดแมว พื้นชมพู XL</v>
          </cell>
        </row>
        <row r="371">
          <cell r="A371" t="str">
            <v>BA0300-2XL</v>
          </cell>
          <cell r="B371" t="str">
            <v>A300</v>
          </cell>
          <cell r="C371" t="str">
            <v>เยื่อไผ่ แขนสั้นขาสั้น ช้างน้อยพ่นน้ำ พื้นฟ้า 2XL</v>
          </cell>
        </row>
        <row r="372">
          <cell r="A372" t="str">
            <v>BA0300-L</v>
          </cell>
          <cell r="B372" t="str">
            <v>A300</v>
          </cell>
          <cell r="C372" t="str">
            <v>เยื่อไผ่ แขนสั้นขาสั้น ช้างน้อยพ่นน้ำ พื้นฟ้า L</v>
          </cell>
        </row>
        <row r="373">
          <cell r="A373" t="str">
            <v>BA0300-M</v>
          </cell>
          <cell r="B373" t="str">
            <v>A300</v>
          </cell>
          <cell r="C373" t="str">
            <v>เยื่อไผ่ แขนสั้นขาสั้น ช้างน้อยพ่นน้ำ พื้นฟ้า M</v>
          </cell>
        </row>
        <row r="374">
          <cell r="A374" t="str">
            <v>BA0300-XL</v>
          </cell>
          <cell r="B374" t="str">
            <v>A300</v>
          </cell>
          <cell r="C374" t="str">
            <v>เยื่อไผ่ แขนสั้นขาสั้น ช้างน้อยพ่นน้ำ พื้นฟ้า XL</v>
          </cell>
        </row>
        <row r="375">
          <cell r="A375" t="str">
            <v>BA0301-2XL</v>
          </cell>
          <cell r="B375" t="str">
            <v>A301</v>
          </cell>
          <cell r="C375" t="str">
            <v>เยื่อไผ่ แขนสั้นขาสั้น ช้างน้อยพ่นน้ำ พื้นเหลือง 2XL</v>
          </cell>
        </row>
        <row r="376">
          <cell r="A376" t="str">
            <v>BA0301-L</v>
          </cell>
          <cell r="B376" t="str">
            <v>A301</v>
          </cell>
          <cell r="C376" t="str">
            <v>เยื่อไผ่ แขนสั้นขาสั้น ช้างน้อยพ่นน้ำ พื้นเหลือง L</v>
          </cell>
        </row>
        <row r="377">
          <cell r="A377" t="str">
            <v>BA0301-XL</v>
          </cell>
          <cell r="B377" t="str">
            <v>A301</v>
          </cell>
          <cell r="C377" t="str">
            <v>เยื่อไผ่ แขนสั้นขาสั้น ช้างน้อยพ่นน้ำ พื้นเหลือง XL</v>
          </cell>
        </row>
        <row r="378">
          <cell r="A378" t="str">
            <v>BA0302-2XL</v>
          </cell>
          <cell r="B378" t="str">
            <v>A302</v>
          </cell>
          <cell r="C378" t="str">
            <v>เยื่อไผ่ แขนสั้นขาสั้น ดอกมะลิขาว ดอกมะลิชมพูเข้ม พื้นชมพู 2XL</v>
          </cell>
        </row>
        <row r="379">
          <cell r="A379" t="str">
            <v>BA0302-L</v>
          </cell>
          <cell r="B379" t="str">
            <v>A302</v>
          </cell>
          <cell r="C379" t="str">
            <v>เยื่อไผ่ แขนสั้นขาสั้น ดอกมะลิขาว ดอกมะลิชมพูเข้ม พื้นชมพู L</v>
          </cell>
        </row>
        <row r="380">
          <cell r="A380" t="str">
            <v>BA0302-M</v>
          </cell>
          <cell r="B380" t="str">
            <v>A302</v>
          </cell>
          <cell r="C380" t="str">
            <v>เยื่อไผ่ แขนสั้นขาสั้น ดอกมะลิขาว ดอกมะลิชมพูเข้ม พื้นชมพู M</v>
          </cell>
        </row>
        <row r="381">
          <cell r="A381" t="str">
            <v>BA0302-XL</v>
          </cell>
          <cell r="B381" t="str">
            <v>A302</v>
          </cell>
          <cell r="C381" t="str">
            <v>เยื่อไผ่ แขนสั้นขาสั้น ดอกมะลิขาว ดอกมะลิชมพูเข้ม พื้นชมพู XL</v>
          </cell>
        </row>
        <row r="382">
          <cell r="A382" t="str">
            <v>BA0303-2XL</v>
          </cell>
          <cell r="B382" t="str">
            <v>ก11</v>
          </cell>
          <cell r="C382" t="str">
            <v>BA0303-2XL</v>
          </cell>
        </row>
        <row r="383">
          <cell r="A383" t="str">
            <v>BA0303-L</v>
          </cell>
          <cell r="B383" t="str">
            <v>A303</v>
          </cell>
          <cell r="C383" t="str">
            <v>เยื่อไผ่ แขนสั้นขาสั้น ดอกมะลิขาว ดอกมะลิส้ม พื้นเขียว L</v>
          </cell>
        </row>
        <row r="384">
          <cell r="A384" t="str">
            <v>BA0303-M</v>
          </cell>
          <cell r="B384" t="str">
            <v>A303</v>
          </cell>
          <cell r="C384" t="str">
            <v>เยื่อไผ่ แขนสั้นขาสั้น ดอกมะลิขาว ดอกมะลิส้ม พื้นเขียว M</v>
          </cell>
        </row>
        <row r="385">
          <cell r="A385" t="str">
            <v>BA0303-XL</v>
          </cell>
          <cell r="B385" t="str">
            <v>ก11</v>
          </cell>
          <cell r="C385" t="str">
            <v>BA0303-XL</v>
          </cell>
        </row>
        <row r="386">
          <cell r="A386" t="str">
            <v>BA0306-L</v>
          </cell>
          <cell r="B386" t="str">
            <v>A306</v>
          </cell>
          <cell r="C386" t="str">
            <v>เยื้อไผ้ แขนสั้นขาสั้น แพลงตอน น้ำเงิน ม่วง L</v>
          </cell>
        </row>
        <row r="387">
          <cell r="A387" t="str">
            <v>BA0306-M</v>
          </cell>
          <cell r="B387" t="str">
            <v>A306</v>
          </cell>
          <cell r="C387" t="str">
            <v>เยื้อไผ้ แขนสั้นขาสั้น แพลงตอน น้ำเงิน ม่วง M</v>
          </cell>
        </row>
        <row r="388">
          <cell r="A388" t="str">
            <v>BA0306-S</v>
          </cell>
          <cell r="B388" t="str">
            <v>A306</v>
          </cell>
          <cell r="C388" t="str">
            <v>เยื้อไผ้ แขนสั้นขาสั้น แพลงตอน น้ำเงิน ม่วง S</v>
          </cell>
        </row>
        <row r="389">
          <cell r="A389" t="str">
            <v>BA0307-L</v>
          </cell>
          <cell r="B389" t="str">
            <v>A307</v>
          </cell>
          <cell r="C389" t="str">
            <v>เยื่อไผ่ แขนสั้นขาสั้น แพลงตอน แดง L</v>
          </cell>
        </row>
        <row r="390">
          <cell r="A390" t="str">
            <v>BA0307-M</v>
          </cell>
          <cell r="B390" t="str">
            <v>A307</v>
          </cell>
          <cell r="C390" t="str">
            <v>เยื่อไผ่ แขนสั้นขาสั้น แพลงตอน แดง M</v>
          </cell>
        </row>
        <row r="391">
          <cell r="A391" t="str">
            <v>BA0307-S</v>
          </cell>
          <cell r="B391" t="str">
            <v>A307</v>
          </cell>
          <cell r="C391" t="str">
            <v>เยื่อไผ่ แขนสั้นขาสั้น แพลงตอน แดง S</v>
          </cell>
        </row>
        <row r="392">
          <cell r="A392" t="str">
            <v>BA0310-L</v>
          </cell>
          <cell r="B392" t="str">
            <v>BA310</v>
          </cell>
          <cell r="C392" t="str">
            <v>เยื่อไผ่ แขนสั้นขาสั้น ดอกไม้ขาว พื้นฟ้า L</v>
          </cell>
        </row>
        <row r="393">
          <cell r="A393" t="str">
            <v>BA0310-M</v>
          </cell>
          <cell r="B393" t="str">
            <v>JA310</v>
          </cell>
          <cell r="C393" t="str">
            <v>เยื่อไผ่ แขนสั้นขาสั้น ดอกไม้ขาว พื้นฟ้า M ตัวโชว์</v>
          </cell>
        </row>
        <row r="394">
          <cell r="A394" t="str">
            <v>BA0310-S</v>
          </cell>
          <cell r="B394" t="str">
            <v>A310</v>
          </cell>
          <cell r="C394" t="str">
            <v>เยื่อไผ่ แขนสั้นขาสั้น ดอกไม้ขาว พื้นฟ้า S</v>
          </cell>
        </row>
        <row r="395">
          <cell r="A395" t="str">
            <v>BA0310-XL</v>
          </cell>
          <cell r="B395" t="str">
            <v>JA310</v>
          </cell>
          <cell r="C395" t="str">
            <v>เยื่อไผ่ แขนสั้นขาสั้น ดอกไม้ขาว พื้นฟ้า XL ตัวโชว์</v>
          </cell>
        </row>
        <row r="396">
          <cell r="A396" t="str">
            <v>BA0312-L</v>
          </cell>
          <cell r="B396" t="str">
            <v>BA312</v>
          </cell>
          <cell r="C396" t="str">
            <v>เยื่อไผ่ แขนสั้นขาสั้น แมวดำ พื้นขาว L</v>
          </cell>
        </row>
        <row r="397">
          <cell r="A397" t="str">
            <v>BA0312-M</v>
          </cell>
          <cell r="B397" t="str">
            <v>BA312</v>
          </cell>
          <cell r="C397" t="str">
            <v>เยื่อไผ่ แขนสั้นขาสั้น แมวดำ พื้นขาว M</v>
          </cell>
        </row>
        <row r="398">
          <cell r="A398" t="str">
            <v>BA0312-S</v>
          </cell>
          <cell r="B398" t="str">
            <v>A312</v>
          </cell>
          <cell r="C398" t="str">
            <v>เยื่อไผ่ แขนสั้นขาสั้น แมวดำ พื้นขาว S</v>
          </cell>
        </row>
        <row r="399">
          <cell r="A399" t="str">
            <v>BA0312-XL</v>
          </cell>
          <cell r="B399" t="str">
            <v>A312</v>
          </cell>
          <cell r="C399" t="str">
            <v>เยื่อไผ่ แขนสั้นขาสั้น แมวดำ พื้นขาว XL</v>
          </cell>
        </row>
        <row r="400">
          <cell r="A400" t="str">
            <v>BA0313-L</v>
          </cell>
          <cell r="B400" t="str">
            <v>JA313</v>
          </cell>
          <cell r="C400" t="str">
            <v>เยื่อไผ่ แขนสั้นขาสั้น แพนด้า เหลือง L ตัวโชว์</v>
          </cell>
        </row>
        <row r="401">
          <cell r="A401" t="str">
            <v>BA0313-M</v>
          </cell>
          <cell r="B401" t="str">
            <v>A313</v>
          </cell>
          <cell r="C401" t="str">
            <v>เยื่อไผ่ แขนสั้นขาสั้น แพนด้า เหลือง M</v>
          </cell>
        </row>
        <row r="402">
          <cell r="A402" t="str">
            <v>BA0313-S</v>
          </cell>
          <cell r="B402" t="str">
            <v>A313</v>
          </cell>
          <cell r="C402" t="str">
            <v>เยื่อไผ่ แขนสั้นขาสั้น แพนด้า เหลือง S</v>
          </cell>
        </row>
        <row r="403">
          <cell r="A403" t="str">
            <v>BA0313-XL</v>
          </cell>
          <cell r="B403" t="str">
            <v>A313</v>
          </cell>
          <cell r="C403" t="str">
            <v>เยื่อไผ่ แขนสั้นขาสั้น แพนด้า เหลือง XL</v>
          </cell>
        </row>
        <row r="404">
          <cell r="A404" t="str">
            <v>BA0314-L</v>
          </cell>
          <cell r="B404" t="str">
            <v>A314</v>
          </cell>
          <cell r="C404" t="str">
            <v>เยื่อไผ่ แขนสั้นขาสั้น Wall Flower L</v>
          </cell>
        </row>
        <row r="405">
          <cell r="A405" t="str">
            <v>BA0314-M</v>
          </cell>
          <cell r="B405" t="str">
            <v>A314</v>
          </cell>
          <cell r="C405" t="str">
            <v>เยื่อไผ่ แขนสั้นขาสั้น Wall Flower M</v>
          </cell>
        </row>
        <row r="406">
          <cell r="A406" t="str">
            <v>BA0314-S</v>
          </cell>
          <cell r="B406" t="str">
            <v>A314</v>
          </cell>
          <cell r="C406" t="str">
            <v>เยื่อไผ่ แขนสั้นขาสั้น Wall Flower S</v>
          </cell>
        </row>
        <row r="407">
          <cell r="A407" t="str">
            <v>BA0314-XL</v>
          </cell>
          <cell r="B407" t="str">
            <v>A314</v>
          </cell>
          <cell r="C407" t="str">
            <v>เยื่อไผ่ แขนสั้นขาสั้น Wall Flower XL</v>
          </cell>
        </row>
        <row r="408">
          <cell r="A408" t="str">
            <v>BA0315-L</v>
          </cell>
          <cell r="B408" t="str">
            <v>A315</v>
          </cell>
          <cell r="C408" t="str">
            <v>เยื่อไผ่ แขนสั้นขาสั้น Daisy pink L</v>
          </cell>
        </row>
        <row r="409">
          <cell r="A409" t="str">
            <v>BA0315-M</v>
          </cell>
          <cell r="B409" t="str">
            <v>A315</v>
          </cell>
          <cell r="C409" t="str">
            <v>เยื่อไผ่ แขนสั้นขาสั้น Daisy pink M</v>
          </cell>
        </row>
        <row r="410">
          <cell r="A410" t="str">
            <v>BA0315-S</v>
          </cell>
          <cell r="B410" t="str">
            <v>A315</v>
          </cell>
          <cell r="C410" t="str">
            <v>เยื่อไผ่ แขนสั้นขาสั้น Daisy pink S</v>
          </cell>
        </row>
        <row r="411">
          <cell r="A411" t="str">
            <v>BA0315-XL</v>
          </cell>
          <cell r="B411" t="str">
            <v>A315</v>
          </cell>
          <cell r="C411" t="str">
            <v>เยื่อไผ่ แขนสั้นขาสั้น Daisy pink XL</v>
          </cell>
        </row>
        <row r="412">
          <cell r="A412" t="str">
            <v>BA0325-L</v>
          </cell>
          <cell r="B412" t="str">
            <v>A325</v>
          </cell>
          <cell r="C412" t="str">
            <v>เยื่อไผ่ แขนสั้นขาสั้น ดอกไม้สีฟ้า สีเหลือง พื้นขาว L</v>
          </cell>
        </row>
        <row r="413">
          <cell r="A413" t="str">
            <v>BA0325-M</v>
          </cell>
          <cell r="B413" t="str">
            <v>BA325</v>
          </cell>
          <cell r="C413" t="str">
            <v>เยื่อไผ่ แขนสั้นขาสั้น ดอกไม้สีฟ้า สีเหลือง พื้นขาว M</v>
          </cell>
        </row>
        <row r="414">
          <cell r="A414" t="str">
            <v>BA0325-S</v>
          </cell>
          <cell r="B414" t="str">
            <v>A325</v>
          </cell>
          <cell r="C414" t="str">
            <v>เยื่อไผ่ แขนสั้นขาสั้น ดอกไม้สีฟ้า สีเหลือง พื้นขาว S</v>
          </cell>
        </row>
        <row r="415">
          <cell r="A415" t="str">
            <v>BA0325-XL</v>
          </cell>
          <cell r="B415" t="str">
            <v>A325</v>
          </cell>
          <cell r="C415" t="str">
            <v>เยื่อไผ่ แขนสั้นขาสั้น ดอกไม้สีฟ้า สีเหลือง พื้นขาว XL</v>
          </cell>
        </row>
        <row r="416">
          <cell r="A416" t="str">
            <v>BA0327-L</v>
          </cell>
          <cell r="B416" t="str">
            <v>A327</v>
          </cell>
          <cell r="C416" t="str">
            <v>เยื่อไผ่ แขนสั้นขาสั้น ดอกไม้อวกาศ พื้นชมพู L</v>
          </cell>
        </row>
        <row r="417">
          <cell r="A417" t="str">
            <v>BA0327-M</v>
          </cell>
          <cell r="B417" t="str">
            <v>A327</v>
          </cell>
          <cell r="C417" t="str">
            <v>เยื่อไผ่ แขนสั้นขาสั้น ดอกไม้อวกาศ พื้นชมพู M</v>
          </cell>
        </row>
        <row r="418">
          <cell r="A418" t="str">
            <v>BA0327-S</v>
          </cell>
          <cell r="B418" t="str">
            <v>A327</v>
          </cell>
          <cell r="C418" t="str">
            <v>เยื่อไผ่ แขนสั้นขาสั้น ดอกไม้อวกาศ พื้นชมพู S</v>
          </cell>
        </row>
        <row r="419">
          <cell r="A419" t="str">
            <v>BA0327-XL</v>
          </cell>
          <cell r="B419" t="str">
            <v>A327</v>
          </cell>
          <cell r="C419" t="str">
            <v>เยื่อไผ่ แขนสั้นขาสั้น ดอกไม้อวกาศ พื้นชมพู XL</v>
          </cell>
        </row>
        <row r="420">
          <cell r="A420" t="str">
            <v>BA0328-L</v>
          </cell>
          <cell r="B420" t="str">
            <v>A328</v>
          </cell>
          <cell r="C420" t="str">
            <v>เยื่อไผ่ แขนสั้นขาสั้น ลายทางฟ้า ครีม คอปกดอกไม้ L</v>
          </cell>
        </row>
        <row r="421">
          <cell r="A421" t="str">
            <v>BA0328-M</v>
          </cell>
          <cell r="B421" t="str">
            <v>A328</v>
          </cell>
          <cell r="C421" t="str">
            <v>เยื่อไผ่ แขนสั้นขาสั้น ลายทางฟ้า ครีม คอปกดอกไม้ M</v>
          </cell>
        </row>
        <row r="422">
          <cell r="A422" t="str">
            <v>BA0328-S</v>
          </cell>
          <cell r="B422" t="str">
            <v>A328</v>
          </cell>
          <cell r="C422" t="str">
            <v>เยื่อไผ่ แขนสั้นขาสั้น ลายทางฟ้า ครีม คอปกดอกไม้ S</v>
          </cell>
        </row>
        <row r="423">
          <cell r="A423" t="str">
            <v>BA0328-XL</v>
          </cell>
          <cell r="B423" t="str">
            <v>A328</v>
          </cell>
          <cell r="C423" t="str">
            <v>เยื่อไผ่ แขนสั้นขาสั้น ลายทางฟ้า ครีม คอปกดอกไม้ XL</v>
          </cell>
        </row>
        <row r="424">
          <cell r="A424" t="str">
            <v>BA0330-L</v>
          </cell>
          <cell r="B424" t="str">
            <v>A330</v>
          </cell>
          <cell r="C424" t="str">
            <v>เยื่อไผ่ แขนสั้นขาสั้น ซากุระ ไทเกอร์ พื้นชมพู L</v>
          </cell>
        </row>
        <row r="425">
          <cell r="A425" t="str">
            <v>BA0330-M</v>
          </cell>
          <cell r="B425" t="str">
            <v>A330</v>
          </cell>
          <cell r="C425" t="str">
            <v>เยื่อไผ่ แขนสั้นขาสั้น ซากุระ ไทเกอร์ พื้นชมพู M</v>
          </cell>
        </row>
        <row r="426">
          <cell r="A426" t="str">
            <v>BA0330-S</v>
          </cell>
          <cell r="B426" t="str">
            <v>JA330</v>
          </cell>
          <cell r="C426" t="str">
            <v>เยื่อไผ่ แขนสั้นขาสั้น ซากุระ ไทเกอร์ พื้นชมพู S ตัวโชว์</v>
          </cell>
        </row>
        <row r="427">
          <cell r="A427" t="str">
            <v>BA0331-L</v>
          </cell>
          <cell r="B427" t="str">
            <v>A331</v>
          </cell>
          <cell r="C427" t="str">
            <v>เยื่อไผ่ แขนสั้นขาสั้น สวนสัตว์ พื้นดำ L</v>
          </cell>
        </row>
        <row r="428">
          <cell r="A428" t="str">
            <v>BA0331-M</v>
          </cell>
          <cell r="B428" t="str">
            <v>A331</v>
          </cell>
          <cell r="C428" t="str">
            <v>เยื่อไผ่ แขนสั้นขาสั้น สวนสัตว์ พื้นดำ M</v>
          </cell>
        </row>
        <row r="429">
          <cell r="A429" t="str">
            <v>BA0331-S</v>
          </cell>
          <cell r="B429" t="str">
            <v>A331</v>
          </cell>
          <cell r="C429" t="str">
            <v>เยื่อไผ่ แขนสั้นขาสั้น สวนสัตว์ พื้นดำ S</v>
          </cell>
        </row>
        <row r="430">
          <cell r="A430" t="str">
            <v>BA0332-L</v>
          </cell>
          <cell r="B430" t="str">
            <v>A332</v>
          </cell>
          <cell r="C430" t="str">
            <v>เยื่อไผ่ แขนสั้นขาสั้น เสือดาว พื้นเขียว L</v>
          </cell>
        </row>
        <row r="431">
          <cell r="A431" t="str">
            <v>BA0332-M</v>
          </cell>
          <cell r="B431" t="str">
            <v>A332</v>
          </cell>
          <cell r="C431" t="str">
            <v>เยื่อไผ่ แขนสั้นขาสั้น เสือดาว พื้นเขียว M</v>
          </cell>
        </row>
        <row r="432">
          <cell r="A432" t="str">
            <v>BA0332-S</v>
          </cell>
          <cell r="B432" t="str">
            <v>A332</v>
          </cell>
          <cell r="C432" t="str">
            <v>เยื่อไผ่ แขนสั้นขาสั้น เสือดาว พื้นเขียว S</v>
          </cell>
        </row>
        <row r="433">
          <cell r="A433" t="str">
            <v>BA0333-L</v>
          </cell>
          <cell r="B433" t="str">
            <v>A333</v>
          </cell>
          <cell r="C433" t="str">
            <v>เยื่อไผ่ แขนสั้นขาสั้น ซากุระ ไทเกอร์ พื้นกรม L</v>
          </cell>
        </row>
        <row r="434">
          <cell r="A434" t="str">
            <v>BA0333-M</v>
          </cell>
          <cell r="B434" t="str">
            <v>A333</v>
          </cell>
          <cell r="C434" t="str">
            <v>เยื่อไผ่ แขนสั้นขาสั้น ซากุระ ไทเกอร์ พื้นกรม M</v>
          </cell>
        </row>
        <row r="435">
          <cell r="A435" t="str">
            <v>BA0333-S</v>
          </cell>
          <cell r="B435" t="str">
            <v>A333</v>
          </cell>
          <cell r="C435" t="str">
            <v>เยื่อไผ่ แขนสั้นขาสั้น ซากุระ ไทเกอร์ พื้นกรม S</v>
          </cell>
        </row>
        <row r="436">
          <cell r="A436" t="str">
            <v>BA0334-L</v>
          </cell>
          <cell r="B436" t="str">
            <v>A334</v>
          </cell>
          <cell r="C436" t="str">
            <v>เยื่อไผ่ แขนสั้นขาสั้น พื้นขาว ดอกกุหลาบแดง กล้วยไม้ L</v>
          </cell>
        </row>
        <row r="437">
          <cell r="A437" t="str">
            <v>BA0334-M</v>
          </cell>
          <cell r="B437" t="str">
            <v>A334</v>
          </cell>
          <cell r="C437" t="str">
            <v>เยื่อไผ่ แขนสั้นขาสั้น พื้นขาว ดอกกุหลาบแดง กล้วยไม้ M</v>
          </cell>
        </row>
        <row r="438">
          <cell r="A438" t="str">
            <v>BA0334-S</v>
          </cell>
          <cell r="B438" t="str">
            <v>A334</v>
          </cell>
          <cell r="C438" t="str">
            <v>เยื่อไผ่ แขนสั้นขาสั้น พื้นขาว ดอกกุหลาบแดง กล้วยไม้ S</v>
          </cell>
        </row>
        <row r="439">
          <cell r="A439" t="str">
            <v>BA0337-L</v>
          </cell>
          <cell r="B439" t="str">
            <v>JA337</v>
          </cell>
          <cell r="C439" t="str">
            <v>เยื่อไผ่ แขนสั้นขาสั้น แมวฟ้า กุ๊นขอบ L</v>
          </cell>
        </row>
        <row r="440">
          <cell r="A440" t="str">
            <v>BA0337-M</v>
          </cell>
          <cell r="B440" t="str">
            <v>JA337</v>
          </cell>
          <cell r="C440" t="str">
            <v>เยื่อไผ่ แขนสั้นขาสั้น แมวฟ้า กุ๊นขอบ M ตัวโชว์</v>
          </cell>
        </row>
        <row r="441">
          <cell r="A441" t="str">
            <v>BA0337-S</v>
          </cell>
          <cell r="B441" t="str">
            <v>JA337</v>
          </cell>
          <cell r="C441" t="str">
            <v>เยื่อไผ่ แขนสั้นขาสั้น แมวฟ้า กุ๊นขอบ S ตัวโชว์</v>
          </cell>
        </row>
        <row r="442">
          <cell r="A442" t="str">
            <v>BA0337-XL</v>
          </cell>
          <cell r="B442" t="str">
            <v>JA337</v>
          </cell>
          <cell r="C442" t="str">
            <v>เยื่อไผ่ แขนสั้นขาสั้น แมวฟ้า กุ๊นขอบ XL ตัวโชว์</v>
          </cell>
        </row>
        <row r="443">
          <cell r="A443" t="str">
            <v>BA0338-L</v>
          </cell>
          <cell r="B443" t="str">
            <v>A338</v>
          </cell>
          <cell r="C443" t="str">
            <v>เยื่อไผ่ แขนสั้นขาสั้น เสือดำ พื้นขาว L</v>
          </cell>
        </row>
        <row r="444">
          <cell r="A444" t="str">
            <v>BA0338-M</v>
          </cell>
          <cell r="B444" t="str">
            <v>A338</v>
          </cell>
          <cell r="C444" t="str">
            <v>เยื่อไผ่ แขนสั้นขาสั้น เสือดำ พื้นขาว M</v>
          </cell>
        </row>
        <row r="445">
          <cell r="A445" t="str">
            <v>BA0338-S</v>
          </cell>
          <cell r="B445" t="str">
            <v>JA338</v>
          </cell>
          <cell r="C445" t="str">
            <v>เยื่อไผ่ แขนสั้นขาสั้น เสือดำ พื้นขาว S ตัวโชว์</v>
          </cell>
        </row>
        <row r="446">
          <cell r="A446" t="str">
            <v>BA0340-L</v>
          </cell>
          <cell r="B446" t="str">
            <v>A340</v>
          </cell>
          <cell r="C446" t="str">
            <v>เยื่อไผ่ แขนสั้นขาสั้น ลายดำ พื้นเหลือง L</v>
          </cell>
        </row>
        <row r="447">
          <cell r="A447" t="str">
            <v>BA0340-M</v>
          </cell>
          <cell r="B447" t="str">
            <v>A340</v>
          </cell>
          <cell r="C447" t="str">
            <v>เยื่อไผ่ แขนสั้นขาสั้น ลายดำ พื้นเหลือง M</v>
          </cell>
        </row>
        <row r="448">
          <cell r="A448" t="str">
            <v>BA0340-S</v>
          </cell>
          <cell r="B448" t="str">
            <v>A340</v>
          </cell>
          <cell r="C448" t="str">
            <v>เยื่อไผ่ แขนสั้นขาสั้น ลายดำ พื้นเหลือง S</v>
          </cell>
        </row>
        <row r="449">
          <cell r="A449" t="str">
            <v>BA0341-L</v>
          </cell>
          <cell r="B449" t="str">
            <v>A341</v>
          </cell>
          <cell r="C449" t="str">
            <v>เยื่อไผ่ แขนสั้นขาสั้น ลายดำ พื้นเขียว L</v>
          </cell>
        </row>
        <row r="450">
          <cell r="A450" t="str">
            <v>BA0341-M</v>
          </cell>
          <cell r="B450" t="str">
            <v>A341</v>
          </cell>
          <cell r="C450" t="str">
            <v>เยื่อไผ่ แขนสั้นขาสั้น ลายดำ พื้นเขียว M</v>
          </cell>
        </row>
        <row r="451">
          <cell r="A451" t="str">
            <v>BA0341-S</v>
          </cell>
          <cell r="B451" t="str">
            <v>A341</v>
          </cell>
          <cell r="C451" t="str">
            <v>เยื่อไผ่ แขนสั้นขาสั้น ลายดำ พื้นเขียว S</v>
          </cell>
        </row>
        <row r="452">
          <cell r="A452" t="str">
            <v>BA0342-M</v>
          </cell>
          <cell r="B452" t="str">
            <v>A342</v>
          </cell>
          <cell r="C452" t="str">
            <v>เยื่อไผ่ แขนสั้นขาสั้น ลายทาง เพนท์ M</v>
          </cell>
        </row>
        <row r="453">
          <cell r="A453" t="str">
            <v>BA0342-S</v>
          </cell>
          <cell r="B453" t="str">
            <v>A342</v>
          </cell>
          <cell r="C453" t="str">
            <v>เยื่อไผ่ แขนสั้นขาสั้น ลายทาง เพนท์ S</v>
          </cell>
        </row>
        <row r="454">
          <cell r="A454" t="str">
            <v>BA0343-M</v>
          </cell>
          <cell r="B454" t="str">
            <v>A343</v>
          </cell>
          <cell r="C454" t="str">
            <v>เยื่อไผ่ แขนสั้นขาสั้น เรือใบ พื้นชมพู M</v>
          </cell>
        </row>
        <row r="455">
          <cell r="A455" t="str">
            <v>BA0343-S</v>
          </cell>
          <cell r="B455" t="str">
            <v>A343</v>
          </cell>
          <cell r="C455" t="str">
            <v>เยื่อไผ่ แขนสั้นขาสั้น เรือใบ พื้นชมพู S</v>
          </cell>
        </row>
        <row r="456">
          <cell r="A456" t="str">
            <v>BA0344-L</v>
          </cell>
          <cell r="B456" t="str">
            <v>A344</v>
          </cell>
          <cell r="C456" t="str">
            <v>เยื่อไผ่ แขนสั้นขาสั้น ดอกไม้ม่วง ขอบเขียว พื้นขาวครีม L</v>
          </cell>
        </row>
        <row r="457">
          <cell r="A457" t="str">
            <v>BA0344-M</v>
          </cell>
          <cell r="B457" t="str">
            <v>JA344</v>
          </cell>
          <cell r="C457" t="str">
            <v>เยื่อไผ่ แขนสั้นขาสั้น ดอกไม้ม่วง ขอบเขียว พื้นขาวครีม M</v>
          </cell>
        </row>
        <row r="458">
          <cell r="A458" t="str">
            <v>BA0344-S</v>
          </cell>
          <cell r="B458" t="str">
            <v>JA344</v>
          </cell>
          <cell r="C458" t="str">
            <v>เยื่อไผ่ แขนสั้นขาสั้น ดอกไม้ม่วง ขอบเขียว พื้นขาวครีม S ตัวโชว์</v>
          </cell>
        </row>
        <row r="459">
          <cell r="A459" t="str">
            <v>BA0344-XL</v>
          </cell>
          <cell r="B459" t="str">
            <v>JA344</v>
          </cell>
          <cell r="C459" t="str">
            <v>เยื่อไผ่ แขนสั้นขาสั้น ดอกไม้ม่วง ขอบเขียว พื้นขาวครีม XL</v>
          </cell>
        </row>
        <row r="460">
          <cell r="A460" t="str">
            <v>BA0345-L</v>
          </cell>
          <cell r="B460" t="str">
            <v>A345</v>
          </cell>
          <cell r="C460" t="str">
            <v>เยื่อไผ่ แขนสั้นขาสั้น พื้นขาว ลายวาดรูป L</v>
          </cell>
        </row>
        <row r="461">
          <cell r="A461" t="str">
            <v>BA0345-M</v>
          </cell>
          <cell r="B461" t="str">
            <v>A345</v>
          </cell>
          <cell r="C461" t="str">
            <v>เยื่อไผ่ แขนสั้นขาสั้น พื้นขาว ลายวาดรูป M</v>
          </cell>
        </row>
        <row r="462">
          <cell r="A462" t="str">
            <v>BA0345-S</v>
          </cell>
          <cell r="B462" t="str">
            <v>A345</v>
          </cell>
          <cell r="C462" t="str">
            <v>เยื่อไผ่ แขนสั้นขาสั้น พื้นขาว ลายวาดรูป S</v>
          </cell>
        </row>
        <row r="463">
          <cell r="A463" t="str">
            <v>BA0345-XL</v>
          </cell>
          <cell r="B463" t="str">
            <v>A345</v>
          </cell>
          <cell r="C463" t="str">
            <v>เยื่อไผ่ แขนสั้นขาสั้น พื้นขาว ลายวาดรูป XL</v>
          </cell>
        </row>
        <row r="464">
          <cell r="A464" t="str">
            <v>BA0346-L</v>
          </cell>
          <cell r="B464" t="str">
            <v>A346</v>
          </cell>
          <cell r="C464" t="str">
            <v>เยื่อไผ่ แขนสั้นขาสั้น ไทเกอร์ แอนด์ โคอะล่า L</v>
          </cell>
        </row>
        <row r="465">
          <cell r="A465" t="str">
            <v>BA0346-M</v>
          </cell>
          <cell r="B465" t="str">
            <v>A346</v>
          </cell>
          <cell r="C465" t="str">
            <v>เยื่อไผ่ แขนสั้นขาสั้น ไทเกอร์ แอนด์ โคอะล่า M</v>
          </cell>
        </row>
        <row r="466">
          <cell r="A466" t="str">
            <v>BA0346-S</v>
          </cell>
          <cell r="B466" t="str">
            <v>A346</v>
          </cell>
          <cell r="C466" t="str">
            <v>เยื่อไผ่ แขนสั้นขาสั้น ไทเกอร์ แอนด์ โคอะล่า S</v>
          </cell>
        </row>
        <row r="467">
          <cell r="A467" t="str">
            <v>BA0346-XL</v>
          </cell>
          <cell r="B467" t="str">
            <v>A346</v>
          </cell>
          <cell r="C467" t="str">
            <v>เยื่อไผ่ แขนสั้นขาสั้น ไทเกอร์ แอนด์ โคอะล่า XL</v>
          </cell>
        </row>
        <row r="468">
          <cell r="A468" t="str">
            <v>BA0347-2XL</v>
          </cell>
          <cell r="B468" t="str">
            <v>A347</v>
          </cell>
          <cell r="C468" t="str">
            <v>เยื่อไผ่ แขนสั้นขาสั้น ลายทางม่วง 2XL</v>
          </cell>
        </row>
        <row r="469">
          <cell r="A469" t="str">
            <v>BA0347-L</v>
          </cell>
          <cell r="B469" t="str">
            <v>A347</v>
          </cell>
          <cell r="C469" t="str">
            <v>เยื่อไผ่ แขนสั้นขาสั้น ลายทางม่วง L</v>
          </cell>
        </row>
        <row r="470">
          <cell r="A470" t="str">
            <v>BA0347-M</v>
          </cell>
          <cell r="B470" t="str">
            <v>A347</v>
          </cell>
          <cell r="C470" t="str">
            <v>เยื่อไผ่ แขนสั้นขาสั้น ลายทางม่วง M</v>
          </cell>
        </row>
        <row r="471">
          <cell r="A471" t="str">
            <v>BA0347-S</v>
          </cell>
          <cell r="B471" t="str">
            <v>A347</v>
          </cell>
          <cell r="C471" t="str">
            <v>เยื่อไผ่ แขนสั้นขาสั้น ลายทางม่วง S</v>
          </cell>
        </row>
        <row r="472">
          <cell r="A472" t="str">
            <v>BA0347-XL</v>
          </cell>
          <cell r="B472" t="str">
            <v>A347</v>
          </cell>
          <cell r="C472" t="str">
            <v>เยื่อไผ่ แขนสั้นขาสั้น ลายทางม่วง XL</v>
          </cell>
        </row>
        <row r="473">
          <cell r="A473" t="str">
            <v>BA0348-2XL</v>
          </cell>
          <cell r="B473" t="str">
            <v>A348</v>
          </cell>
          <cell r="C473" t="str">
            <v>เยื่อไผ่ แขนสั้นขาสั้น Blue Sky 2XL</v>
          </cell>
        </row>
        <row r="474">
          <cell r="A474" t="str">
            <v>BA0348-L</v>
          </cell>
          <cell r="B474" t="str">
            <v>A348</v>
          </cell>
          <cell r="C474" t="str">
            <v>เยื่อไผ่ แขนสั้นขาสั้น Blue Sky L</v>
          </cell>
        </row>
        <row r="475">
          <cell r="A475" t="str">
            <v>BA0348-M</v>
          </cell>
          <cell r="B475" t="str">
            <v>BA348</v>
          </cell>
          <cell r="C475" t="str">
            <v>เยื่อไผ่ แขนสั้นขาสั้น Blue Sky M</v>
          </cell>
        </row>
        <row r="476">
          <cell r="A476" t="str">
            <v>BA0348-XL</v>
          </cell>
          <cell r="B476" t="str">
            <v>A348</v>
          </cell>
          <cell r="C476" t="str">
            <v>เยื่อไผ่ แขนสั้นขาสั้น Blue Sky XL</v>
          </cell>
        </row>
        <row r="477">
          <cell r="A477" t="str">
            <v>BA0349-L</v>
          </cell>
          <cell r="B477" t="str">
            <v>A349</v>
          </cell>
          <cell r="C477" t="str">
            <v>เยื่อไผ่ แขนสั้นขาสั้น Cat Party L</v>
          </cell>
        </row>
        <row r="478">
          <cell r="A478" t="str">
            <v>BA0349-M</v>
          </cell>
          <cell r="B478" t="str">
            <v>A349</v>
          </cell>
          <cell r="C478" t="str">
            <v>เยื่อไผ่ แขนสั้นขาสั้น Cat Party M</v>
          </cell>
        </row>
        <row r="479">
          <cell r="A479" t="str">
            <v>BA0349-S</v>
          </cell>
          <cell r="B479" t="str">
            <v>JA349</v>
          </cell>
          <cell r="C479" t="str">
            <v>เยื่อไผ่ แขนสั้นขาสั้น Cat Party  S ตัวโชว์</v>
          </cell>
        </row>
        <row r="480">
          <cell r="A480" t="str">
            <v>BA0350-L</v>
          </cell>
          <cell r="B480" t="str">
            <v>BA350</v>
          </cell>
          <cell r="C480" t="str">
            <v>เยื่อไผ่ แขนสั้นขาสั้น พื้นขาว จุดฟ้าคราม L</v>
          </cell>
        </row>
        <row r="481">
          <cell r="A481" t="str">
            <v>BA0350-M</v>
          </cell>
          <cell r="B481" t="str">
            <v>A350</v>
          </cell>
          <cell r="C481" t="str">
            <v>เยื่อไผ่ แขนสั้นขาสั้น พื้นขาว จุดฟ้าคราม M</v>
          </cell>
        </row>
        <row r="482">
          <cell r="A482" t="str">
            <v>BA0350-S</v>
          </cell>
          <cell r="B482" t="str">
            <v>A350</v>
          </cell>
          <cell r="C482" t="str">
            <v>เยื่อไผ่ แขนสั้นขาสั้น พื้นขาว จุดฟ้าคราม S</v>
          </cell>
        </row>
        <row r="483">
          <cell r="A483" t="str">
            <v>BA0351-2XL</v>
          </cell>
          <cell r="B483" t="str">
            <v>BA351</v>
          </cell>
          <cell r="C483" t="str">
            <v>เยื่อไผ่ แขนสั้นขาสั้น ตารางเหลือง พื้นขาว 2XL</v>
          </cell>
        </row>
        <row r="484">
          <cell r="A484" t="str">
            <v>BA0351-L</v>
          </cell>
          <cell r="B484" t="str">
            <v>A351</v>
          </cell>
          <cell r="C484" t="str">
            <v>เยื่อไผ่ แขนสั้นขาสั้น ตารางเหลือง พื้นขาว L</v>
          </cell>
        </row>
        <row r="485">
          <cell r="A485" t="str">
            <v>BA0351-M</v>
          </cell>
          <cell r="B485" t="str">
            <v>A351</v>
          </cell>
          <cell r="C485" t="str">
            <v>เยื่อไผ่ แขนสั้นขาสั้น ตารางเหลือง พื้นขาว M</v>
          </cell>
        </row>
        <row r="486">
          <cell r="A486" t="str">
            <v>BA0351-XL</v>
          </cell>
          <cell r="B486" t="str">
            <v>A351</v>
          </cell>
          <cell r="C486" t="str">
            <v>เยื่อไผ่ แขนสั้นขาสั้น ตารางเหลือง พื้นขาว XL</v>
          </cell>
        </row>
        <row r="487">
          <cell r="A487" t="str">
            <v>BA0352-L</v>
          </cell>
          <cell r="B487" t="str">
            <v>A352</v>
          </cell>
          <cell r="C487" t="str">
            <v>เยื่อไผ่ แขนสั้นขาสั้น Sea Animals L</v>
          </cell>
        </row>
        <row r="488">
          <cell r="A488" t="str">
            <v>BA0352-M</v>
          </cell>
          <cell r="B488" t="str">
            <v>A352</v>
          </cell>
          <cell r="C488" t="str">
            <v>เยื่อไผ่ แขนสั้นขาสั้น Sea Animals M</v>
          </cell>
        </row>
        <row r="489">
          <cell r="A489" t="str">
            <v>BA0352-XL</v>
          </cell>
          <cell r="B489" t="str">
            <v>A352</v>
          </cell>
          <cell r="C489" t="str">
            <v>เยื่อไผ่ แขนสั้นขาสั้น Sea Animals XL</v>
          </cell>
        </row>
        <row r="490">
          <cell r="A490" t="str">
            <v>BA0354-L</v>
          </cell>
          <cell r="B490" t="str">
            <v>A354</v>
          </cell>
          <cell r="C490" t="str">
            <v>เยื่อไผ่ แขนสั้นขาสั้น ตาราง ครีมดำ L</v>
          </cell>
        </row>
        <row r="491">
          <cell r="A491" t="str">
            <v>BA0354-M</v>
          </cell>
          <cell r="B491" t="str">
            <v>A354</v>
          </cell>
          <cell r="C491" t="str">
            <v>เยื่อไผ่ แขนสั้นขาสั้น ตาราง ครีมดำ M</v>
          </cell>
        </row>
        <row r="492">
          <cell r="A492" t="str">
            <v>BA0354-S</v>
          </cell>
          <cell r="B492" t="str">
            <v>A354</v>
          </cell>
          <cell r="C492" t="str">
            <v>เยื่อไผ่ แขนสั้นขาสั้น ตาราง ครีมดำ S</v>
          </cell>
        </row>
        <row r="493">
          <cell r="A493" t="str">
            <v>BA0354-XL</v>
          </cell>
          <cell r="B493" t="str">
            <v>A354</v>
          </cell>
          <cell r="C493" t="str">
            <v>เยื่อไผ่ แขนสั้นขาสั้น ตาราง ครีมดำ XL</v>
          </cell>
        </row>
        <row r="494">
          <cell r="A494" t="str">
            <v>BA0355-L</v>
          </cell>
          <cell r="B494" t="str">
            <v>A355</v>
          </cell>
          <cell r="C494" t="str">
            <v>เยื่อไผ่ แขนสั้นขาสั้น ตาราง ครีมเขียว L</v>
          </cell>
        </row>
        <row r="495">
          <cell r="A495" t="str">
            <v>BA0355-M</v>
          </cell>
          <cell r="B495" t="str">
            <v>A355</v>
          </cell>
          <cell r="C495" t="str">
            <v>เยื่อไผ่ แขนสั้นขาสั้น ตาราง ครีมเขียว M</v>
          </cell>
        </row>
        <row r="496">
          <cell r="A496" t="str">
            <v>BA0355-S</v>
          </cell>
          <cell r="B496" t="str">
            <v>A355</v>
          </cell>
          <cell r="C496" t="str">
            <v>เยื่อไผ่ แขนสั้นขาสั้น ตาราง ครีมเขียว S</v>
          </cell>
        </row>
        <row r="497">
          <cell r="A497" t="str">
            <v>BA0355-XL</v>
          </cell>
          <cell r="B497" t="str">
            <v>A355</v>
          </cell>
          <cell r="C497" t="str">
            <v>เยื่อไผ่ แขนสั้นขาสั้น ตาราง ครีมเขียว XL</v>
          </cell>
        </row>
        <row r="498">
          <cell r="A498" t="str">
            <v>BA0356-L</v>
          </cell>
          <cell r="B498" t="str">
            <v>A356</v>
          </cell>
          <cell r="C498" t="str">
            <v>เยื่อไผ่ แขนสั้นขาสั้น ตาราง ครีมแดง L</v>
          </cell>
        </row>
        <row r="499">
          <cell r="A499" t="str">
            <v>BA0356-M</v>
          </cell>
          <cell r="B499" t="str">
            <v>A356</v>
          </cell>
          <cell r="C499" t="str">
            <v>เยื่อไผ่ แขนสั้นขาสั้น ตาราง ครีมแดง M</v>
          </cell>
        </row>
        <row r="500">
          <cell r="A500" t="str">
            <v>BA0356-S</v>
          </cell>
          <cell r="B500" t="str">
            <v>A356</v>
          </cell>
          <cell r="C500" t="str">
            <v>เยื่อไผ่ แขนสั้นขาสั้น ตาราง ครีมแดง S</v>
          </cell>
        </row>
        <row r="501">
          <cell r="A501" t="str">
            <v>BA0356-XL</v>
          </cell>
          <cell r="B501" t="str">
            <v>BA356</v>
          </cell>
          <cell r="C501" t="str">
            <v>เยื่อไผ่ แขนสั้นขาสั้น ตาราง ครีมแดง XL</v>
          </cell>
        </row>
        <row r="502">
          <cell r="A502" t="str">
            <v>BA0357-L</v>
          </cell>
          <cell r="B502" t="str">
            <v>A357</v>
          </cell>
          <cell r="C502" t="str">
            <v>เยื่อไผ่ แขนสั้นขาสั้น ผีเสื้อ พื้เหลืองอ่อน L</v>
          </cell>
        </row>
        <row r="503">
          <cell r="A503" t="str">
            <v>BA0357-M</v>
          </cell>
          <cell r="B503" t="str">
            <v>A357</v>
          </cell>
          <cell r="C503" t="str">
            <v>เยื่อไผ่ แขนสั้นขาสั้น ผีเสื้อ พื้เหลืองอ่อน M</v>
          </cell>
        </row>
        <row r="504">
          <cell r="A504" t="str">
            <v>BA0357-XL</v>
          </cell>
          <cell r="B504" t="str">
            <v>A357</v>
          </cell>
          <cell r="C504" t="str">
            <v>เยื่อไผ่ แขนสั้นขาสั้น ผีเสื้อ พื้เหลืองอ่อน XL</v>
          </cell>
        </row>
        <row r="505">
          <cell r="A505" t="str">
            <v>BA0358-L</v>
          </cell>
          <cell r="B505" t="str">
            <v>A358</v>
          </cell>
          <cell r="C505" t="str">
            <v>เยื่อไผ่ แขนสั้นขาสั้น เรนโบว์ พีช พื้นชมพู L</v>
          </cell>
        </row>
        <row r="506">
          <cell r="A506" t="str">
            <v>BA0358-M</v>
          </cell>
          <cell r="B506" t="str">
            <v>A358</v>
          </cell>
          <cell r="C506" t="str">
            <v>เยื่อไผ่ แขนสั้นขาสั้น เรนโบว์ พีช พื้นชมพู M</v>
          </cell>
        </row>
        <row r="507">
          <cell r="A507" t="str">
            <v>BA0358-S</v>
          </cell>
          <cell r="B507" t="str">
            <v>A358</v>
          </cell>
          <cell r="C507" t="str">
            <v>เยื่อไผ่ แขนสั้นขาสั้น เรนโบว์ พีช พื้นชมพู S</v>
          </cell>
        </row>
        <row r="508">
          <cell r="A508" t="str">
            <v>BA0358-XL</v>
          </cell>
          <cell r="B508" t="str">
            <v>A358</v>
          </cell>
          <cell r="C508" t="str">
            <v>เยื่อไผ่ แขนสั้นขาสั้น เรนโบว์ พีช พื้นชมพู XL</v>
          </cell>
        </row>
        <row r="509">
          <cell r="A509" t="str">
            <v>BA0359-L</v>
          </cell>
          <cell r="B509" t="str">
            <v>A359</v>
          </cell>
          <cell r="C509" t="str">
            <v>เยื่อไผ่ แขนสั้นขาสั้น พื้นชมพูล้วน L</v>
          </cell>
        </row>
        <row r="510">
          <cell r="A510" t="str">
            <v>BA0359-M</v>
          </cell>
          <cell r="B510" t="str">
            <v>A359</v>
          </cell>
          <cell r="C510" t="str">
            <v>เยื่อไผ่ แขนสั้นขาสั้น พื้นชมพูล้วน M</v>
          </cell>
        </row>
        <row r="511">
          <cell r="A511" t="str">
            <v>BA0359-S</v>
          </cell>
          <cell r="B511" t="str">
            <v>A359</v>
          </cell>
          <cell r="C511" t="str">
            <v>เยื่อไผ่ แขนสั้นขาสั้น พื้นชมพูล้วน S</v>
          </cell>
        </row>
        <row r="512">
          <cell r="A512" t="str">
            <v>BA0359-XL</v>
          </cell>
          <cell r="B512" t="str">
            <v>A359</v>
          </cell>
          <cell r="C512" t="str">
            <v>เยื่อไผ่ แขนสั้นขาสั้น พื้นชมพูล้วน XL</v>
          </cell>
        </row>
        <row r="513">
          <cell r="A513" t="str">
            <v>BA0360-L</v>
          </cell>
          <cell r="B513" t="str">
            <v>A360</v>
          </cell>
          <cell r="C513" t="str">
            <v>เยื่อไผ่ แขนสั้นขาสั้น พื้นฟ้าล้วน L</v>
          </cell>
        </row>
        <row r="514">
          <cell r="A514" t="str">
            <v>BA0360-M</v>
          </cell>
          <cell r="B514" t="str">
            <v>A360</v>
          </cell>
          <cell r="C514" t="str">
            <v>เยื่อไผ่ แขนสั้นขาสั้น พื้นฟ้าล้วน M</v>
          </cell>
        </row>
        <row r="515">
          <cell r="A515" t="str">
            <v>BA0360-S</v>
          </cell>
          <cell r="B515" t="str">
            <v>A360</v>
          </cell>
          <cell r="C515" t="str">
            <v>เยื่อไผ่ แขนสั้นขาสั้น พื้นฟ้าล้วน S</v>
          </cell>
        </row>
        <row r="516">
          <cell r="A516" t="str">
            <v>BA0360-XL</v>
          </cell>
          <cell r="B516" t="str">
            <v>A360</v>
          </cell>
          <cell r="C516" t="str">
            <v>เยื่อไผ่ แขนสั้นขาสั้น พื้นฟ้าล้วน XL</v>
          </cell>
        </row>
        <row r="517">
          <cell r="A517" t="str">
            <v>BA0361-L</v>
          </cell>
          <cell r="B517" t="str">
            <v>A361</v>
          </cell>
          <cell r="C517" t="str">
            <v>เยื่อไผ่ แขนสั้นขาสั้น ดอกเหมยลี่ พื้นครีม L</v>
          </cell>
        </row>
        <row r="518">
          <cell r="A518" t="str">
            <v>BA0361-M</v>
          </cell>
          <cell r="B518" t="str">
            <v>A361</v>
          </cell>
          <cell r="C518" t="str">
            <v>เยื่อไผ่ แขนสั้นขาสั้น ดอกเหมยลี่ พื้นครีม M</v>
          </cell>
        </row>
        <row r="519">
          <cell r="A519" t="str">
            <v>BA0361-S</v>
          </cell>
          <cell r="B519" t="str">
            <v>A361</v>
          </cell>
          <cell r="C519" t="str">
            <v>เยื่อไผ่ แขนสั้นขาสั้น ดอกเหมยลี่ พื้นครีม S</v>
          </cell>
        </row>
        <row r="520">
          <cell r="A520" t="str">
            <v>BA0363-L</v>
          </cell>
          <cell r="B520" t="str">
            <v>A363</v>
          </cell>
          <cell r="C520" t="str">
            <v>เยื่อไผ่ แขนสั้นขาสั้น พื้นกรม ดอกกุหลาบแดง กล้วยไม้ L</v>
          </cell>
        </row>
        <row r="521">
          <cell r="A521" t="str">
            <v>BA0363-M</v>
          </cell>
          <cell r="B521" t="str">
            <v>A363</v>
          </cell>
          <cell r="C521" t="str">
            <v>เยื่อไผ่ แขนสั้นขาสั้น พื้นกรม ดอกกุหลาบแดง กล้วยไม้ M</v>
          </cell>
        </row>
        <row r="522">
          <cell r="A522" t="str">
            <v>BA0363-S</v>
          </cell>
          <cell r="B522" t="str">
            <v>A363</v>
          </cell>
          <cell r="C522" t="str">
            <v>เยื่อไผ่ แขนสั้นขาสั้น พื้นกรม ดอกกุหลาบแดง กล้วยไม้ S</v>
          </cell>
        </row>
        <row r="523">
          <cell r="A523" t="str">
            <v>BA0364-L</v>
          </cell>
          <cell r="B523" t="str">
            <v>A364</v>
          </cell>
          <cell r="C523" t="str">
            <v>เยื่อไผ่ แขนสั้นขาสั้น บัวชมพู พื้นเขียว L</v>
          </cell>
        </row>
        <row r="524">
          <cell r="A524" t="str">
            <v>BA0364-M</v>
          </cell>
          <cell r="B524" t="str">
            <v>A364</v>
          </cell>
          <cell r="C524" t="str">
            <v>เยื่อไผ่ แขนสั้นขาสั้น บัวชมพู พื้นเขียว M</v>
          </cell>
        </row>
        <row r="525">
          <cell r="A525" t="str">
            <v>BA0364-XL</v>
          </cell>
          <cell r="B525" t="str">
            <v>A364</v>
          </cell>
          <cell r="C525" t="str">
            <v>เยื่อไผ่ แขนสั้นขาสั้น บัวชมพู พื้นเขียว XL</v>
          </cell>
        </row>
        <row r="526">
          <cell r="A526" t="str">
            <v>BA0365-L</v>
          </cell>
          <cell r="B526" t="str">
            <v>A365</v>
          </cell>
          <cell r="C526" t="str">
            <v>เยื่อไผ่ แขนสั้นขาสั้น กล้วยไม้ พื้นเขียว L</v>
          </cell>
        </row>
        <row r="527">
          <cell r="A527" t="str">
            <v>BA0365-M</v>
          </cell>
          <cell r="B527" t="str">
            <v>A365</v>
          </cell>
          <cell r="C527" t="str">
            <v>เยื่อไผ่ แขนสั้นขาสั้น กล้วยไม้ พื้นเขียว M</v>
          </cell>
        </row>
        <row r="528">
          <cell r="A528" t="str">
            <v>BA0365-XL</v>
          </cell>
          <cell r="B528" t="str">
            <v>A365</v>
          </cell>
          <cell r="C528" t="str">
            <v>เยื่อไผ่ แขนสั้นขาสั้น กล้วยไม้ พื้นเขียว XL</v>
          </cell>
        </row>
        <row r="529">
          <cell r="A529" t="str">
            <v>BA0366-L</v>
          </cell>
          <cell r="B529" t="str">
            <v>A366</v>
          </cell>
          <cell r="C529" t="str">
            <v>เยื่อไผ่ แขนสั้นขาสั้น ชมพู ลายทาง L</v>
          </cell>
        </row>
        <row r="530">
          <cell r="A530" t="str">
            <v>BA0366-M</v>
          </cell>
          <cell r="B530" t="str">
            <v>A366</v>
          </cell>
          <cell r="C530" t="str">
            <v>เยื่อไผ่ แขนสั้นขาสั้น ชมพู ลายทาง M</v>
          </cell>
        </row>
        <row r="531">
          <cell r="A531" t="str">
            <v>BA0366-S</v>
          </cell>
          <cell r="B531" t="str">
            <v>A366</v>
          </cell>
          <cell r="C531" t="str">
            <v>เยื่อไผ่ แขนสั้นขาสั้น ชมพู ลายทาง S</v>
          </cell>
        </row>
        <row r="532">
          <cell r="A532" t="str">
            <v>BA0366-XL</v>
          </cell>
          <cell r="B532" t="str">
            <v>A366</v>
          </cell>
          <cell r="C532" t="str">
            <v>เยื่อไผ่ แขนสั้นขาสั้น ชมพู ลายทาง XL</v>
          </cell>
        </row>
        <row r="533">
          <cell r="A533" t="str">
            <v>BA0367-L</v>
          </cell>
          <cell r="B533" t="str">
            <v>A367</v>
          </cell>
          <cell r="C533" t="str">
            <v>เยื่อไผ่ แขนสั้นขาสั้น พื้นดำ กระเป๋าแพนด้า L</v>
          </cell>
        </row>
        <row r="534">
          <cell r="A534" t="str">
            <v>BA0367-M</v>
          </cell>
          <cell r="B534" t="str">
            <v>A367</v>
          </cell>
          <cell r="C534" t="str">
            <v>เยื่อไผ่ แขนสั้นขาสั้น พื้นดำ กระเป๋าแพนด้า M</v>
          </cell>
        </row>
        <row r="535">
          <cell r="A535" t="str">
            <v>BA0367-S</v>
          </cell>
          <cell r="B535" t="str">
            <v>A367</v>
          </cell>
          <cell r="C535" t="str">
            <v>เยื่อไผ่ แขนสั้นขาสั้น พื้นดำ กระเป๋าแพนด้า S</v>
          </cell>
        </row>
        <row r="536">
          <cell r="A536" t="str">
            <v>BA0367-XL</v>
          </cell>
          <cell r="B536" t="str">
            <v>A367</v>
          </cell>
          <cell r="C536" t="str">
            <v>เยื่อไผ่ แขนสั้นขาสั้น พื้นดำ กระเป๋าแพนด้า XL</v>
          </cell>
        </row>
        <row r="537">
          <cell r="A537" t="str">
            <v>BA0368-L</v>
          </cell>
          <cell r="B537" t="str">
            <v>A368</v>
          </cell>
          <cell r="C537" t="str">
            <v>เยื่อไผ่ แขนสั้นขาสั้น พื้นขาว กระเป๋าแพนด้า L</v>
          </cell>
        </row>
        <row r="538">
          <cell r="A538" t="str">
            <v>BA0368-M</v>
          </cell>
          <cell r="B538" t="str">
            <v>A368</v>
          </cell>
          <cell r="C538" t="str">
            <v>เยื่อไผ่ แขนสั้นขาสั้น พื้นขาว กระเป๋าแพนด้า M</v>
          </cell>
        </row>
        <row r="539">
          <cell r="A539" t="str">
            <v>BA0368-S</v>
          </cell>
          <cell r="B539" t="str">
            <v>A368</v>
          </cell>
          <cell r="C539" t="str">
            <v>เยื่อไผ่ แขนสั้นขาสั้น พื้นขาว กระเป๋าแพนด้า S</v>
          </cell>
        </row>
        <row r="540">
          <cell r="A540" t="str">
            <v>BA0368-XL</v>
          </cell>
          <cell r="B540" t="str">
            <v>A368</v>
          </cell>
          <cell r="C540" t="str">
            <v>เยื่อไผ่ แขนสั้นขาสั้น พื้นขาว กระเป๋าแพนด้า XL</v>
          </cell>
        </row>
        <row r="541">
          <cell r="A541" t="str">
            <v>BA0369-L</v>
          </cell>
          <cell r="B541" t="str">
            <v>A369</v>
          </cell>
          <cell r="C541" t="str">
            <v>เยื่อไผ่ แขนสั้นขาสั้น พื้นขาว ดอกไม้คราม L</v>
          </cell>
        </row>
        <row r="542">
          <cell r="A542" t="str">
            <v>BA0369-M</v>
          </cell>
          <cell r="B542" t="str">
            <v>A369</v>
          </cell>
          <cell r="C542" t="str">
            <v>เยื่อไผ่ แขนสั้นขาสั้น พื้นขาว ดอกไม้คราม M</v>
          </cell>
        </row>
        <row r="543">
          <cell r="A543" t="str">
            <v>BA0369-XL</v>
          </cell>
          <cell r="B543" t="str">
            <v>A369</v>
          </cell>
          <cell r="C543" t="str">
            <v>เยื่อไผ่ แขนสั้นขาสั้น พื้นขาว ดอกไม้คราม XL</v>
          </cell>
        </row>
        <row r="544">
          <cell r="A544" t="str">
            <v>BA0370-L</v>
          </cell>
          <cell r="B544" t="str">
            <v>A370</v>
          </cell>
          <cell r="C544" t="str">
            <v>เยื่อไผ่ แขนสั้นขาสั้น ดอกไม้เขียว L</v>
          </cell>
        </row>
        <row r="545">
          <cell r="A545" t="str">
            <v>BA0370-M</v>
          </cell>
          <cell r="B545" t="str">
            <v>A370</v>
          </cell>
          <cell r="C545" t="str">
            <v>เยื่อไผ่ แขนสั้นขาสั้น ดอกไม้เขียว M</v>
          </cell>
        </row>
        <row r="546">
          <cell r="A546" t="str">
            <v>BA0370-S</v>
          </cell>
          <cell r="B546" t="str">
            <v>A370</v>
          </cell>
          <cell r="C546" t="str">
            <v>เยื่อไผ่ แขนสั้นขาสั้น ดอกไม้เขียว S</v>
          </cell>
        </row>
        <row r="547">
          <cell r="A547" t="str">
            <v>BA0370-XL</v>
          </cell>
          <cell r="B547" t="str">
            <v>BA370</v>
          </cell>
          <cell r="C547" t="str">
            <v>เยื่อไผ่ แขนสั้นขาสั้น ดอกไม้เขียว XL</v>
          </cell>
        </row>
        <row r="548">
          <cell r="A548" t="str">
            <v>BA0371-L</v>
          </cell>
          <cell r="B548" t="str">
            <v>A371</v>
          </cell>
          <cell r="C548" t="str">
            <v>เยื่อไผ่ แขนสั้นขาสั้น เหลือง ลายทาง L</v>
          </cell>
        </row>
        <row r="549">
          <cell r="A549" t="str">
            <v>BA0371-M</v>
          </cell>
          <cell r="B549" t="str">
            <v>A371</v>
          </cell>
          <cell r="C549" t="str">
            <v>เยื่อไผ่ แขนสั้นขาสั้น เหลือง ลายทาง M</v>
          </cell>
        </row>
        <row r="550">
          <cell r="A550" t="str">
            <v>BA0371-S</v>
          </cell>
          <cell r="B550" t="str">
            <v>A371</v>
          </cell>
          <cell r="C550" t="str">
            <v>เยื่อไผ่ แขนสั้นขาสั้น เหลือง ลายทาง S</v>
          </cell>
        </row>
        <row r="551">
          <cell r="A551" t="str">
            <v>BA0371-XL</v>
          </cell>
          <cell r="B551" t="str">
            <v>BA371</v>
          </cell>
          <cell r="C551" t="str">
            <v>เยื่อไผ่ แขนสั้นขาสั้น เหลือง ลายทาง XL</v>
          </cell>
        </row>
        <row r="552">
          <cell r="A552" t="str">
            <v>BB0001-L</v>
          </cell>
          <cell r="B552" t="str">
            <v>B1</v>
          </cell>
          <cell r="C552" t="str">
            <v>เยื่อไผ่ แขนสั้นขายาว ผีเสื้อ L</v>
          </cell>
        </row>
        <row r="553">
          <cell r="A553" t="str">
            <v>BB0001-M</v>
          </cell>
          <cell r="B553" t="str">
            <v>B1</v>
          </cell>
          <cell r="C553" t="str">
            <v>เยื่อไผ่ แขนสั้นขายาว ผีเสื้อ M</v>
          </cell>
        </row>
        <row r="554">
          <cell r="A554" t="str">
            <v>BB0001-S</v>
          </cell>
          <cell r="B554" t="str">
            <v>B1</v>
          </cell>
          <cell r="C554" t="str">
            <v>เยื่อไผ่ แขนสั้นขายาว ผีเสื้อ S</v>
          </cell>
        </row>
        <row r="555">
          <cell r="A555" t="str">
            <v>BB0002-L</v>
          </cell>
          <cell r="B555" t="str">
            <v>B2</v>
          </cell>
          <cell r="C555" t="str">
            <v>เยื่อไผ่ แขนสั้นขายาว ผีเสื้อ นู้ด L</v>
          </cell>
        </row>
        <row r="556">
          <cell r="A556" t="str">
            <v>BB0002-M</v>
          </cell>
          <cell r="B556" t="str">
            <v>B2</v>
          </cell>
          <cell r="C556" t="str">
            <v>เยื่อไผ่ แขนสั้นขายาว ผีเสื้อ นู้ด M</v>
          </cell>
        </row>
        <row r="557">
          <cell r="A557" t="str">
            <v>BB0002-S</v>
          </cell>
          <cell r="B557" t="str">
            <v>B2</v>
          </cell>
          <cell r="C557" t="str">
            <v>เยื่อไผ่ แขนสั้นขายาว ผีเสื้อ นู้ด S</v>
          </cell>
        </row>
        <row r="558">
          <cell r="A558" t="str">
            <v>BB0003-L</v>
          </cell>
          <cell r="B558" t="str">
            <v>B3</v>
          </cell>
          <cell r="C558" t="str">
            <v>เยื่อไผ่ แขนสั้นขายาว ผีเสื้อ NEW - L</v>
          </cell>
        </row>
        <row r="559">
          <cell r="A559" t="str">
            <v>BB0003-M</v>
          </cell>
          <cell r="B559" t="str">
            <v>B3</v>
          </cell>
          <cell r="C559" t="str">
            <v>เยื่อไผ่ แขนสั้นขายาว ผีเสื้อ NEW - M</v>
          </cell>
        </row>
        <row r="560">
          <cell r="A560" t="str">
            <v>BB0003-XL</v>
          </cell>
          <cell r="B560" t="str">
            <v>B3</v>
          </cell>
          <cell r="C560" t="str">
            <v>เยื่อไผ่ แขนสั้นขายาว ผีเสื้อ NEW - XL</v>
          </cell>
        </row>
        <row r="561">
          <cell r="A561" t="str">
            <v>BB0005-L</v>
          </cell>
          <cell r="B561" t="str">
            <v>B5</v>
          </cell>
          <cell r="C561" t="str">
            <v>เยื่อไผ่ แขนสั้นขายาว Tropical นก นู๊ด L</v>
          </cell>
        </row>
        <row r="562">
          <cell r="A562" t="str">
            <v>BB0005-M</v>
          </cell>
          <cell r="B562" t="str">
            <v>B5</v>
          </cell>
          <cell r="C562" t="str">
            <v>เยื่อไผ่ แขนสั้นขายาว Tropical นก นู๊ด M</v>
          </cell>
        </row>
        <row r="563">
          <cell r="A563" t="str">
            <v>BB0005-S</v>
          </cell>
          <cell r="B563" t="str">
            <v>B5</v>
          </cell>
          <cell r="C563" t="str">
            <v>เยื่อไผ่ แขนสั้นขายาว Tropical นกนู๊ด S</v>
          </cell>
        </row>
        <row r="564">
          <cell r="A564" t="str">
            <v>BB0009-L</v>
          </cell>
          <cell r="B564" t="str">
            <v>B9</v>
          </cell>
          <cell r="C564" t="str">
            <v>เยื่อไผ่ แขนสั้นขายาว นกบราว L</v>
          </cell>
        </row>
        <row r="565">
          <cell r="A565" t="str">
            <v>BB0009-M</v>
          </cell>
          <cell r="B565" t="str">
            <v>B9</v>
          </cell>
          <cell r="C565" t="str">
            <v>เยื่อไผ่ แขนสั้นขายาว นกบราว M</v>
          </cell>
        </row>
        <row r="566">
          <cell r="A566" t="str">
            <v>BB0009-S</v>
          </cell>
          <cell r="B566" t="str">
            <v>B9</v>
          </cell>
          <cell r="C566" t="str">
            <v>เยื่อไผ่ แขนสั้นขายาว นกบราว S</v>
          </cell>
        </row>
        <row r="567">
          <cell r="A567" t="str">
            <v>BB0009-XL</v>
          </cell>
          <cell r="B567" t="str">
            <v>B9</v>
          </cell>
          <cell r="C567" t="str">
            <v>เยื่อไผ่ แขนสั้นขายาว นกบราว XL</v>
          </cell>
        </row>
        <row r="568">
          <cell r="A568" t="str">
            <v>BB0011-L</v>
          </cell>
          <cell r="B568" t="str">
            <v>B11</v>
          </cell>
          <cell r="C568" t="str">
            <v>เยื่อไผ่ แขนสั้นขายาว  กระต่ายฟ้า L</v>
          </cell>
        </row>
        <row r="569">
          <cell r="A569" t="str">
            <v>BB0011-M</v>
          </cell>
          <cell r="B569" t="str">
            <v>B11</v>
          </cell>
          <cell r="C569" t="str">
            <v>เยื่อไผ่ แขนสั้นขายาว  กระต่ายฟ้า M</v>
          </cell>
        </row>
        <row r="570">
          <cell r="A570" t="str">
            <v>BB0011-XL</v>
          </cell>
          <cell r="B570" t="str">
            <v>B11</v>
          </cell>
          <cell r="C570" t="str">
            <v>เยื่อไผ่ แขนสั้นขายาว  กระต่ายฟ้า XL</v>
          </cell>
        </row>
        <row r="571">
          <cell r="A571" t="str">
            <v>BB0012-L</v>
          </cell>
          <cell r="B571" t="str">
            <v>B12</v>
          </cell>
          <cell r="C571" t="str">
            <v>เยื่อไผ่ แขนสั้นขายาว  กระต่ายกรม L</v>
          </cell>
        </row>
        <row r="572">
          <cell r="A572" t="str">
            <v>BB0012-M</v>
          </cell>
          <cell r="B572" t="str">
            <v>B12</v>
          </cell>
          <cell r="C572" t="str">
            <v>เยื่อไผ่ แขนสั้นขายาว  กระต่ายกรม M</v>
          </cell>
        </row>
        <row r="573">
          <cell r="A573" t="str">
            <v>BB0012-XL</v>
          </cell>
          <cell r="B573" t="str">
            <v>B12</v>
          </cell>
          <cell r="C573" t="str">
            <v>เยื่อไผ่ แขนสั้นขายาว  กระต่ายกรม XL</v>
          </cell>
        </row>
        <row r="574">
          <cell r="A574" t="str">
            <v>BB0013-L</v>
          </cell>
          <cell r="B574" t="str">
            <v>B13</v>
          </cell>
          <cell r="C574" t="str">
            <v>เยื่อไผ่ แขนสั้นขายาว แมวฟ้า L</v>
          </cell>
        </row>
        <row r="575">
          <cell r="A575" t="str">
            <v>BB0013-M</v>
          </cell>
          <cell r="B575" t="str">
            <v>B13</v>
          </cell>
          <cell r="C575" t="str">
            <v>เยื่อไผ่ แขนสั้นขายาว แมวฟ้า M</v>
          </cell>
        </row>
        <row r="576">
          <cell r="A576" t="str">
            <v>BB0013-S</v>
          </cell>
          <cell r="B576" t="str">
            <v>B13</v>
          </cell>
          <cell r="C576" t="str">
            <v>เยื่อไผ่ แขนสั้นขายาว แมวฟ้า S</v>
          </cell>
        </row>
        <row r="577">
          <cell r="A577" t="str">
            <v>BB0014-L</v>
          </cell>
          <cell r="B577" t="str">
            <v>B14</v>
          </cell>
          <cell r="C577" t="str">
            <v>เยื่อไผ่ แขนสั้นขายาว ลายทางเทา น้องหมา L</v>
          </cell>
        </row>
        <row r="578">
          <cell r="A578" t="str">
            <v>BB0014-M</v>
          </cell>
          <cell r="B578" t="str">
            <v>B14</v>
          </cell>
          <cell r="C578" t="str">
            <v>เยื่อไผ่ แขนสั้นขายาว ลายทางเทา น้องหมา M</v>
          </cell>
        </row>
        <row r="579">
          <cell r="A579" t="str">
            <v>BB0014-S</v>
          </cell>
          <cell r="B579" t="str">
            <v>B14</v>
          </cell>
          <cell r="C579" t="str">
            <v>เยื่อไผ่ แขนสั้นขายาว ลายทางเทา น้องหมา S</v>
          </cell>
        </row>
        <row r="580">
          <cell r="A580" t="str">
            <v>BB0014-XL</v>
          </cell>
          <cell r="B580" t="str">
            <v>B14</v>
          </cell>
          <cell r="C580" t="str">
            <v>เยื่อไผ่ แขนสั้นขายาว ลายทางเทา น้องหมา XL</v>
          </cell>
        </row>
        <row r="581">
          <cell r="A581" t="str">
            <v>BB0015-L</v>
          </cell>
          <cell r="B581" t="str">
            <v>B15</v>
          </cell>
          <cell r="C581" t="str">
            <v>เยื่อไผ่ แขนสั้นขายาว ลายทางดำ น้องหมา L</v>
          </cell>
        </row>
        <row r="582">
          <cell r="A582" t="str">
            <v>BB0015-M</v>
          </cell>
          <cell r="B582" t="str">
            <v>B15</v>
          </cell>
          <cell r="C582" t="str">
            <v>เยื่อไผ่ แขนสั้นขายาว ลายทางดำ น้องหมา M</v>
          </cell>
        </row>
        <row r="583">
          <cell r="A583" t="str">
            <v>BB0015-S</v>
          </cell>
          <cell r="B583" t="str">
            <v>B15</v>
          </cell>
          <cell r="C583" t="str">
            <v>เยื่อไผ่ แขนสั้นขายาว ลายทางดำ น้องหมา S</v>
          </cell>
        </row>
        <row r="584">
          <cell r="A584" t="str">
            <v>BB0015-XL</v>
          </cell>
          <cell r="B584" t="str">
            <v>B15</v>
          </cell>
          <cell r="C584" t="str">
            <v>เยื่อไผ่ แขนสั้นขายาว ลายทางดำ น้องหมา XL</v>
          </cell>
        </row>
        <row r="585">
          <cell r="A585" t="str">
            <v>BB0016-L</v>
          </cell>
          <cell r="B585" t="str">
            <v>B16</v>
          </cell>
          <cell r="C585" t="str">
            <v>เยื่อไผ่ แขนสั้นขายาว กวาง พื้นกรม L</v>
          </cell>
        </row>
        <row r="586">
          <cell r="A586" t="str">
            <v>BB0016-M</v>
          </cell>
          <cell r="B586" t="str">
            <v>B16</v>
          </cell>
          <cell r="C586" t="str">
            <v>เยื่อไผ่ แขนสั้นขายาว กวาง พื้นกรม M</v>
          </cell>
        </row>
        <row r="587">
          <cell r="A587" t="str">
            <v>BB0016-XL</v>
          </cell>
          <cell r="B587" t="str">
            <v>B16</v>
          </cell>
          <cell r="C587" t="str">
            <v>เยื่อไผ่ แขนสั้นขายาว กวาง พื้นกรม XL</v>
          </cell>
        </row>
        <row r="588">
          <cell r="A588" t="str">
            <v>BB0019-L</v>
          </cell>
          <cell r="B588" t="str">
            <v>B19</v>
          </cell>
          <cell r="C588" t="str">
            <v>เยื่อไผ่ แขนสั้นขายาว TropicaL ใบไม้เขียว L</v>
          </cell>
        </row>
        <row r="589">
          <cell r="A589" t="str">
            <v>BB0019-M</v>
          </cell>
          <cell r="B589" t="str">
            <v>B19</v>
          </cell>
          <cell r="C589" t="str">
            <v>เยื่อไผ่ แขนสั้นขายาว TropicaL ใบไม้เขียว M</v>
          </cell>
        </row>
        <row r="590">
          <cell r="A590" t="str">
            <v>BB0019-S</v>
          </cell>
          <cell r="B590" t="str">
            <v>B19</v>
          </cell>
          <cell r="C590" t="str">
            <v>เยื่อไผ่ แขนสั้นขายาว TropicaL ใบไม้เขียว S</v>
          </cell>
        </row>
        <row r="591">
          <cell r="A591" t="str">
            <v>BB0020-L</v>
          </cell>
          <cell r="B591" t="str">
            <v>B20</v>
          </cell>
          <cell r="C591" t="str">
            <v>เยื่อไผ่ แขนสั้นขายาว ใบไม้เขียว NEW L Oversize</v>
          </cell>
        </row>
        <row r="592">
          <cell r="A592" t="str">
            <v>BB0020-M</v>
          </cell>
          <cell r="B592" t="str">
            <v>B20</v>
          </cell>
          <cell r="C592" t="str">
            <v>เยื่อไผ่ แขนสั้นขายาว ใบไม้เขียว NEW M Oversize</v>
          </cell>
        </row>
        <row r="593">
          <cell r="A593" t="str">
            <v>BB0020-S</v>
          </cell>
          <cell r="B593" t="str">
            <v>B20</v>
          </cell>
          <cell r="C593" t="str">
            <v>เยื่อไผ่ แขนสั้นขายาว ใบไม้เขียว NEW S Oversize</v>
          </cell>
        </row>
        <row r="594">
          <cell r="A594" t="str">
            <v>BB0022-L</v>
          </cell>
          <cell r="B594" t="str">
            <v>B22</v>
          </cell>
          <cell r="C594" t="str">
            <v>เยื่อไผ่ แขนสั้นขายาว TropicaL ใบไม้เหลือง New L</v>
          </cell>
        </row>
        <row r="595">
          <cell r="A595" t="str">
            <v>BB0022-M</v>
          </cell>
          <cell r="B595" t="str">
            <v>B22</v>
          </cell>
          <cell r="C595" t="str">
            <v>เยื่อไผ่ แขนสั้นขายาว TropicaL ใบไม้เหลือง New M</v>
          </cell>
        </row>
        <row r="596">
          <cell r="A596" t="str">
            <v>BB0022-S</v>
          </cell>
          <cell r="B596" t="str">
            <v>B22</v>
          </cell>
          <cell r="C596" t="str">
            <v>เยื่อไผ่ แขนสั้นขายาว TropicaL ใบไม้เหลือง New S</v>
          </cell>
        </row>
        <row r="597">
          <cell r="A597" t="str">
            <v>BB0023-L</v>
          </cell>
          <cell r="B597" t="str">
            <v>B23</v>
          </cell>
          <cell r="C597" t="str">
            <v>เยื่อไผ่ แขนสั้นขายาว TropicaL ใบไม้เหลือง OverSize L</v>
          </cell>
        </row>
        <row r="598">
          <cell r="A598" t="str">
            <v>BB0023-M</v>
          </cell>
          <cell r="B598" t="str">
            <v>B23</v>
          </cell>
          <cell r="C598" t="str">
            <v>เยื่อไผ่ แขนสั้นขายาว TropicaL ใบไม้เหลือง OverSize M</v>
          </cell>
        </row>
        <row r="599">
          <cell r="A599" t="str">
            <v>BB0023-S</v>
          </cell>
          <cell r="B599" t="str">
            <v>B23</v>
          </cell>
          <cell r="C599" t="str">
            <v>เยื่อไผ่ แขนสั้นขายาว TropicaL ใบไม้เหลือง OverSize S</v>
          </cell>
        </row>
        <row r="600">
          <cell r="A600" t="str">
            <v>BB0025-L</v>
          </cell>
          <cell r="B600" t="str">
            <v>B25</v>
          </cell>
          <cell r="C600" t="str">
            <v>เยื่อไผ่ แขนสั้นขายาว ใบไม้น้ำตาล ขอบแดง L</v>
          </cell>
        </row>
        <row r="601">
          <cell r="A601" t="str">
            <v>BB0025-M</v>
          </cell>
          <cell r="B601" t="str">
            <v>B25</v>
          </cell>
          <cell r="C601" t="str">
            <v>เยื่อไผ่ แขนสั้นขายาว ใบไม้น้ำตาล ขอบแดง M</v>
          </cell>
        </row>
        <row r="602">
          <cell r="A602" t="str">
            <v>BB0025-S</v>
          </cell>
          <cell r="B602" t="str">
            <v>B25</v>
          </cell>
          <cell r="C602" t="str">
            <v>เยื่อไผ่ แขนสั้นขายาว ใบไม้น้ำตาล ขอบแดง S</v>
          </cell>
        </row>
        <row r="603">
          <cell r="A603" t="str">
            <v>BB0025-XL</v>
          </cell>
          <cell r="B603" t="str">
            <v>B25</v>
          </cell>
          <cell r="C603" t="str">
            <v>เยื่อไผ่ แขนสั้นขายาว ใบไม้น้ำตาล ขอบแดง XL</v>
          </cell>
        </row>
        <row r="604">
          <cell r="A604" t="str">
            <v>BB0026-L</v>
          </cell>
          <cell r="B604" t="str">
            <v>B26</v>
          </cell>
          <cell r="C604" t="str">
            <v>เยื่อไผ่ แขนสั้นขายาว ใบไม้พื้นน้ำตาล L</v>
          </cell>
        </row>
        <row r="605">
          <cell r="A605" t="str">
            <v>BB0026-M</v>
          </cell>
          <cell r="B605" t="str">
            <v>B26</v>
          </cell>
          <cell r="C605" t="str">
            <v>เยื่อไผ่ แขนสั้นขายาว ใบไม้พื้นน้ำตาล M</v>
          </cell>
        </row>
        <row r="606">
          <cell r="A606" t="str">
            <v>BB0026-XL</v>
          </cell>
          <cell r="B606" t="str">
            <v>B26</v>
          </cell>
          <cell r="C606" t="str">
            <v>เยื่อไผ่ แขนสั้นขายาว ใบไม้พื้นน้ำตาล XL</v>
          </cell>
        </row>
        <row r="607">
          <cell r="A607" t="str">
            <v>BB0028-L</v>
          </cell>
          <cell r="B607" t="str">
            <v>B28</v>
          </cell>
          <cell r="C607" t="str">
            <v>เยื่อไผ่ แขนสั้นขายาว ใบไม้ชมพู นู้ด L</v>
          </cell>
        </row>
        <row r="608">
          <cell r="A608" t="str">
            <v>BB0028-XL</v>
          </cell>
          <cell r="B608" t="str">
            <v>B28</v>
          </cell>
          <cell r="C608" t="str">
            <v>เยื่อไผ่ แขนสั้นขายาว ใบไม้ชมพู นู้ด XL</v>
          </cell>
        </row>
        <row r="609">
          <cell r="A609" t="str">
            <v>BB0035-L</v>
          </cell>
          <cell r="B609" t="str">
            <v>B35</v>
          </cell>
          <cell r="C609" t="str">
            <v>เยื่อไผ่ แขนสั้นขายาว ขาวดอกไม้เล็ก L</v>
          </cell>
        </row>
        <row r="610">
          <cell r="A610" t="str">
            <v>BB0035-M</v>
          </cell>
          <cell r="B610" t="str">
            <v>B35</v>
          </cell>
          <cell r="C610" t="str">
            <v>เยื่อไผ่ แขนสั้นขายาว ขาวดอกไม้เล็ก M</v>
          </cell>
        </row>
        <row r="611">
          <cell r="A611" t="str">
            <v>BB0035-S</v>
          </cell>
          <cell r="B611" t="str">
            <v>B35</v>
          </cell>
          <cell r="C611" t="str">
            <v>เยื่อไผ่ แขนสั้นขายาว ขาวดอกไม้เล็ก S</v>
          </cell>
        </row>
        <row r="612">
          <cell r="A612" t="str">
            <v>BB0035-XL</v>
          </cell>
          <cell r="B612" t="str">
            <v>B35</v>
          </cell>
          <cell r="C612" t="str">
            <v>เยื่อไผ่ แขนสั้นขายาว ขาวดอกไม้เล็ก XL</v>
          </cell>
        </row>
        <row r="613">
          <cell r="A613" t="str">
            <v>BB0038-L</v>
          </cell>
          <cell r="B613" t="str">
            <v>B38</v>
          </cell>
          <cell r="C613" t="str">
            <v>เยื่อไผ่ แขนสั้นขายาว  ดอกไม้ขาว ดอกไม้เหลือง L</v>
          </cell>
        </row>
        <row r="614">
          <cell r="A614" t="str">
            <v>BB0038-M</v>
          </cell>
          <cell r="B614" t="str">
            <v>B38</v>
          </cell>
          <cell r="C614" t="str">
            <v>เยื่อไผ่ แขนสั้นขายาว  ดอกไม้ขาว ดอกไม้เหลือง M</v>
          </cell>
        </row>
        <row r="615">
          <cell r="A615" t="str">
            <v>BB0038-XL</v>
          </cell>
          <cell r="B615" t="str">
            <v>B38</v>
          </cell>
          <cell r="C615" t="str">
            <v>เยื่อไผ่ แขนสั้นขายาว  ดอกไม้ขาว ดอกไม้เหลือง XL</v>
          </cell>
        </row>
        <row r="616">
          <cell r="A616" t="str">
            <v>BB0045-L</v>
          </cell>
          <cell r="B616" t="str">
            <v>B45</v>
          </cell>
          <cell r="C616" t="str">
            <v>เยื่อไผ่ แขนสั้นขายาว Tropical ดอกไม้ L</v>
          </cell>
        </row>
        <row r="617">
          <cell r="A617" t="str">
            <v>BB0045-M</v>
          </cell>
          <cell r="B617" t="str">
            <v>B45</v>
          </cell>
          <cell r="C617" t="str">
            <v>เยื่อไผ่ แขนสั้นขายาว Tropical ดอกไม้ M</v>
          </cell>
        </row>
        <row r="618">
          <cell r="A618" t="str">
            <v>BB0045-S</v>
          </cell>
          <cell r="B618" t="str">
            <v>B45</v>
          </cell>
          <cell r="C618" t="str">
            <v>เยื่อไผ่ แขนสั้นขายาว Tropical ดอกไม้ S</v>
          </cell>
        </row>
        <row r="619">
          <cell r="A619" t="str">
            <v>BB0045-XL</v>
          </cell>
          <cell r="B619" t="str">
            <v>B45</v>
          </cell>
          <cell r="C619" t="str">
            <v>เยื่อไผ่ แขนสั้นขายาว Tropical ดอกไม้ XL</v>
          </cell>
        </row>
        <row r="620">
          <cell r="A620" t="str">
            <v>BB0046-L</v>
          </cell>
          <cell r="B620" t="str">
            <v>B46</v>
          </cell>
          <cell r="C620" t="str">
            <v>เยื่อไผ่ แขนสั้นขายาว Tropical ดอกไม้แดง L</v>
          </cell>
        </row>
        <row r="621">
          <cell r="A621" t="str">
            <v>BB0046-M</v>
          </cell>
          <cell r="B621" t="str">
            <v>B46</v>
          </cell>
          <cell r="C621" t="str">
            <v>เยื่อไผ่ แขนสั้นขายาว Tropical ดอกไม้แดง M</v>
          </cell>
        </row>
        <row r="622">
          <cell r="A622" t="str">
            <v>BB0046-XL</v>
          </cell>
          <cell r="B622" t="str">
            <v>B46</v>
          </cell>
          <cell r="C622" t="str">
            <v>เยื่อไผ่ แขนสั้นขายาว Tropical ดอกไม้แดง XL</v>
          </cell>
        </row>
        <row r="623">
          <cell r="A623" t="str">
            <v>BB0047-L</v>
          </cell>
          <cell r="B623" t="str">
            <v>B47</v>
          </cell>
          <cell r="C623" t="str">
            <v>เยื่อไผ่ แขนสั้นขายาว Tropical ดอกไม้ชมพู L</v>
          </cell>
        </row>
        <row r="624">
          <cell r="A624" t="str">
            <v>BB0047-M</v>
          </cell>
          <cell r="B624" t="str">
            <v>B47</v>
          </cell>
          <cell r="C624" t="str">
            <v>เยื่อไผ่ แขนสั้นขายาว Tropical ดอกไม้ชมพู M</v>
          </cell>
        </row>
        <row r="625">
          <cell r="A625" t="str">
            <v>BB0047-XL</v>
          </cell>
          <cell r="B625" t="str">
            <v>B47</v>
          </cell>
          <cell r="C625" t="str">
            <v>เยื่อไผ่ แขนสั้นขายาว Tropical ดอกไม้ชมพู XL</v>
          </cell>
        </row>
        <row r="626">
          <cell r="A626" t="str">
            <v>BB0049-L</v>
          </cell>
          <cell r="B626" t="str">
            <v>B49</v>
          </cell>
          <cell r="C626" t="str">
            <v>เยื่อไผ่ แขนสั้นขายาว Tropical ดอกน้ำตาลฟ้า L</v>
          </cell>
        </row>
        <row r="627">
          <cell r="A627" t="str">
            <v>BB0049-M</v>
          </cell>
          <cell r="B627" t="str">
            <v>B49</v>
          </cell>
          <cell r="C627" t="str">
            <v>เยื่อไผ่ แขนสั้นขายาว Tropical ดอกน้ำตาลฟ้า M</v>
          </cell>
        </row>
        <row r="628">
          <cell r="A628" t="str">
            <v>BB0049-XL</v>
          </cell>
          <cell r="B628" t="str">
            <v>B49</v>
          </cell>
          <cell r="C628" t="str">
            <v>เยื่อไผ่ แขนสั้นขายาว Tropical ดอกน้ำตาลฟ้า XL</v>
          </cell>
        </row>
        <row r="629">
          <cell r="A629" t="str">
            <v>BB0051-L</v>
          </cell>
          <cell r="B629" t="str">
            <v>B51</v>
          </cell>
          <cell r="C629" t="str">
            <v>เยื่อไผ่ แขนสั้นขายาว ดอกไม้แดง พื้่นฟ้า L</v>
          </cell>
        </row>
        <row r="630">
          <cell r="A630" t="str">
            <v>BB0051-XL</v>
          </cell>
          <cell r="B630" t="str">
            <v>B51</v>
          </cell>
          <cell r="C630" t="str">
            <v>เยื่อไผ่ แขนสั้นขายาว ดอกไม้แดง พื้่นฟ้า XL</v>
          </cell>
        </row>
        <row r="631">
          <cell r="A631" t="str">
            <v>BB0054-XL</v>
          </cell>
          <cell r="B631" t="str">
            <v>B54</v>
          </cell>
          <cell r="C631" t="str">
            <v>เยื่อไผ่ แขนสั้นขายาว ดอกไม้แดงเล็ก XL</v>
          </cell>
        </row>
        <row r="632">
          <cell r="A632" t="str">
            <v>BB0055-L</v>
          </cell>
          <cell r="B632" t="str">
            <v>B55</v>
          </cell>
          <cell r="C632" t="str">
            <v>เยื่อไผ่ แขนสั้นขายาว ดอกไม้แดงพื้นครีม L OverSize</v>
          </cell>
        </row>
        <row r="633">
          <cell r="A633" t="str">
            <v>BB0055-M</v>
          </cell>
          <cell r="B633" t="str">
            <v>B55</v>
          </cell>
          <cell r="C633" t="str">
            <v>เยื่อไผ่ แขนสั้นขายาว ดอกไม้แดงพื้นครีม M OverSize</v>
          </cell>
        </row>
        <row r="634">
          <cell r="A634" t="str">
            <v>BB0055-S</v>
          </cell>
          <cell r="B634" t="str">
            <v>B55</v>
          </cell>
          <cell r="C634" t="str">
            <v>เยื่อไผ่ แขนสั้นขายาว ดอกไม้แดงพื้นครีม S OverSize</v>
          </cell>
        </row>
        <row r="635">
          <cell r="A635" t="str">
            <v>BB0056-L</v>
          </cell>
          <cell r="B635" t="str">
            <v>B56</v>
          </cell>
          <cell r="C635" t="str">
            <v>เยื่อไผ่ แขนสั้นขายาว  ดอกไม้แดง พื้นน้ำเงิน L OverSize</v>
          </cell>
        </row>
        <row r="636">
          <cell r="A636" t="str">
            <v>BB0056-M</v>
          </cell>
          <cell r="B636" t="str">
            <v>B56</v>
          </cell>
          <cell r="C636" t="str">
            <v>เยื่อไผ่ แขนสั้นขายาว  ดอกไม้แดง พื้นน้ำเงิน M OverSize</v>
          </cell>
        </row>
        <row r="637">
          <cell r="A637" t="str">
            <v>BB0056-S</v>
          </cell>
          <cell r="B637" t="str">
            <v>B56</v>
          </cell>
          <cell r="C637" t="str">
            <v>เยื่อไผ่ แขนสั้นขายาว  ดอกไม้แดง พื้นน้ำเงิน S OverSize</v>
          </cell>
        </row>
        <row r="638">
          <cell r="A638" t="str">
            <v>BB0064-L</v>
          </cell>
          <cell r="B638" t="str">
            <v>B64</v>
          </cell>
          <cell r="C638" t="str">
            <v>เยื่อไผ่ แขนสั้นขายาว พื้นกรม ดอกชมพูใหญ่ L</v>
          </cell>
        </row>
        <row r="639">
          <cell r="A639" t="str">
            <v>BB0064-M</v>
          </cell>
          <cell r="B639" t="str">
            <v>B64</v>
          </cell>
          <cell r="C639" t="str">
            <v>เยื่อไผ่ แขนสั้นขายาว พื้นกรม ดอกชมพูใหญ่ M</v>
          </cell>
        </row>
        <row r="640">
          <cell r="A640" t="str">
            <v>BB0064-XL</v>
          </cell>
          <cell r="B640" t="str">
            <v>B64</v>
          </cell>
          <cell r="C640" t="str">
            <v>เยื่อไผ่ แขนสั้นขายาว พื้นกรม ดอกชมพูใหญ่ XL</v>
          </cell>
        </row>
        <row r="641">
          <cell r="A641" t="str">
            <v>BB0073-L</v>
          </cell>
          <cell r="B641" t="str">
            <v>B73</v>
          </cell>
          <cell r="C641" t="str">
            <v>เยื่อไผ่ แขนสั้นขายาว ดอกไม้น้ำตาล L</v>
          </cell>
        </row>
        <row r="642">
          <cell r="A642" t="str">
            <v>BB0073-M</v>
          </cell>
          <cell r="B642" t="str">
            <v>B73</v>
          </cell>
          <cell r="C642" t="str">
            <v>เยื่อไผ่ แขนสั้นขายาว ดอกไม้น้ำตาล M</v>
          </cell>
        </row>
        <row r="643">
          <cell r="A643" t="str">
            <v>BB0073-XL</v>
          </cell>
          <cell r="B643" t="str">
            <v>B73</v>
          </cell>
          <cell r="C643" t="str">
            <v>เยื่อไผ่ แขนสั้นขายาว ดอกไม้น้ำตาล XL</v>
          </cell>
        </row>
        <row r="644">
          <cell r="A644" t="str">
            <v>BB0074-L</v>
          </cell>
          <cell r="B644" t="str">
            <v>B74</v>
          </cell>
          <cell r="C644" t="str">
            <v>เยื่อไผ่ แขนสั้นขายาว ดอกไม้น้ำตาลพื้นชมพู L</v>
          </cell>
        </row>
        <row r="645">
          <cell r="A645" t="str">
            <v>BB0075-L</v>
          </cell>
          <cell r="B645" t="str">
            <v>B75</v>
          </cell>
          <cell r="C645" t="str">
            <v>เยื่อไผ่ แขนสั้นขายาว เหลืองลายดอก L</v>
          </cell>
        </row>
        <row r="646">
          <cell r="A646" t="str">
            <v>BB0075-M</v>
          </cell>
          <cell r="B646" t="str">
            <v>JB75</v>
          </cell>
          <cell r="C646" t="str">
            <v>เยื่อไผ่ แขนสั้นขายาว เหลืองลายดอก M ตัวโชว์</v>
          </cell>
        </row>
        <row r="647">
          <cell r="A647" t="str">
            <v>BB0075-XL</v>
          </cell>
          <cell r="B647" t="str">
            <v>B75</v>
          </cell>
          <cell r="C647" t="str">
            <v>เยื่อไผ่ แขนสั้นขายาว เหลืองลายดอก XL</v>
          </cell>
        </row>
        <row r="648">
          <cell r="A648" t="str">
            <v>BB0077-L</v>
          </cell>
          <cell r="B648" t="str">
            <v>B77</v>
          </cell>
          <cell r="C648" t="str">
            <v>เยื่อไผ่ แขนสั้นขายาว ดอกไม้ชม พื้นเหลือง L</v>
          </cell>
        </row>
        <row r="649">
          <cell r="A649" t="str">
            <v>BB0077-M</v>
          </cell>
          <cell r="B649" t="str">
            <v>B77</v>
          </cell>
          <cell r="C649" t="str">
            <v>เยื่อไผ่ แขนสั้นขายาว ดอกไม้ชม พื้นเหลือง M</v>
          </cell>
        </row>
        <row r="650">
          <cell r="A650" t="str">
            <v>BB0077-S</v>
          </cell>
          <cell r="B650" t="str">
            <v>B77</v>
          </cell>
          <cell r="C650" t="str">
            <v>เยื่อไผ่ แขนสั้นขายาว ดอกไม้ชม พื้นเหลือง S</v>
          </cell>
        </row>
        <row r="651">
          <cell r="A651" t="str">
            <v>BB0077-XL</v>
          </cell>
          <cell r="B651" t="str">
            <v>B77</v>
          </cell>
          <cell r="C651" t="str">
            <v>เยื่อไผ่ แขนสั้นขายาว ดอกไม้ชม พื้นเหลือง XL</v>
          </cell>
        </row>
        <row r="652">
          <cell r="A652" t="str">
            <v>BB0090-L</v>
          </cell>
          <cell r="B652" t="str">
            <v>B90</v>
          </cell>
          <cell r="C652" t="str">
            <v>เยื่อไผ่ แขนสั้นขายาว SecreSt L</v>
          </cell>
        </row>
        <row r="653">
          <cell r="A653" t="str">
            <v>BB0090-M</v>
          </cell>
          <cell r="B653" t="str">
            <v>B90</v>
          </cell>
          <cell r="C653" t="str">
            <v>เยื่อไผ่ แขนสั้นขายาว SecreSt M</v>
          </cell>
        </row>
        <row r="654">
          <cell r="A654" t="str">
            <v>BB0090-S</v>
          </cell>
          <cell r="B654" t="str">
            <v>B90</v>
          </cell>
          <cell r="C654" t="str">
            <v>เยื่อไผ่ แขนสั้นขายาว SecreSt S</v>
          </cell>
        </row>
        <row r="655">
          <cell r="A655" t="str">
            <v>BB0092-L</v>
          </cell>
          <cell r="B655" t="str">
            <v>B92</v>
          </cell>
          <cell r="C655" t="str">
            <v>เยื่อไผ่ แขนสั้นขายาว ดอกชบา L</v>
          </cell>
        </row>
        <row r="656">
          <cell r="A656" t="str">
            <v>BB0092-M</v>
          </cell>
          <cell r="B656" t="str">
            <v>B92</v>
          </cell>
          <cell r="C656" t="str">
            <v>เยื่อไผ่ แขนสั้นขายาว ดอกชบา M</v>
          </cell>
        </row>
        <row r="657">
          <cell r="A657" t="str">
            <v>BB0092-XL</v>
          </cell>
          <cell r="B657" t="str">
            <v>B92</v>
          </cell>
          <cell r="C657" t="str">
            <v>เยื่อไผ่ แขนสั้นขายาว ดอกชบา XL</v>
          </cell>
        </row>
        <row r="658">
          <cell r="A658" t="str">
            <v>BB0093-L</v>
          </cell>
          <cell r="B658" t="str">
            <v>B93</v>
          </cell>
          <cell r="C658" t="str">
            <v>เยื่อไผ่ แขนสั้นขายาว ชบาขาว พื้นฟ้า L</v>
          </cell>
        </row>
        <row r="659">
          <cell r="A659" t="str">
            <v>BB0093-XL</v>
          </cell>
          <cell r="B659" t="str">
            <v>B93</v>
          </cell>
          <cell r="C659" t="str">
            <v>เยื่อไผ่ แขนสั้นขายาว ชบาขาว พื้นฟ้า XL</v>
          </cell>
        </row>
        <row r="660">
          <cell r="A660" t="str">
            <v>BB0094-L</v>
          </cell>
          <cell r="B660" t="str">
            <v>B94</v>
          </cell>
          <cell r="C660" t="str">
            <v>เยื่อไผ่ แขนสั้นขายาว ชบาชมพูใหญ่พื้นขาว L</v>
          </cell>
        </row>
        <row r="661">
          <cell r="A661" t="str">
            <v>BB0094-M</v>
          </cell>
          <cell r="B661" t="str">
            <v>B94</v>
          </cell>
          <cell r="C661" t="str">
            <v>เยื่อไผ่ แขนสั้นขายาว ชบาชมพูใหญ่พื้นขาว M</v>
          </cell>
        </row>
        <row r="662">
          <cell r="A662" t="str">
            <v>BB0098-L</v>
          </cell>
          <cell r="B662" t="str">
            <v>B98</v>
          </cell>
          <cell r="C662" t="str">
            <v>เยื่อไผ่ แขนสั้นขายาว โบตั๋น NEW L</v>
          </cell>
        </row>
        <row r="663">
          <cell r="A663" t="str">
            <v>BB0098-M</v>
          </cell>
          <cell r="B663" t="str">
            <v>B98</v>
          </cell>
          <cell r="C663" t="str">
            <v>เยื่อไผ่ แขนสั้นขายาว โบตั๋นNEW-M</v>
          </cell>
        </row>
        <row r="664">
          <cell r="A664" t="str">
            <v>BB0098-S</v>
          </cell>
          <cell r="B664" t="str">
            <v>B98</v>
          </cell>
          <cell r="C664" t="str">
            <v>เยื่อไผ่ แขนสั้นขายาว โบตั๋น NEW S</v>
          </cell>
        </row>
        <row r="665">
          <cell r="A665" t="str">
            <v>BB0098-XL</v>
          </cell>
          <cell r="B665" t="str">
            <v>B98</v>
          </cell>
          <cell r="C665" t="str">
            <v>เยื่อไผ่ แขนสั้นขายาว โบตั๋น NEW XL</v>
          </cell>
        </row>
        <row r="666">
          <cell r="A666" t="str">
            <v>BB0099-L</v>
          </cell>
          <cell r="B666" t="str">
            <v>B99</v>
          </cell>
          <cell r="C666" t="str">
            <v>เยื่อไผ่ แขนสั้นขายาว โบตั๋น ฟ้า L</v>
          </cell>
        </row>
        <row r="667">
          <cell r="A667" t="str">
            <v>BB0099-M</v>
          </cell>
          <cell r="B667" t="str">
            <v>B99</v>
          </cell>
          <cell r="C667" t="str">
            <v>เยื่อไผ่ แขนสั้นขายาว โบตั๋น ฟ้า M</v>
          </cell>
        </row>
        <row r="668">
          <cell r="A668" t="str">
            <v>BB0099-XL</v>
          </cell>
          <cell r="B668" t="str">
            <v>B99</v>
          </cell>
          <cell r="C668" t="str">
            <v>เยื่อไผ่ แขนสั้นขายาว โบตั๋น ฟ้า XL</v>
          </cell>
        </row>
        <row r="669">
          <cell r="A669" t="str">
            <v>BB0100-L</v>
          </cell>
          <cell r="B669" t="str">
            <v>B100</v>
          </cell>
          <cell r="C669" t="str">
            <v>เยื่อไผ่ แขนสั้นขายาว โบตั๋นมิ้น L</v>
          </cell>
        </row>
        <row r="670">
          <cell r="A670" t="str">
            <v>BB0100-M</v>
          </cell>
          <cell r="B670" t="str">
            <v>B100</v>
          </cell>
          <cell r="C670" t="str">
            <v>เยื่อไผ่ แขนสั้นขายาว โบตั๋นมิ้น M</v>
          </cell>
        </row>
        <row r="671">
          <cell r="A671" t="str">
            <v>BB0100-XL</v>
          </cell>
          <cell r="B671" t="str">
            <v>B100</v>
          </cell>
          <cell r="C671" t="str">
            <v>เยื่อไผ่ แขนสั้นขายาว โบตั๋นมิ้น XL</v>
          </cell>
        </row>
        <row r="672">
          <cell r="A672" t="str">
            <v>BB0101-L</v>
          </cell>
          <cell r="B672" t="str">
            <v>B101</v>
          </cell>
          <cell r="C672" t="str">
            <v>เยื่อไผ่ แขนสั้นขายาว โบตั๋นเหลือง L</v>
          </cell>
        </row>
        <row r="673">
          <cell r="A673" t="str">
            <v>BB0101-M</v>
          </cell>
          <cell r="B673" t="str">
            <v>B101</v>
          </cell>
          <cell r="C673" t="str">
            <v>เยื่อไผ่ แขนสั้นขายาว โบตั๋นเหลือง M</v>
          </cell>
        </row>
        <row r="674">
          <cell r="A674" t="str">
            <v>BB0101-XL</v>
          </cell>
          <cell r="B674" t="str">
            <v>B101</v>
          </cell>
          <cell r="C674" t="str">
            <v>เยื่อไผ่ แขนสั้นขายาว โบตั๋นเหลือง XL</v>
          </cell>
        </row>
        <row r="675">
          <cell r="A675" t="str">
            <v>BB0102-L</v>
          </cell>
          <cell r="B675" t="str">
            <v>B102</v>
          </cell>
          <cell r="C675" t="str">
            <v>เยื่อไผ่ แขนสั้นขายาว โบตั๋นชมพู L</v>
          </cell>
        </row>
        <row r="676">
          <cell r="A676" t="str">
            <v>BB0102-M</v>
          </cell>
          <cell r="B676" t="str">
            <v>B102</v>
          </cell>
          <cell r="C676" t="str">
            <v>เยื่อไผ่ แขนสั้นขายาว โบตั๋นชมพู M</v>
          </cell>
        </row>
        <row r="677">
          <cell r="A677" t="str">
            <v>BB0102-XL</v>
          </cell>
          <cell r="B677" t="str">
            <v>B102</v>
          </cell>
          <cell r="C677" t="str">
            <v>เยื่อไผ่ แขนสั้นขายาว โบตั๋นชมพู XL</v>
          </cell>
        </row>
        <row r="678">
          <cell r="A678" t="str">
            <v>BB0103-L</v>
          </cell>
          <cell r="B678" t="str">
            <v>B103</v>
          </cell>
          <cell r="C678" t="str">
            <v>เยื่อไผ่ แขนสั้นขายาว ดอกทิวลิป พื้นฟ้า L</v>
          </cell>
        </row>
        <row r="679">
          <cell r="A679" t="str">
            <v>BB0103-M</v>
          </cell>
          <cell r="B679" t="str">
            <v>B103</v>
          </cell>
          <cell r="C679" t="str">
            <v>เยื่อไผ่ แขนสั้นขายาว ดอกทิวลิป พื้นฟ้า M</v>
          </cell>
        </row>
        <row r="680">
          <cell r="A680" t="str">
            <v>BB0103-S</v>
          </cell>
          <cell r="B680" t="str">
            <v>B103</v>
          </cell>
          <cell r="C680" t="str">
            <v>เยื่อไผ่ แขนสั้นขายาว ดอกทิวลิป พื้นฟ้า S</v>
          </cell>
        </row>
        <row r="681">
          <cell r="A681" t="str">
            <v>BB0103-XL</v>
          </cell>
          <cell r="B681" t="str">
            <v>B103</v>
          </cell>
          <cell r="C681" t="str">
            <v>เยื่อไผ่ แขนสั้นขายาว ดอกทิวลิป พื้นฟ้า XL</v>
          </cell>
        </row>
        <row r="682">
          <cell r="A682" t="str">
            <v>BB0106-L</v>
          </cell>
          <cell r="B682" t="str">
            <v>B106</v>
          </cell>
          <cell r="C682" t="str">
            <v>เยื่อไผ่ แขนสั้นขายาว TropicaL พีช L</v>
          </cell>
        </row>
        <row r="683">
          <cell r="A683" t="str">
            <v>BB0106-M</v>
          </cell>
          <cell r="B683" t="str">
            <v>JB106</v>
          </cell>
          <cell r="C683" t="str">
            <v>เยื่อไผ่ แขนสั้นขายาว TropicaL พีช M ตัวโชว์</v>
          </cell>
        </row>
        <row r="684">
          <cell r="A684" t="str">
            <v>BB0106-XL</v>
          </cell>
          <cell r="B684" t="str">
            <v>B106</v>
          </cell>
          <cell r="C684" t="str">
            <v>เยื่อไผ่ แขนสั้นขายาว TropicaL พีช XL</v>
          </cell>
        </row>
        <row r="685">
          <cell r="A685" t="str">
            <v>BB0107-L</v>
          </cell>
          <cell r="B685" t="str">
            <v>B107</v>
          </cell>
          <cell r="C685" t="str">
            <v>เยื่อไผ่ แขนสั้นขายาว พีชใหญ่ พื้นชมพู L OverSize</v>
          </cell>
        </row>
        <row r="686">
          <cell r="A686" t="str">
            <v>BB0107-M</v>
          </cell>
          <cell r="B686" t="str">
            <v>B107</v>
          </cell>
          <cell r="C686" t="str">
            <v>เยื่อไผ่ แขนสั้นขายาว พีชใหญ่ พื้นชมพู M OverSize</v>
          </cell>
        </row>
        <row r="687">
          <cell r="A687" t="str">
            <v>BB0107-S</v>
          </cell>
          <cell r="B687" t="str">
            <v>B107</v>
          </cell>
          <cell r="C687" t="str">
            <v>เยื่อไผ่ แขนสั้นขายาว พีชใหญ่ พื้นชมพู S OverSize</v>
          </cell>
        </row>
        <row r="688">
          <cell r="A688" t="str">
            <v>BB0117-L</v>
          </cell>
          <cell r="B688" t="str">
            <v>B117</v>
          </cell>
          <cell r="C688" t="str">
            <v>เยื่อไผ่ แขนสั้นขายาว ลายทางพาสเทล L</v>
          </cell>
        </row>
        <row r="689">
          <cell r="A689" t="str">
            <v>BB0117-M</v>
          </cell>
          <cell r="B689" t="str">
            <v>JB117</v>
          </cell>
          <cell r="C689" t="str">
            <v>เยื่อไผ่ แขนสั้นขายาว ลายทางพาสเทล M ตัวโชว์</v>
          </cell>
        </row>
        <row r="690">
          <cell r="A690" t="str">
            <v>BB0117-S</v>
          </cell>
          <cell r="B690" t="str">
            <v>B117</v>
          </cell>
          <cell r="C690" t="str">
            <v>เยื่อไผ่ แขนสั้นขายาว ลายทางพาสเทล S</v>
          </cell>
        </row>
        <row r="691">
          <cell r="A691" t="str">
            <v>BB0117-XL</v>
          </cell>
          <cell r="B691" t="str">
            <v>B117</v>
          </cell>
          <cell r="C691" t="str">
            <v>เยื่อไผ่ แขนสั้นขายาว ลายทางพาสเทล XL</v>
          </cell>
        </row>
        <row r="692">
          <cell r="A692" t="str">
            <v>BB0118-L</v>
          </cell>
          <cell r="B692" t="str">
            <v>B118</v>
          </cell>
          <cell r="C692" t="str">
            <v>เยื่อไผ่ แขนสั้นขายาว ลายทางเขียว L</v>
          </cell>
        </row>
        <row r="693">
          <cell r="A693" t="str">
            <v>BB0118-M</v>
          </cell>
          <cell r="B693" t="str">
            <v>BB118</v>
          </cell>
          <cell r="C693" t="str">
            <v>เยื่อไผ่ แขนสั้นขายาว ลายทางเขียว M</v>
          </cell>
        </row>
        <row r="694">
          <cell r="A694" t="str">
            <v>BB0118-S</v>
          </cell>
          <cell r="B694" t="str">
            <v>B118</v>
          </cell>
          <cell r="C694" t="str">
            <v>เยื่อไผ่ แขนสั้นขายาว ลายทางเขียว S</v>
          </cell>
        </row>
        <row r="695">
          <cell r="A695" t="str">
            <v>BB0118-XL</v>
          </cell>
          <cell r="B695" t="str">
            <v>B118</v>
          </cell>
          <cell r="C695" t="str">
            <v>เยื่อไผ่ แขนสั้นขายาว ลายทางเขียว XL</v>
          </cell>
        </row>
        <row r="696">
          <cell r="A696" t="str">
            <v>BB0119-2XL</v>
          </cell>
          <cell r="B696" t="str">
            <v>JB119</v>
          </cell>
          <cell r="C696" t="str">
            <v>เยื่อไผ่ แขนสั้นขายาว ตารางดำขาว 2XL ตัวโชว์</v>
          </cell>
        </row>
        <row r="697">
          <cell r="A697" t="str">
            <v>BB0119-L</v>
          </cell>
          <cell r="B697" t="str">
            <v>JB119</v>
          </cell>
          <cell r="C697" t="str">
            <v>เยื่อไผ่ แขนสั้นขายาว ตารางดำขาว L ตัวโชว์</v>
          </cell>
        </row>
        <row r="698">
          <cell r="A698" t="str">
            <v>BB0119-M</v>
          </cell>
          <cell r="B698" t="str">
            <v>JB119</v>
          </cell>
          <cell r="C698" t="str">
            <v>เยื่อไผ่ แขนสั้นขายาว ตารางดำขาว M ตัวโชว์</v>
          </cell>
        </row>
        <row r="699">
          <cell r="A699" t="str">
            <v>BB0119-XL</v>
          </cell>
          <cell r="B699" t="str">
            <v>JB119</v>
          </cell>
          <cell r="C699" t="str">
            <v>เยื่อไผ่ แขนสั้นขายาว ตารางดำขาว XL ตัวโชว์</v>
          </cell>
        </row>
        <row r="700">
          <cell r="A700" t="str">
            <v>BB0120-M</v>
          </cell>
          <cell r="B700" t="str">
            <v>B120</v>
          </cell>
          <cell r="C700" t="str">
            <v>เยื่อไผ่ แขนสั้นขายาว ลายจุดเล็ก M</v>
          </cell>
        </row>
        <row r="701">
          <cell r="A701" t="str">
            <v>BB0120-S</v>
          </cell>
          <cell r="B701" t="str">
            <v>B120</v>
          </cell>
          <cell r="C701" t="str">
            <v>เยื่อไผ่ แขนสั้นขายาว ลายจุดเล็ก S</v>
          </cell>
        </row>
        <row r="702">
          <cell r="A702" t="str">
            <v>BB0121-L</v>
          </cell>
          <cell r="B702" t="str">
            <v>B121</v>
          </cell>
          <cell r="C702" t="str">
            <v>เยื่อไผ่ แขนสั้นขายาว TropicaL ลายจุด L</v>
          </cell>
        </row>
        <row r="703">
          <cell r="A703" t="str">
            <v>BB0121-M</v>
          </cell>
          <cell r="B703" t="str">
            <v>B121</v>
          </cell>
          <cell r="C703" t="str">
            <v>เยื่อไผ่ แขนสั้นขายาว TropicaL ลายจุด M</v>
          </cell>
        </row>
        <row r="704">
          <cell r="A704" t="str">
            <v>BB0121-S</v>
          </cell>
          <cell r="B704" t="str">
            <v>B121</v>
          </cell>
          <cell r="C704" t="str">
            <v>เยื่อไผ่ แขนสั้นขายาว TropicaL ลายจุด S</v>
          </cell>
        </row>
        <row r="705">
          <cell r="A705" t="str">
            <v>BB0121-XL</v>
          </cell>
          <cell r="B705" t="str">
            <v>B121</v>
          </cell>
          <cell r="C705" t="str">
            <v>เยื่อไผ่ แขนสั้นขายาว TropicaL ลายจุด XL</v>
          </cell>
        </row>
        <row r="706">
          <cell r="A706" t="str">
            <v>BB0127-L</v>
          </cell>
          <cell r="B706" t="str">
            <v>B127</v>
          </cell>
          <cell r="C706" t="str">
            <v>เยื่อไผ่ แขนสั้นขายาว เสื้อขาวกางเกงขาวจุดฟ้า L OverSize</v>
          </cell>
        </row>
        <row r="707">
          <cell r="A707" t="str">
            <v>BB0127-M</v>
          </cell>
          <cell r="B707" t="str">
            <v>B127</v>
          </cell>
          <cell r="C707" t="str">
            <v>เยื่อไผ่ แขนสั้นขายาว เสื้อขาว กางเกงขาวจุดฟ้า M OverSize</v>
          </cell>
        </row>
        <row r="708">
          <cell r="A708" t="str">
            <v>BB0127-S</v>
          </cell>
          <cell r="B708" t="str">
            <v>B127</v>
          </cell>
          <cell r="C708" t="str">
            <v>เยื่อไผ่ แขนสั้นขายาว เสื้อขาว กางเกงขาวจุดฟ้า S OverSize</v>
          </cell>
        </row>
        <row r="709">
          <cell r="A709" t="str">
            <v>BB0129-L</v>
          </cell>
          <cell r="B709" t="str">
            <v>B129</v>
          </cell>
          <cell r="C709" t="str">
            <v>เยื่อไผ่ แขนสั้นขายาว นู้ด จุดน้ำเงินเหลือ L</v>
          </cell>
        </row>
        <row r="710">
          <cell r="A710" t="str">
            <v>BB0129-M</v>
          </cell>
          <cell r="B710" t="str">
            <v>B129</v>
          </cell>
          <cell r="C710" t="str">
            <v>เยื่อไผ่ แขนสั้นขายาว นู้ด จุดน้ำเงินเหลือ M</v>
          </cell>
        </row>
        <row r="711">
          <cell r="A711" t="str">
            <v>BB0129-XL</v>
          </cell>
          <cell r="B711" t="str">
            <v>B129</v>
          </cell>
          <cell r="C711" t="str">
            <v>เยื่อไผ่ แขนสั้นขายาว นู้ด จุดน้ำเงินเหลือ XL</v>
          </cell>
        </row>
        <row r="712">
          <cell r="A712" t="str">
            <v>BB0130-L</v>
          </cell>
          <cell r="B712" t="str">
            <v>B130</v>
          </cell>
          <cell r="C712" t="str">
            <v>เยื่อไผ่ แขนสั้นขายาว Map L</v>
          </cell>
        </row>
        <row r="713">
          <cell r="A713" t="str">
            <v>BB0130-M</v>
          </cell>
          <cell r="B713" t="str">
            <v>B130</v>
          </cell>
          <cell r="C713" t="str">
            <v>เยื่อไผ่ แขนสั้นขายาว Map M</v>
          </cell>
        </row>
        <row r="714">
          <cell r="A714" t="str">
            <v>BB0130-S</v>
          </cell>
          <cell r="B714" t="str">
            <v>B130</v>
          </cell>
          <cell r="C714" t="str">
            <v>เยื่อไผ่ แขนสั้นขายาว Map S</v>
          </cell>
        </row>
        <row r="715">
          <cell r="A715" t="str">
            <v>BB0133-L</v>
          </cell>
          <cell r="B715" t="str">
            <v>B133</v>
          </cell>
          <cell r="C715" t="str">
            <v>เยื่อไผ่ แขนสั้นขายาว ดาว สีฟ้า L</v>
          </cell>
        </row>
        <row r="716">
          <cell r="A716" t="str">
            <v>BB0133-M</v>
          </cell>
          <cell r="B716" t="str">
            <v>B133</v>
          </cell>
          <cell r="C716" t="str">
            <v>เยื่อไผ่ แขนสั้นขายาว ดาว สีฟ้า M</v>
          </cell>
        </row>
        <row r="717">
          <cell r="A717" t="str">
            <v>BB0133-S</v>
          </cell>
          <cell r="B717" t="str">
            <v>B133</v>
          </cell>
          <cell r="C717" t="str">
            <v>เยื่อไผ่ แขนสั้นขายาว ดาว สีฟ้า S</v>
          </cell>
        </row>
        <row r="718">
          <cell r="A718" t="str">
            <v>BB0133-XL</v>
          </cell>
          <cell r="B718" t="str">
            <v>B133</v>
          </cell>
          <cell r="C718" t="str">
            <v>เยื่อไผ่ แขนสั้นขายาว ดาว สีฟ้า XL</v>
          </cell>
        </row>
        <row r="719">
          <cell r="A719" t="str">
            <v>BB0134-L</v>
          </cell>
          <cell r="B719" t="str">
            <v>B134</v>
          </cell>
          <cell r="C719" t="str">
            <v>เยื่อไผ่ แขนสั้นขายาว หมีการ์ตูน ชมพู L</v>
          </cell>
        </row>
        <row r="720">
          <cell r="A720" t="str">
            <v>BB0134-M</v>
          </cell>
          <cell r="B720" t="str">
            <v>JB134</v>
          </cell>
          <cell r="C720" t="str">
            <v>เยื่อไผ่ แขนสั้นขายาว หมีการ์ตูน ชมพู M ตัวโชว์</v>
          </cell>
        </row>
        <row r="721">
          <cell r="A721" t="str">
            <v>BB0134-XL</v>
          </cell>
          <cell r="B721" t="str">
            <v>B134</v>
          </cell>
          <cell r="C721" t="str">
            <v>เยื่อไผ่ แขนสั้นขายาว หมีการ์ตูน ชมพู XL</v>
          </cell>
        </row>
        <row r="722">
          <cell r="A722" t="str">
            <v>BB0135-L</v>
          </cell>
          <cell r="B722" t="str">
            <v>B135</v>
          </cell>
          <cell r="C722" t="str">
            <v>เยื่อไผ่แขนสั้นขายาว ลายอาร์ทพาสเทล L</v>
          </cell>
        </row>
        <row r="723">
          <cell r="A723" t="str">
            <v>BB0135-M</v>
          </cell>
          <cell r="B723" t="str">
            <v>B135</v>
          </cell>
          <cell r="C723" t="str">
            <v>เยื่อไผ่ แขนสั้นขายาว ลายอาร์ทพาสเทล M</v>
          </cell>
        </row>
        <row r="724">
          <cell r="A724" t="str">
            <v>BB0135-S</v>
          </cell>
          <cell r="B724" t="str">
            <v>B135</v>
          </cell>
          <cell r="C724" t="str">
            <v>เยื่อไผ่แขนสั้นขายาว ลายอาร์ทพาสเทล S</v>
          </cell>
        </row>
        <row r="725">
          <cell r="A725" t="str">
            <v>BB0135-XL</v>
          </cell>
          <cell r="B725" t="str">
            <v>B135</v>
          </cell>
          <cell r="C725" t="str">
            <v>เยื่อไผ่แขนสั้นขายาว ลายอาร์ทพาสเทล XL</v>
          </cell>
        </row>
        <row r="726">
          <cell r="A726" t="str">
            <v>BB0136-L</v>
          </cell>
          <cell r="B726" t="str">
            <v>B136</v>
          </cell>
          <cell r="C726" t="str">
            <v>เยื่อไผ่ แขนสั้นขายาว การ์ตูนผู้หญิงผมส้ม พื้นชมพู L OverSize</v>
          </cell>
        </row>
        <row r="727">
          <cell r="A727" t="str">
            <v>BB0136-M</v>
          </cell>
          <cell r="B727" t="str">
            <v>B136</v>
          </cell>
          <cell r="C727" t="str">
            <v>เยื่อไผ่ แขนสั้นขายาว การ์ตูนผู้หญิงผมส้ม พื้นชมพู M OverSize</v>
          </cell>
        </row>
        <row r="728">
          <cell r="A728" t="str">
            <v>BB0136-S</v>
          </cell>
          <cell r="B728" t="str">
            <v>B136</v>
          </cell>
          <cell r="C728" t="str">
            <v>เยื่อไผ่ แขนสั้นขายาว การ์ตูนผู้หญิงผมส้ม พื้นชมพู S OverSize</v>
          </cell>
        </row>
        <row r="729">
          <cell r="A729" t="str">
            <v>BB0141-L</v>
          </cell>
          <cell r="B729" t="str">
            <v>B141</v>
          </cell>
          <cell r="C729" t="str">
            <v>เยื่อไผ่ แขนสั้นขายาว คอวี ฮาวายเหลือง L</v>
          </cell>
        </row>
        <row r="730">
          <cell r="A730" t="str">
            <v>BB0141-M</v>
          </cell>
          <cell r="B730" t="str">
            <v>B141</v>
          </cell>
          <cell r="C730" t="str">
            <v>เยื่อไผ่ แขนสั้นขายาว คอวี ฮาวายเหลือง M</v>
          </cell>
        </row>
        <row r="731">
          <cell r="A731" t="str">
            <v>BB0141-S</v>
          </cell>
          <cell r="B731" t="str">
            <v>B141</v>
          </cell>
          <cell r="C731" t="str">
            <v>เยื่อไผ่ แขนสั้นขายาว คอวี ฮาวายเหลือง S</v>
          </cell>
        </row>
        <row r="732">
          <cell r="A732" t="str">
            <v>BB0143-L</v>
          </cell>
          <cell r="B732" t="str">
            <v>B143</v>
          </cell>
          <cell r="C732" t="str">
            <v>เยื่อไผ่ แขนสั้นขายาว คอวีดอกไม้ สีโอรส L</v>
          </cell>
        </row>
        <row r="733">
          <cell r="A733" t="str">
            <v>BB0143-M</v>
          </cell>
          <cell r="B733" t="str">
            <v>B143</v>
          </cell>
          <cell r="C733" t="str">
            <v>เยื่อไผ่ แขนสั้นขายาว คอวี ดอกไม้ สีโอรส M</v>
          </cell>
        </row>
        <row r="734">
          <cell r="A734" t="str">
            <v>BB0143-S</v>
          </cell>
          <cell r="B734" t="str">
            <v>B143</v>
          </cell>
          <cell r="C734" t="str">
            <v>เยื่อไผ่ แขนสั้นขายาว คอวี ดอกไม้ สีโอรส S</v>
          </cell>
        </row>
        <row r="735">
          <cell r="A735" t="str">
            <v>BB0144-L</v>
          </cell>
          <cell r="B735" t="str">
            <v>B144</v>
          </cell>
          <cell r="C735" t="str">
            <v>เยื่อไผ่ แขนสั้นขายาว คอวี แขนระบายสีเหลือง ดอกไม้ L</v>
          </cell>
        </row>
        <row r="736">
          <cell r="A736" t="str">
            <v>BB0144-M</v>
          </cell>
          <cell r="B736" t="str">
            <v>B144</v>
          </cell>
          <cell r="C736" t="str">
            <v>เยื่อไผ่ แขนสั้นขายาว คอวี แขนระบายสีเหลือง ดอกไม้ M</v>
          </cell>
        </row>
        <row r="737">
          <cell r="A737" t="str">
            <v>BB0144-S</v>
          </cell>
          <cell r="B737" t="str">
            <v>B144</v>
          </cell>
          <cell r="C737" t="str">
            <v>เยื่อไผ่ แขนสั้นขายาว คอวี แขนระบายสีเหลือง ดอกไม้ S</v>
          </cell>
        </row>
        <row r="738">
          <cell r="A738" t="str">
            <v>BB0157-L</v>
          </cell>
          <cell r="B738" t="str">
            <v>B157</v>
          </cell>
          <cell r="C738" t="str">
            <v>เยื่อไผ่ แขนสั้นขายาว ลายจุด คอบัว L</v>
          </cell>
        </row>
        <row r="739">
          <cell r="A739" t="str">
            <v>BB0157-M</v>
          </cell>
          <cell r="B739" t="str">
            <v>B157</v>
          </cell>
          <cell r="C739" t="str">
            <v>เยื่อไผ่ แขนสั้นขายาว ลายจุด คอบัว M</v>
          </cell>
        </row>
        <row r="740">
          <cell r="A740" t="str">
            <v>BB0157-S</v>
          </cell>
          <cell r="B740" t="str">
            <v>B157</v>
          </cell>
          <cell r="C740" t="str">
            <v>เยื่อไผ่ แขนสั้นขายาว ลายจุด คอบัว S</v>
          </cell>
        </row>
        <row r="741">
          <cell r="A741" t="str">
            <v>BB0157-XL</v>
          </cell>
          <cell r="B741" t="str">
            <v>B157</v>
          </cell>
          <cell r="C741" t="str">
            <v>เยื่อไผ่ แขนสั้นขายาว ลายจุด คอบัว XL</v>
          </cell>
        </row>
        <row r="742">
          <cell r="A742" t="str">
            <v>BB0158-L</v>
          </cell>
          <cell r="B742" t="str">
            <v>B158</v>
          </cell>
          <cell r="C742" t="str">
            <v>เยื่อไผ่ แขนสั้นขายาว คอบัว สีโอรส L</v>
          </cell>
        </row>
        <row r="743">
          <cell r="A743" t="str">
            <v>BB0158-M</v>
          </cell>
          <cell r="B743" t="str">
            <v>B158</v>
          </cell>
          <cell r="C743" t="str">
            <v>เยื่อไผ่ แขนสั้นขายาว คอบัว สีโอรส M</v>
          </cell>
        </row>
        <row r="744">
          <cell r="A744" t="str">
            <v>BB0158-S</v>
          </cell>
          <cell r="B744" t="str">
            <v>B158</v>
          </cell>
          <cell r="C744" t="str">
            <v>เยื่อไผ่ แขนสั้นขายาว คอบัว สีโอรส S</v>
          </cell>
        </row>
        <row r="745">
          <cell r="A745" t="str">
            <v>BB0158-XL</v>
          </cell>
          <cell r="B745" t="str">
            <v>B158</v>
          </cell>
          <cell r="C745" t="str">
            <v>เยื่อไผ่ แขนสั้นขายาว คอบัว สีโอรส XL</v>
          </cell>
        </row>
        <row r="746">
          <cell r="A746" t="str">
            <v>BB0161-L</v>
          </cell>
          <cell r="B746" t="str">
            <v>B161</v>
          </cell>
          <cell r="C746" t="str">
            <v>เยื่อไผ่ แขนสั้นขายาว คอปก ดอกไม้ สีโอรส L</v>
          </cell>
        </row>
        <row r="747">
          <cell r="A747" t="str">
            <v>BB0161-M</v>
          </cell>
          <cell r="B747" t="str">
            <v>B161</v>
          </cell>
          <cell r="C747" t="str">
            <v>เยื่อไผ่ แขนสั้นขายาว คอปก ดอกไม้ สีโอรส M</v>
          </cell>
        </row>
        <row r="748">
          <cell r="A748" t="str">
            <v>BB0161-S</v>
          </cell>
          <cell r="B748" t="str">
            <v>B161</v>
          </cell>
          <cell r="C748" t="str">
            <v>เยื่อไผ่ แขนสั้นขายาว คอปก ดอกไม้ สีโอรส S</v>
          </cell>
        </row>
        <row r="749">
          <cell r="A749" t="str">
            <v>BB0170-L</v>
          </cell>
          <cell r="B749" t="str">
            <v>B170</v>
          </cell>
          <cell r="C749" t="str">
            <v>เยื่อไผ่ แขนสั้นขายาว เสื้อญี่ปุ่น ผีเสื้อ L</v>
          </cell>
        </row>
        <row r="750">
          <cell r="A750" t="str">
            <v>BB0170-M</v>
          </cell>
          <cell r="B750" t="str">
            <v>B170</v>
          </cell>
          <cell r="C750" t="str">
            <v>เยื่อไผ่ แขนสั้นขายาว เสื้อญี่ปุ่น ผีเสื้อ M</v>
          </cell>
        </row>
        <row r="751">
          <cell r="A751" t="str">
            <v>BB0170-XL</v>
          </cell>
          <cell r="B751" t="str">
            <v>B170</v>
          </cell>
          <cell r="C751" t="str">
            <v>เยื่อไผ่ แขนสั้นขายาว เสื้อญี่ปุ่น ผีเสื้อ XL</v>
          </cell>
        </row>
        <row r="752">
          <cell r="A752" t="str">
            <v>BB0171-L</v>
          </cell>
          <cell r="B752" t="str">
            <v>B171</v>
          </cell>
          <cell r="C752" t="str">
            <v>เยื่อไผ่ แขนสั้นขายาว เสื้อญี่ปุ่น ใบไม้พื้นน้ำตาล L</v>
          </cell>
        </row>
        <row r="753">
          <cell r="A753" t="str">
            <v>BB0171-M</v>
          </cell>
          <cell r="B753" t="str">
            <v>B171</v>
          </cell>
          <cell r="C753" t="str">
            <v>เยื่อไผ่ แขนสั้นขายาว เสื้อญี่ปุ่น ใบไม้พื้นน้ำตาล M</v>
          </cell>
        </row>
        <row r="754">
          <cell r="A754" t="str">
            <v>BB0171-XL</v>
          </cell>
          <cell r="B754" t="str">
            <v>B171</v>
          </cell>
          <cell r="C754" t="str">
            <v>เยื่อไผ่ แขนสั้นขายาว เสื้อญี่ปุ่น ใบไม้พื้นน้ำตาล XL</v>
          </cell>
        </row>
        <row r="755">
          <cell r="A755" t="str">
            <v>BB0172-L</v>
          </cell>
          <cell r="B755" t="str">
            <v>B172</v>
          </cell>
          <cell r="C755" t="str">
            <v>เยื่อไผ่ แขนสั้นขายาว เสื้อญี่ปุ่น ดอกไม้พื้นดำ L</v>
          </cell>
        </row>
        <row r="756">
          <cell r="A756" t="str">
            <v>BB0172-M</v>
          </cell>
          <cell r="B756" t="str">
            <v>B172</v>
          </cell>
          <cell r="C756" t="str">
            <v>เยื่อไผ่ แขนสั้นขายาว เสื้อญี่ปุ่น ดอกไม้พื้นดำ M</v>
          </cell>
        </row>
        <row r="757">
          <cell r="A757" t="str">
            <v>BB0172-XL</v>
          </cell>
          <cell r="B757" t="str">
            <v>B172</v>
          </cell>
          <cell r="C757" t="str">
            <v>เยื่อไผ่ แขนสั้นขายาว เสื้อญี่ปุ่น ดอกไม้พื้นดำ XL</v>
          </cell>
        </row>
        <row r="758">
          <cell r="A758" t="str">
            <v>BB0173-L</v>
          </cell>
          <cell r="B758" t="str">
            <v>B173</v>
          </cell>
          <cell r="C758" t="str">
            <v>เยื่อไผ่ แขนสั้นขายาว เสื้อญี่ปุ่น ดอกไม้น้ำตาล พื้นม่วง L</v>
          </cell>
        </row>
        <row r="759">
          <cell r="A759" t="str">
            <v>BB0173-M</v>
          </cell>
          <cell r="B759" t="str">
            <v>B173</v>
          </cell>
          <cell r="C759" t="str">
            <v>เยื่อไผ่ แขนสั้นขายาว เสื้อญี่ปุ่น ดอกไม้น้ำตาล พื้นม่วง M</v>
          </cell>
        </row>
        <row r="760">
          <cell r="A760" t="str">
            <v>BB0173-XL</v>
          </cell>
          <cell r="B760" t="str">
            <v>B173</v>
          </cell>
          <cell r="C760" t="str">
            <v>เยื่อไผ่ แขนสั้นขายาว เสื้อญี่ปุ่น ดอกไม้น้ำตาล พื้นม่วง XL</v>
          </cell>
        </row>
        <row r="761">
          <cell r="A761" t="str">
            <v>BB0174-L</v>
          </cell>
          <cell r="B761" t="str">
            <v>B174</v>
          </cell>
          <cell r="C761" t="str">
            <v>เยื่อไผ่ แขนสั้นขายาว เสื้อญี่ปุ่น ดอกไม้น้ำตาล พื้นมกรม L</v>
          </cell>
        </row>
        <row r="762">
          <cell r="A762" t="str">
            <v>BB0174-M</v>
          </cell>
          <cell r="B762" t="str">
            <v>B174</v>
          </cell>
          <cell r="C762" t="str">
            <v>เยื่อไผ่ แขนสั้นขายาว เสื้อญี่ปุ่น ดอกไม้น้ำตาล พื้นกรม M</v>
          </cell>
        </row>
        <row r="763">
          <cell r="A763" t="str">
            <v>BB0174-XL</v>
          </cell>
          <cell r="B763" t="str">
            <v>B174</v>
          </cell>
          <cell r="C763" t="str">
            <v>เยื่อไผ่ แขนสั้นขายาว เสื้อญี่ปุ่น ดอกไม้น้ำตาล พื้นกรม XL</v>
          </cell>
        </row>
        <row r="764">
          <cell r="A764" t="str">
            <v>BB0175-L</v>
          </cell>
          <cell r="B764" t="str">
            <v>B175</v>
          </cell>
          <cell r="C764" t="str">
            <v>เยื่อไผ่ แขนสั้นขายาว เสื้อญี่ปุ่น ดอกชบา L</v>
          </cell>
        </row>
        <row r="765">
          <cell r="A765" t="str">
            <v>BB0175-M</v>
          </cell>
          <cell r="B765" t="str">
            <v>B175</v>
          </cell>
          <cell r="C765" t="str">
            <v>เยื่อไผ่ แขนสั้นขายาว เสื้อญี่ปุ่น ดอกชบา M</v>
          </cell>
        </row>
        <row r="766">
          <cell r="A766" t="str">
            <v>BB0175-XL</v>
          </cell>
          <cell r="B766" t="str">
            <v>B175</v>
          </cell>
          <cell r="C766" t="str">
            <v>เยื่อไผ่ แขนสั้นขายาว เสื้อญี่ปุ่น ดอกชบา XL</v>
          </cell>
        </row>
        <row r="767">
          <cell r="A767" t="str">
            <v>BB0176-L</v>
          </cell>
          <cell r="B767" t="str">
            <v>B176</v>
          </cell>
          <cell r="C767" t="str">
            <v>เยื่อไผ่ แขนสั้นขายาว เสื้อญี่ปุ่น สีเขียวน้ำทะเล L</v>
          </cell>
        </row>
        <row r="768">
          <cell r="A768" t="str">
            <v>BB0176-M</v>
          </cell>
          <cell r="B768" t="str">
            <v>B176</v>
          </cell>
          <cell r="C768" t="str">
            <v>เยื่อไผ่ แขนสั้นขายาว เสื้อญี่ปุ่น สีเขียวน้ำทะเล M</v>
          </cell>
        </row>
        <row r="769">
          <cell r="A769" t="str">
            <v>BB0176-XL</v>
          </cell>
          <cell r="B769" t="str">
            <v>B176</v>
          </cell>
          <cell r="C769" t="str">
            <v>เยื่อไผ่ แขนสั้นขายาว เสื้อญี่ปุ่น สีเขียวน้ำทะเล XL</v>
          </cell>
        </row>
        <row r="770">
          <cell r="A770" t="str">
            <v>BB0178-L</v>
          </cell>
          <cell r="B770" t="str">
            <v>B178</v>
          </cell>
          <cell r="C770" t="str">
            <v>เยื่อไผ่ แขนสั้นขายาว จุดชมพู พื้นครีม L</v>
          </cell>
        </row>
        <row r="771">
          <cell r="A771" t="str">
            <v>BB0178-M</v>
          </cell>
          <cell r="B771" t="str">
            <v>B178</v>
          </cell>
          <cell r="C771" t="str">
            <v>เยื่อไผ่ แขนสั้นขายาว จุดชมพู พื้นครีม M</v>
          </cell>
        </row>
        <row r="772">
          <cell r="A772" t="str">
            <v>BB0178-S</v>
          </cell>
          <cell r="B772" t="str">
            <v>B178</v>
          </cell>
          <cell r="C772" t="str">
            <v>เยื่อไผ่ แขนสั้นขายาว จุดชมพู พื้นครีม S</v>
          </cell>
        </row>
        <row r="773">
          <cell r="A773" t="str">
            <v>BB0178-XL</v>
          </cell>
          <cell r="B773" t="str">
            <v>B178</v>
          </cell>
          <cell r="C773" t="str">
            <v>เยื่อไผ่ แขนสั้นขายาว จุดชมพู พื้นครีม XL</v>
          </cell>
        </row>
        <row r="774">
          <cell r="A774" t="str">
            <v>BB0179-L</v>
          </cell>
          <cell r="B774" t="str">
            <v>JB179</v>
          </cell>
          <cell r="C774" t="str">
            <v>เยื่อไผ่ แขนสั้นขายาว จุดครีม พื้นโอรส L ตัวโชว์</v>
          </cell>
        </row>
        <row r="775">
          <cell r="A775" t="str">
            <v>BB0179-M</v>
          </cell>
          <cell r="B775" t="str">
            <v>JB179</v>
          </cell>
          <cell r="C775" t="str">
            <v>เยื่อไผ่ แขนสั้นขายาว จุดครีม พื้นโอรส M ตัวโชว์</v>
          </cell>
        </row>
        <row r="776">
          <cell r="A776" t="str">
            <v>BB0179-S</v>
          </cell>
          <cell r="B776" t="str">
            <v>B179</v>
          </cell>
          <cell r="C776" t="str">
            <v>เยื่อไผ่ แขนสั้นขายาว จุดครีม พื้นโอรส S</v>
          </cell>
        </row>
        <row r="777">
          <cell r="A777" t="str">
            <v>BB0179-XL</v>
          </cell>
          <cell r="B777" t="str">
            <v>B179</v>
          </cell>
          <cell r="C777" t="str">
            <v>เยื่อไผ่ แขนสั้นขายาว จุดครีม พื้นโอรส XL</v>
          </cell>
        </row>
        <row r="778">
          <cell r="A778" t="str">
            <v>BB0180-L</v>
          </cell>
          <cell r="B778" t="str">
            <v>B180</v>
          </cell>
          <cell r="C778" t="str">
            <v>เยื้อไผ่ แขนสั้นขายาว เหลือง ลายวิว L</v>
          </cell>
        </row>
        <row r="779">
          <cell r="A779" t="str">
            <v>BB0180-M</v>
          </cell>
          <cell r="B779" t="str">
            <v>B180</v>
          </cell>
          <cell r="C779" t="str">
            <v>เยื่อไผ่ แขนสั้นขายาว เหลือง ลายวิว M</v>
          </cell>
        </row>
        <row r="780">
          <cell r="A780" t="str">
            <v>BB0185-L</v>
          </cell>
          <cell r="B780" t="str">
            <v>B185</v>
          </cell>
          <cell r="C780" t="str">
            <v>เยื้อไผ่ แขนสั้นขายาว ส้มอิฐ ลายวิว L</v>
          </cell>
        </row>
        <row r="781">
          <cell r="A781" t="str">
            <v>BB0185-M</v>
          </cell>
          <cell r="B781" t="str">
            <v>B185</v>
          </cell>
          <cell r="C781" t="str">
            <v>เยื้อไผ่ แขนสั้นขายาว ส้มอิฐ ลายวิว M</v>
          </cell>
        </row>
        <row r="782">
          <cell r="A782" t="str">
            <v>BB0189-L</v>
          </cell>
          <cell r="B782" t="str">
            <v>B189</v>
          </cell>
          <cell r="C782" t="str">
            <v>เยื่อไผ่ แขนสั้นขายาว พื้นเขียว ขอบขาว L</v>
          </cell>
        </row>
        <row r="783">
          <cell r="A783" t="str">
            <v>BB0189-M</v>
          </cell>
          <cell r="B783" t="str">
            <v>B189</v>
          </cell>
          <cell r="C783" t="str">
            <v>เยื่อไผ่ แขนสั้นขายาว พื้นเขียว ขอบขาว M</v>
          </cell>
        </row>
        <row r="784">
          <cell r="A784" t="str">
            <v>BB0189-S</v>
          </cell>
          <cell r="B784" t="str">
            <v>B189</v>
          </cell>
          <cell r="C784" t="str">
            <v>เยื่อไผ่ แขนสั้นขายาว พื้นเขียว ขอบขาว S</v>
          </cell>
        </row>
        <row r="785">
          <cell r="A785" t="str">
            <v>BB0189-XL</v>
          </cell>
          <cell r="B785" t="str">
            <v>B189</v>
          </cell>
          <cell r="C785" t="str">
            <v>เยื่อไผ่ แขนสั้นขายาว พื้นเขียว ขอบขาว XL</v>
          </cell>
        </row>
        <row r="786">
          <cell r="A786" t="str">
            <v>BB0190-L</v>
          </cell>
          <cell r="B786" t="str">
            <v>B190</v>
          </cell>
          <cell r="C786" t="str">
            <v>เยื่อไผ่ แขนสั้นขายาว กราฟฟริก L</v>
          </cell>
        </row>
        <row r="787">
          <cell r="A787" t="str">
            <v>BB0190-M</v>
          </cell>
          <cell r="B787" t="str">
            <v>B190</v>
          </cell>
          <cell r="C787" t="str">
            <v>เยื่อไผ่ แขนสั้นขายาว กราฟฟริก M</v>
          </cell>
        </row>
        <row r="788">
          <cell r="A788" t="str">
            <v>BB0190-S</v>
          </cell>
          <cell r="B788" t="str">
            <v>B190</v>
          </cell>
          <cell r="C788" t="str">
            <v>เยื่อไผ่ แขนสั้นขายาว กราฟฟริก S</v>
          </cell>
        </row>
        <row r="789">
          <cell r="A789" t="str">
            <v>BB0190-XL</v>
          </cell>
          <cell r="B789" t="str">
            <v>B190</v>
          </cell>
          <cell r="C789" t="str">
            <v>เยื่อไผ่ แขนสั้นขายาว กราฟฟริก XL</v>
          </cell>
        </row>
        <row r="790">
          <cell r="A790" t="str">
            <v>BB0191-L</v>
          </cell>
          <cell r="B790" t="str">
            <v>B191</v>
          </cell>
          <cell r="C790" t="str">
            <v>เยื่อไผ่ แขนสั้นขายาว โบตั๋น โอรสพื้นเขียว L</v>
          </cell>
        </row>
        <row r="791">
          <cell r="A791" t="str">
            <v>BB0191-M</v>
          </cell>
          <cell r="B791" t="str">
            <v>B191</v>
          </cell>
          <cell r="C791" t="str">
            <v>เยื่อไผ่ แขนสั้นขายาว โบตั๋น โอรสพื้นเขียว M</v>
          </cell>
        </row>
        <row r="792">
          <cell r="A792" t="str">
            <v>BB0191-S</v>
          </cell>
          <cell r="B792" t="str">
            <v>JB191</v>
          </cell>
          <cell r="C792" t="str">
            <v>เยื่อไผ่ แขนสั้นขายาว โบตั๋น โอรสพื้นเขียว S ตัวโชว์</v>
          </cell>
        </row>
        <row r="793">
          <cell r="A793" t="str">
            <v>BB0191-XL</v>
          </cell>
          <cell r="B793" t="str">
            <v>B191</v>
          </cell>
          <cell r="C793" t="str">
            <v>เยื่อไผ่แขนสั้นขายาว โบตั๋น โอรสพื้นเขียว XL</v>
          </cell>
        </row>
        <row r="794">
          <cell r="A794" t="str">
            <v>BB0192-L</v>
          </cell>
          <cell r="B794" t="str">
            <v>B192</v>
          </cell>
          <cell r="C794" t="str">
            <v>เยื่อไผ่ แขนสั้นขายาว โบตั๋นส้ม พื้นขาว L</v>
          </cell>
        </row>
        <row r="795">
          <cell r="A795" t="str">
            <v>BB0192-M</v>
          </cell>
          <cell r="B795" t="str">
            <v>B192</v>
          </cell>
          <cell r="C795" t="str">
            <v>เยื่อไผ่ แขนสั้นขายาว โบตั๋นส้ม พื้นขาว M</v>
          </cell>
        </row>
        <row r="796">
          <cell r="A796" t="str">
            <v>BB0193-L</v>
          </cell>
          <cell r="B796" t="str">
            <v>B193</v>
          </cell>
          <cell r="C796" t="str">
            <v>เยื่อไผ่ แขนสั้นขายาว ชมพู ขอบขาว L</v>
          </cell>
        </row>
        <row r="797">
          <cell r="A797" t="str">
            <v>BB0193-M</v>
          </cell>
          <cell r="B797" t="str">
            <v>B193</v>
          </cell>
          <cell r="C797" t="str">
            <v>เยื่อไผ่ แขนสั้นขายาว ชมพู ขอบขาว M</v>
          </cell>
        </row>
        <row r="798">
          <cell r="A798" t="str">
            <v>BB0193-S</v>
          </cell>
          <cell r="B798" t="str">
            <v>B193</v>
          </cell>
          <cell r="C798" t="str">
            <v>เยื่อไผ่ แขนสั้นขายาว ชมพู ขอบขาว S</v>
          </cell>
        </row>
        <row r="799">
          <cell r="A799" t="str">
            <v>BB0193-XL</v>
          </cell>
          <cell r="B799" t="str">
            <v>B193</v>
          </cell>
          <cell r="C799" t="str">
            <v>เยื่อไผ่ แขนสั้นขายาว ชมพู ขอบขาว XL</v>
          </cell>
        </row>
        <row r="800">
          <cell r="A800" t="str">
            <v>BB0219-L</v>
          </cell>
          <cell r="B800" t="str">
            <v>B219</v>
          </cell>
          <cell r="C800" t="str">
            <v>เยื่อไผ่ แขนสั้นขายาว ดอกไม้เหลือง พื้นขาว L</v>
          </cell>
        </row>
        <row r="801">
          <cell r="A801" t="str">
            <v>BB0219-M</v>
          </cell>
          <cell r="B801" t="str">
            <v>B219</v>
          </cell>
          <cell r="C801" t="str">
            <v>เยื่อไผ่ แขนสั้นขายาว ดอกไม้เหลือง พื้นขาว M</v>
          </cell>
        </row>
        <row r="802">
          <cell r="A802" t="str">
            <v>BB0219-S</v>
          </cell>
          <cell r="B802" t="str">
            <v>B219</v>
          </cell>
          <cell r="C802" t="str">
            <v>เยื่อไผ่ แขนสั้นขายาว ดอกไม้เหลือง พื้นขาว S</v>
          </cell>
        </row>
        <row r="803">
          <cell r="A803" t="str">
            <v>BB0220-L</v>
          </cell>
          <cell r="B803" t="str">
            <v>B220</v>
          </cell>
          <cell r="C803" t="str">
            <v>เยื่อไผ่ แขนสั้นขายาว TropicaL พีช คอวี L</v>
          </cell>
        </row>
        <row r="804">
          <cell r="A804" t="str">
            <v>BB0220-M</v>
          </cell>
          <cell r="B804" t="str">
            <v>B220</v>
          </cell>
          <cell r="C804" t="str">
            <v>เยื่อไผ่ แขนสั้นขายาว TropicaL พีช คอวี M</v>
          </cell>
        </row>
        <row r="805">
          <cell r="A805" t="str">
            <v>BB0221-L</v>
          </cell>
          <cell r="B805" t="str">
            <v>B221</v>
          </cell>
          <cell r="C805" t="str">
            <v>เยื่อไผ่ แขนสั้นขายาว ลายทางพาสเทล คอวี L</v>
          </cell>
        </row>
        <row r="806">
          <cell r="A806" t="str">
            <v>BB0221-M</v>
          </cell>
          <cell r="B806" t="str">
            <v>B221</v>
          </cell>
          <cell r="C806" t="str">
            <v>เยื่อไผ่ แขนสั้นขายาว ลายทางพาสเทล คอวี M</v>
          </cell>
        </row>
        <row r="807">
          <cell r="A807" t="str">
            <v>BB0222-L</v>
          </cell>
          <cell r="B807" t="str">
            <v>B222</v>
          </cell>
          <cell r="C807" t="str">
            <v>เยื่อไผ่ แขนสั้นขายาว จุดเล็ก พื้นฟ้า L</v>
          </cell>
        </row>
        <row r="808">
          <cell r="A808" t="str">
            <v>BB0222-M</v>
          </cell>
          <cell r="B808" t="str">
            <v>B222</v>
          </cell>
          <cell r="C808" t="str">
            <v>เยื่อไผ่ แขนสั้นขายาว จุดเล็ก พื้นฟ้า M</v>
          </cell>
        </row>
        <row r="809">
          <cell r="A809" t="str">
            <v>BB0222-S</v>
          </cell>
          <cell r="B809" t="str">
            <v>B222</v>
          </cell>
          <cell r="C809" t="str">
            <v>เยื่อไผ่ แขนสั้นขายาว จุดเล็ก พื้นฟ้า S</v>
          </cell>
        </row>
        <row r="810">
          <cell r="A810" t="str">
            <v>BB0222-XL</v>
          </cell>
          <cell r="B810" t="str">
            <v>B222</v>
          </cell>
          <cell r="C810" t="str">
            <v>เยื่อไผ่ แขนสั้นขายาว จุดเล็ก พื้นฟ้า XL</v>
          </cell>
        </row>
        <row r="811">
          <cell r="A811" t="str">
            <v>BB0224-M</v>
          </cell>
          <cell r="B811" t="str">
            <v>B224</v>
          </cell>
          <cell r="C811" t="str">
            <v>เยื่อไผ่ แขนสั้นขายาว อูฐ ชมพู M</v>
          </cell>
        </row>
        <row r="812">
          <cell r="A812" t="str">
            <v>BB0229-L</v>
          </cell>
          <cell r="B812" t="str">
            <v>B229</v>
          </cell>
          <cell r="C812" t="str">
            <v>เยื่อไผ่ แขนสั้นขายาว ดอกเหลือง พื้นฟ้า L</v>
          </cell>
        </row>
        <row r="813">
          <cell r="A813" t="str">
            <v>BB0229-XL</v>
          </cell>
          <cell r="B813" t="str">
            <v>B229</v>
          </cell>
          <cell r="C813" t="str">
            <v>เยื่อไผ่ แขนสั้นขายาว ดอกเหลือง พื้นฟ้า XL</v>
          </cell>
        </row>
        <row r="814">
          <cell r="A814" t="str">
            <v>BB0231-L</v>
          </cell>
          <cell r="B814" t="str">
            <v>B231</v>
          </cell>
          <cell r="C814" t="str">
            <v>เยื่อไผ่ แขนสั้นขายาว ดอกไม้เหลือง พรีเมี่ยม L</v>
          </cell>
        </row>
        <row r="815">
          <cell r="A815" t="str">
            <v>BB0231-M</v>
          </cell>
          <cell r="B815" t="str">
            <v>B231</v>
          </cell>
          <cell r="C815" t="str">
            <v>เยื่อไผ่ แขนสั้นขายาว ดอกไม้เหลือง พรีเมี่ยม M</v>
          </cell>
        </row>
        <row r="816">
          <cell r="A816" t="str">
            <v>BB0231-S</v>
          </cell>
          <cell r="B816" t="str">
            <v>B231</v>
          </cell>
          <cell r="C816" t="str">
            <v>เยื่อไผ่ แขนสั้นขายาว ดอกไม้เหลือง พรีเมี่ยม S</v>
          </cell>
        </row>
        <row r="817">
          <cell r="A817" t="str">
            <v>BB0232-L</v>
          </cell>
          <cell r="B817" t="str">
            <v>B232</v>
          </cell>
          <cell r="C817" t="str">
            <v>เยื่อไผ่ แขนสั้นขายาว ดอกไม้แดงเล็ก พื้นขาว L</v>
          </cell>
        </row>
        <row r="818">
          <cell r="A818" t="str">
            <v>BB0232-M</v>
          </cell>
          <cell r="B818" t="str">
            <v>B232</v>
          </cell>
          <cell r="C818" t="str">
            <v>เยื่อไผ่ แขนสั้นขายาว ดอกไม้แดงเล็ก พื้นขาว M</v>
          </cell>
        </row>
        <row r="819">
          <cell r="A819" t="str">
            <v>BB0232-XL</v>
          </cell>
          <cell r="B819" t="str">
            <v>B232</v>
          </cell>
          <cell r="C819" t="str">
            <v>เยื่อไผ่ แขนสั้นขายาว ดอกไม้แดงเล็ก พื้นขาว XL</v>
          </cell>
        </row>
        <row r="820">
          <cell r="A820" t="str">
            <v>BB0233-F</v>
          </cell>
          <cell r="B820" t="str">
            <v>B233</v>
          </cell>
          <cell r="C820" t="str">
            <v>เยื่อไผ่ แขนสั้นขายาว ดอกชบาชมพู พื้นชมพู F</v>
          </cell>
        </row>
        <row r="821">
          <cell r="A821" t="str">
            <v>BB0233-L</v>
          </cell>
          <cell r="B821" t="str">
            <v>B233</v>
          </cell>
          <cell r="C821" t="str">
            <v>เยื่อไผ่ แขนสั้นขายาว ดอกชบาชมพู พื้นชมพู L</v>
          </cell>
        </row>
        <row r="822">
          <cell r="A822" t="str">
            <v>BB0233-M</v>
          </cell>
          <cell r="B822" t="str">
            <v>B233</v>
          </cell>
          <cell r="C822" t="str">
            <v>เยื่อไผ่ แขนสั้นขายาว ดอกชบาชมพู พื้นชมพู M</v>
          </cell>
        </row>
        <row r="823">
          <cell r="A823" t="str">
            <v>BB0235-L</v>
          </cell>
          <cell r="B823" t="str">
            <v>B235</v>
          </cell>
          <cell r="C823" t="str">
            <v>เยื่อไผ่ แขนสั้นขายาว พื้นดำ ลายทางแดงเลือดหมู ผู้หญิง L</v>
          </cell>
        </row>
        <row r="824">
          <cell r="A824" t="str">
            <v>BB0235-M</v>
          </cell>
          <cell r="B824" t="str">
            <v>B235</v>
          </cell>
          <cell r="C824" t="str">
            <v>เยื่อไผ่ แขนสั้นขายาว พื้นดำ ลายทางแดงเลือดหมู ผู้หญิง M</v>
          </cell>
        </row>
        <row r="825">
          <cell r="A825" t="str">
            <v>BB0235-S</v>
          </cell>
          <cell r="B825" t="str">
            <v>JB235</v>
          </cell>
          <cell r="C825" t="str">
            <v>เยื่อไผ่ แขนสั้นขายาว พื้นดำ ลายทางแดงเลือดหมู ผู้หญิง S ตัวโชว์</v>
          </cell>
        </row>
        <row r="826">
          <cell r="A826" t="str">
            <v>BB0235-XL</v>
          </cell>
          <cell r="B826" t="str">
            <v>B235</v>
          </cell>
          <cell r="C826" t="str">
            <v>เยื่อไผ่ แขนสั้นขายาว พื้นดำ ลายทางแดงเลือดหมู ผู้หญิง XL</v>
          </cell>
        </row>
        <row r="827">
          <cell r="A827" t="str">
            <v>BB0236-L</v>
          </cell>
          <cell r="B827" t="str">
            <v>B236</v>
          </cell>
          <cell r="C827" t="str">
            <v>เยื่อไผ่ แขนสั้นขายาว ดอกไม้ดำ พื้นเขียว L</v>
          </cell>
        </row>
        <row r="828">
          <cell r="A828" t="str">
            <v>BB0236-M</v>
          </cell>
          <cell r="B828" t="str">
            <v>B236</v>
          </cell>
          <cell r="C828" t="str">
            <v>เยื่อไผ่ แขนสั้นขายาว ดอกไม้ดำ พื้นเขียว M</v>
          </cell>
        </row>
        <row r="829">
          <cell r="A829" t="str">
            <v>BB0236-S</v>
          </cell>
          <cell r="B829" t="str">
            <v>B236</v>
          </cell>
          <cell r="C829" t="str">
            <v>เยื่อไผ่ แขนสั้นขายาว ดอกไม้ดำ พื้นเขียว S</v>
          </cell>
        </row>
        <row r="830">
          <cell r="A830" t="str">
            <v>BB0236-XL</v>
          </cell>
          <cell r="B830" t="str">
            <v>B236</v>
          </cell>
          <cell r="C830" t="str">
            <v>เยื่อไผ่ แขนสั้นขายาว ดอกไม้ดำ พื้นเขียว XL</v>
          </cell>
        </row>
        <row r="831">
          <cell r="A831" t="str">
            <v>BB0237-L</v>
          </cell>
          <cell r="B831" t="str">
            <v>B237</v>
          </cell>
          <cell r="C831" t="str">
            <v>เยื่อไผ่ แขนสั้นขายาว ลายทางน้ำตาล ขอบส้ม L</v>
          </cell>
        </row>
        <row r="832">
          <cell r="A832" t="str">
            <v>BB0237-M</v>
          </cell>
          <cell r="B832" t="str">
            <v>B237</v>
          </cell>
          <cell r="C832" t="str">
            <v>เยื่อไผ่ แขนสั้นขายาว ลายทางน้ำตาล ขอบส้ม M</v>
          </cell>
        </row>
        <row r="833">
          <cell r="A833" t="str">
            <v>BB0237-S</v>
          </cell>
          <cell r="B833" t="str">
            <v>B237</v>
          </cell>
          <cell r="C833" t="str">
            <v>เยื่อไผ่ แขนสั้นขายาว ลายทางน้ำตาล ขอบส้ม S</v>
          </cell>
        </row>
        <row r="834">
          <cell r="A834" t="str">
            <v>BB0240-L</v>
          </cell>
          <cell r="B834" t="str">
            <v>B240</v>
          </cell>
          <cell r="C834" t="str">
            <v>เยื่อไผ่ แขนสั้นขายาว ดอกไม้เล็กส้ม พื้นขาว L</v>
          </cell>
        </row>
        <row r="835">
          <cell r="A835" t="str">
            <v>BB0240-M</v>
          </cell>
          <cell r="B835" t="str">
            <v>B240</v>
          </cell>
          <cell r="C835" t="str">
            <v>เยื่อไผ่ แขนสั้นขายาว ดอกไม้เล็กส้ม พื้นขาว M</v>
          </cell>
        </row>
        <row r="836">
          <cell r="A836" t="str">
            <v>BB0240-S</v>
          </cell>
          <cell r="B836" t="str">
            <v>B240</v>
          </cell>
          <cell r="C836" t="str">
            <v>เยื่อไผ่ แขนสั้นขายาว ดอกไม้เล็กส้ม พื้นขาว S</v>
          </cell>
        </row>
        <row r="837">
          <cell r="A837" t="str">
            <v>BB0240-XL</v>
          </cell>
          <cell r="B837" t="str">
            <v>B240</v>
          </cell>
          <cell r="C837" t="str">
            <v>เยื่อไผ่ แขนสั้นขายาว ดอกไม้เล็กส้ม พื้นขาว XL</v>
          </cell>
        </row>
        <row r="838">
          <cell r="A838" t="str">
            <v>BB0241-XL</v>
          </cell>
          <cell r="B838" t="str">
            <v>B241</v>
          </cell>
          <cell r="C838" t="str">
            <v>เยื่อไผ่ แขนสั้นขายาว ใบไม้น้ำตาล XL</v>
          </cell>
        </row>
        <row r="839">
          <cell r="A839" t="str">
            <v>BB0245-L</v>
          </cell>
          <cell r="B839" t="str">
            <v>B245</v>
          </cell>
          <cell r="C839" t="str">
            <v>เยื่อไผ่ แขนสั้นขายาว กุหลาบชมพู พื้นฟ้า L</v>
          </cell>
        </row>
        <row r="840">
          <cell r="A840" t="str">
            <v>BB0245-XL</v>
          </cell>
          <cell r="B840" t="str">
            <v>B245</v>
          </cell>
          <cell r="C840" t="str">
            <v>เยื่อไผ่ แขนสั้นขายาว กุหลาบชมพู พื้นฟ้า XL</v>
          </cell>
        </row>
        <row r="841">
          <cell r="A841" t="str">
            <v>BB0248-L</v>
          </cell>
          <cell r="B841" t="str">
            <v>B248</v>
          </cell>
          <cell r="C841" t="str">
            <v>เยื่อไผ่ แขนสั้นขายาว ดอกไม้เล็ก พื้นชมพู คอกลม L</v>
          </cell>
        </row>
        <row r="842">
          <cell r="A842" t="str">
            <v>BB0248-M</v>
          </cell>
          <cell r="B842" t="str">
            <v>B248</v>
          </cell>
          <cell r="C842" t="str">
            <v>เยื่อไผ่ แขนสั้นขายาว ดอกไม้เล็ก พื้นชมพู คอกลม M</v>
          </cell>
        </row>
        <row r="843">
          <cell r="A843" t="str">
            <v>BB0248-S</v>
          </cell>
          <cell r="B843" t="str">
            <v>BB248</v>
          </cell>
          <cell r="C843" t="str">
            <v>เยื่อไผ่ แขนสั้นขายาว ดอกไม้เล็ก พื้นชมพู คอกลม S</v>
          </cell>
        </row>
        <row r="844">
          <cell r="A844" t="str">
            <v>BB0252-L</v>
          </cell>
          <cell r="B844" t="str">
            <v>B252</v>
          </cell>
          <cell r="C844" t="str">
            <v>เยื่อไผ่ แขนสั้นขายาว ดอกไม้แดงเล็ก L</v>
          </cell>
        </row>
        <row r="845">
          <cell r="A845" t="str">
            <v>BB0280-L</v>
          </cell>
          <cell r="B845" t="str">
            <v>B280</v>
          </cell>
          <cell r="C845" t="str">
            <v>เยื่อไผ่ แขนสั้นขายาว ดอกไม้เหลือง พื้นขาว คอกลม L</v>
          </cell>
        </row>
        <row r="846">
          <cell r="A846" t="str">
            <v>BB0280-M</v>
          </cell>
          <cell r="B846" t="str">
            <v>B280</v>
          </cell>
          <cell r="C846" t="str">
            <v>เยื่อไผ่ แขนสั้นขายาว ดอกไม้เหลือง พื้นขาว คอกลม M</v>
          </cell>
        </row>
        <row r="847">
          <cell r="A847" t="str">
            <v>BB0280-S</v>
          </cell>
          <cell r="B847" t="str">
            <v>B280</v>
          </cell>
          <cell r="C847" t="str">
            <v>เยื่อไผ่ แขนสั้นขายาว ดอกไม้เหลือง พื้นขาว คอกลม S</v>
          </cell>
        </row>
        <row r="848">
          <cell r="A848" t="str">
            <v>BB0284-L</v>
          </cell>
          <cell r="B848" t="str">
            <v>B284</v>
          </cell>
          <cell r="C848" t="str">
            <v>เยื่อไผ่ แขนสั้นขายาว พิทบูล พื้นดำ L</v>
          </cell>
        </row>
        <row r="849">
          <cell r="A849" t="str">
            <v>BB0284-M</v>
          </cell>
          <cell r="B849" t="str">
            <v>B284</v>
          </cell>
          <cell r="C849" t="str">
            <v>เยื่อไผ่ แขนสั้นขายาว พิทบูล พื้นดำ M</v>
          </cell>
        </row>
        <row r="850">
          <cell r="A850" t="str">
            <v>BB0284-S</v>
          </cell>
          <cell r="B850" t="str">
            <v>B284</v>
          </cell>
          <cell r="C850" t="str">
            <v>เยื่อไผ่ แขนสั้นขายาว พิทบูล พื้นดำ S</v>
          </cell>
        </row>
        <row r="851">
          <cell r="A851" t="str">
            <v>BB0284-XL</v>
          </cell>
          <cell r="B851" t="str">
            <v>B284</v>
          </cell>
          <cell r="C851" t="str">
            <v>เยื่อไผ่ แขนสั้นขายาว พิทบูล พื้นดำ XL</v>
          </cell>
        </row>
        <row r="852">
          <cell r="A852" t="str">
            <v>BB0287-2XL</v>
          </cell>
          <cell r="B852" t="str">
            <v>B287</v>
          </cell>
          <cell r="C852" t="str">
            <v>เยื่อไผ่ แขนสั้นขายาว Splash Gray 2XL</v>
          </cell>
        </row>
        <row r="853">
          <cell r="A853" t="str">
            <v>BB0287-L</v>
          </cell>
          <cell r="B853" t="str">
            <v>B287</v>
          </cell>
          <cell r="C853" t="str">
            <v>เยื่อไผ่ แขนสั้นขายาว Splash Gray L</v>
          </cell>
        </row>
        <row r="854">
          <cell r="A854" t="str">
            <v>BB0287-M</v>
          </cell>
          <cell r="B854" t="str">
            <v>B287</v>
          </cell>
          <cell r="C854" t="str">
            <v>เยื่อไผ่ แขนสั้นขายาว Splash Gray M</v>
          </cell>
        </row>
        <row r="855">
          <cell r="A855" t="str">
            <v>BB0287-XL</v>
          </cell>
          <cell r="B855" t="str">
            <v>B287</v>
          </cell>
          <cell r="C855" t="str">
            <v>เยื่อไผ่ แขนสั้นขายาว Splash Gray XL</v>
          </cell>
        </row>
        <row r="856">
          <cell r="A856" t="str">
            <v>BB0288-2XL</v>
          </cell>
          <cell r="B856" t="str">
            <v>B288</v>
          </cell>
          <cell r="C856" t="str">
            <v>เยื่อไผ่ แขนสั้นขายาว Ocean colors 2XL</v>
          </cell>
        </row>
        <row r="857">
          <cell r="A857" t="str">
            <v>BB0288-L</v>
          </cell>
          <cell r="B857" t="str">
            <v>B288</v>
          </cell>
          <cell r="C857" t="str">
            <v>เยื่อไผ่ แขนสั้นขายาว Ocean colors L</v>
          </cell>
        </row>
        <row r="858">
          <cell r="A858" t="str">
            <v>BB0288-M</v>
          </cell>
          <cell r="B858" t="str">
            <v>B288</v>
          </cell>
          <cell r="C858" t="str">
            <v>เยื่อไผ่ แขนสั้นขายาว Ocean colors M</v>
          </cell>
        </row>
        <row r="859">
          <cell r="A859" t="str">
            <v>BB0288-XL</v>
          </cell>
          <cell r="B859" t="str">
            <v>B288</v>
          </cell>
          <cell r="C859" t="str">
            <v>เยื่อไผ่ แขนสั้นขายาว Ocean colors XL</v>
          </cell>
        </row>
        <row r="860">
          <cell r="A860" t="str">
            <v>BB0290-2XL</v>
          </cell>
          <cell r="B860" t="str">
            <v>B290</v>
          </cell>
          <cell r="C860" t="str">
            <v>เยื่อไผ่ แขนสั้นขายาว Snowwhite เขียว 2XL</v>
          </cell>
        </row>
        <row r="861">
          <cell r="A861" t="str">
            <v>BB0290-L</v>
          </cell>
          <cell r="B861" t="str">
            <v>B290</v>
          </cell>
          <cell r="C861" t="str">
            <v>เยื่อไผ่ แขนสั้นขายาว Snowwhite เขียว L</v>
          </cell>
        </row>
        <row r="862">
          <cell r="A862" t="str">
            <v>BB0290-XL</v>
          </cell>
          <cell r="B862" t="str">
            <v>B290</v>
          </cell>
          <cell r="C862" t="str">
            <v>เยื่อไผ่ แขนสั้นขายาว Snowwhite เขียว XL</v>
          </cell>
        </row>
        <row r="863">
          <cell r="A863" t="str">
            <v>BB0291-2XL</v>
          </cell>
          <cell r="B863" t="str">
            <v>B291</v>
          </cell>
          <cell r="C863" t="str">
            <v>เยื่อไผ่ แขนสั้นขายาว มัดย้อม 2XL</v>
          </cell>
        </row>
        <row r="864">
          <cell r="A864" t="str">
            <v>BB0291-L</v>
          </cell>
          <cell r="B864" t="str">
            <v>B291</v>
          </cell>
          <cell r="C864" t="str">
            <v>เยื่อไผ่ แขนสั้นขายาว มัดย้อม L</v>
          </cell>
        </row>
        <row r="865">
          <cell r="A865" t="str">
            <v>BB0291-M</v>
          </cell>
          <cell r="B865" t="str">
            <v>B291</v>
          </cell>
          <cell r="C865" t="str">
            <v>เยื่อไผ่ แขนสั้นขายาว มัดย้อม M</v>
          </cell>
        </row>
        <row r="866">
          <cell r="A866" t="str">
            <v>BB0291-XL</v>
          </cell>
          <cell r="B866" t="str">
            <v>B291</v>
          </cell>
          <cell r="C866" t="str">
            <v>เยื่อไผ่ แขนสั้นขายาว มัดย้อม XL</v>
          </cell>
        </row>
        <row r="867">
          <cell r="A867" t="str">
            <v>BB0292-L</v>
          </cell>
          <cell r="B867" t="str">
            <v>B292</v>
          </cell>
          <cell r="C867" t="str">
            <v>เยื่อไผ่ แขนสั้นขายาว Black flower  L</v>
          </cell>
        </row>
        <row r="868">
          <cell r="A868" t="str">
            <v>BB0292-M</v>
          </cell>
          <cell r="B868" t="str">
            <v>B292</v>
          </cell>
          <cell r="C868" t="str">
            <v>เยื่อไผ่ แขนสั้นขายาว Black flower  M</v>
          </cell>
        </row>
        <row r="869">
          <cell r="A869" t="str">
            <v>BB0292-XL</v>
          </cell>
          <cell r="B869" t="str">
            <v>B292</v>
          </cell>
          <cell r="C869" t="str">
            <v>เยื่อไผ่ แขนสั้นขายาว Black flower  XL</v>
          </cell>
        </row>
        <row r="870">
          <cell r="A870" t="str">
            <v>BB0293-L</v>
          </cell>
          <cell r="B870" t="str">
            <v>B293</v>
          </cell>
          <cell r="C870" t="str">
            <v>เยื่อไผ่ แขนสั้นขายาว Pink flower green L</v>
          </cell>
        </row>
        <row r="871">
          <cell r="A871" t="str">
            <v>BB0293-M</v>
          </cell>
          <cell r="B871" t="str">
            <v>B293</v>
          </cell>
          <cell r="C871" t="str">
            <v>เยื่อไผ่ แขนสั้นขายาว Pink flower green M</v>
          </cell>
        </row>
        <row r="872">
          <cell r="A872" t="str">
            <v>BB0293-S</v>
          </cell>
          <cell r="B872" t="str">
            <v>JB293</v>
          </cell>
          <cell r="C872" t="str">
            <v>เยื่อไผ่ แขนสั้นขายาว Pink flower green S ตัวโชว์</v>
          </cell>
        </row>
        <row r="873">
          <cell r="A873" t="str">
            <v>BB0293-XL</v>
          </cell>
          <cell r="B873" t="str">
            <v>B293</v>
          </cell>
          <cell r="C873" t="str">
            <v>เยื่อไผ่ แขนสั้นขายาว Pink flower green XL</v>
          </cell>
        </row>
        <row r="874">
          <cell r="A874" t="str">
            <v>BB0300-2XL</v>
          </cell>
          <cell r="B874" t="str">
            <v>B300</v>
          </cell>
          <cell r="C874" t="str">
            <v>เยื่อไผ่ แขนสั้นขายาว ช้างน้อยพ่นน้ำ พื้นฟ้า 2XL</v>
          </cell>
        </row>
        <row r="875">
          <cell r="A875" t="str">
            <v>BB0300-L</v>
          </cell>
          <cell r="B875" t="str">
            <v>B300</v>
          </cell>
          <cell r="C875" t="str">
            <v>เยื่อไผ่ แขนสั้นขายาว ช้างน้อยพ่นน้ำ พื้นฟ้า L</v>
          </cell>
        </row>
        <row r="876">
          <cell r="A876" t="str">
            <v>BB0300-M</v>
          </cell>
          <cell r="B876" t="str">
            <v>B300</v>
          </cell>
          <cell r="C876" t="str">
            <v>เยื่อไผ่ แขนสั้นขายาว ช้างน้อยพ่นน้ำ พื้นฟ้า M</v>
          </cell>
        </row>
        <row r="877">
          <cell r="A877" t="str">
            <v>BB0300-XL</v>
          </cell>
          <cell r="B877" t="str">
            <v>B300</v>
          </cell>
          <cell r="C877" t="str">
            <v>เยื่อไผ่ แขนสั้นขายาว ช้างน้อยพ่นน้ำ พื้นฟ้า XL</v>
          </cell>
        </row>
        <row r="878">
          <cell r="A878" t="str">
            <v>BB0310-L</v>
          </cell>
          <cell r="B878" t="str">
            <v>B310</v>
          </cell>
          <cell r="C878" t="str">
            <v>เยื่อไผ่ แขนสั้นขายาว ดอกไม้ขาว พื้นฟ้า L</v>
          </cell>
        </row>
        <row r="879">
          <cell r="A879" t="str">
            <v>BB0310-M</v>
          </cell>
          <cell r="B879" t="str">
            <v>B310</v>
          </cell>
          <cell r="C879" t="str">
            <v>เยื่อไผ่ แขนสั้นขายาว ดอกไม้ขาว พื้นฟ้า M</v>
          </cell>
        </row>
        <row r="880">
          <cell r="A880" t="str">
            <v>BB0310-S</v>
          </cell>
          <cell r="B880" t="str">
            <v>B310</v>
          </cell>
          <cell r="C880" t="str">
            <v>เยื่อไผ่ แขนสั้นขายาว ดอกไม้ขาว พื้นฟ้า S</v>
          </cell>
        </row>
        <row r="881">
          <cell r="A881" t="str">
            <v>BB0310-XL</v>
          </cell>
          <cell r="B881" t="str">
            <v>B310</v>
          </cell>
          <cell r="C881" t="str">
            <v>เยื่อไผ่ แขนสั้นขายาว ดอกไม้ขาว พื้นฟ้า XL</v>
          </cell>
        </row>
        <row r="882">
          <cell r="A882" t="str">
            <v>BB0311-L</v>
          </cell>
          <cell r="B882" t="str">
            <v>B311</v>
          </cell>
          <cell r="C882" t="str">
            <v>เยื่อไผ่ แขนสั้นขายาว ลายทางพลาสเทล ฟ้า L</v>
          </cell>
        </row>
        <row r="883">
          <cell r="A883" t="str">
            <v>BB0311-M</v>
          </cell>
          <cell r="B883" t="str">
            <v>B311</v>
          </cell>
          <cell r="C883" t="str">
            <v>เยื่อไผ่ แขนสั้นขายาว ลายทางพลาสเทล ฟ้า M</v>
          </cell>
        </row>
        <row r="884">
          <cell r="A884" t="str">
            <v>BB0311-S</v>
          </cell>
          <cell r="B884" t="str">
            <v>B311</v>
          </cell>
          <cell r="C884" t="str">
            <v>เยื่อไผ่ แขนสั้นขายาว ลายทางพลาสเทล ฟ้า S</v>
          </cell>
        </row>
        <row r="885">
          <cell r="A885" t="str">
            <v>BB0311-XL</v>
          </cell>
          <cell r="B885" t="str">
            <v>B311</v>
          </cell>
          <cell r="C885" t="str">
            <v>เยื่อไผ่ แขนสั้นขายาว ลายทางพลาสเทล ฟ้า XL</v>
          </cell>
        </row>
        <row r="886">
          <cell r="A886" t="str">
            <v>BB0313-L</v>
          </cell>
          <cell r="B886" t="str">
            <v>JB313</v>
          </cell>
          <cell r="C886" t="str">
            <v>เยื่อไผ่ แขนสั้นขายาว แพนด้า เหลือง L ตัวโชว์</v>
          </cell>
        </row>
        <row r="887">
          <cell r="A887" t="str">
            <v>BB0313-M</v>
          </cell>
          <cell r="B887" t="str">
            <v>JB313</v>
          </cell>
          <cell r="C887" t="str">
            <v>เยื่อไผ่ แขนสั้นขายาว แพนด้า เหลือง M ตัวโชว์</v>
          </cell>
        </row>
        <row r="888">
          <cell r="A888" t="str">
            <v>BB0313-S</v>
          </cell>
          <cell r="B888" t="str">
            <v>B313</v>
          </cell>
          <cell r="C888" t="str">
            <v>เยื่อไผ่ แขนสั้นขายาว แพนด้า เหลือง S</v>
          </cell>
        </row>
        <row r="889">
          <cell r="A889" t="str">
            <v>BB0313-XL</v>
          </cell>
          <cell r="B889" t="str">
            <v>JB313</v>
          </cell>
          <cell r="C889" t="str">
            <v>เยื่อไผ่ แขนสั้นขายาว แพนด้า เหลือง XL ตัวโชว์</v>
          </cell>
        </row>
        <row r="890">
          <cell r="A890" t="str">
            <v>BB0314-L</v>
          </cell>
          <cell r="B890" t="str">
            <v>B314</v>
          </cell>
          <cell r="C890" t="str">
            <v>เยื่อไผ่ แขนสั้นขายาว Wall Flower L</v>
          </cell>
        </row>
        <row r="891">
          <cell r="A891" t="str">
            <v>BB0314-M</v>
          </cell>
          <cell r="B891" t="str">
            <v>B314</v>
          </cell>
          <cell r="C891" t="str">
            <v>เยื่อไผ่ แขนสั้นขายาว Wall Flower M</v>
          </cell>
        </row>
        <row r="892">
          <cell r="A892" t="str">
            <v>BB0314-S</v>
          </cell>
          <cell r="B892" t="str">
            <v>B314</v>
          </cell>
          <cell r="C892" t="str">
            <v>เยื่อไผ่ แขนสั้นขายาว Wall Flower S</v>
          </cell>
        </row>
        <row r="893">
          <cell r="A893" t="str">
            <v>BB0314-XL</v>
          </cell>
          <cell r="B893" t="str">
            <v>B314</v>
          </cell>
          <cell r="C893" t="str">
            <v>เยื่อไผ่ แขนสั้นขายาว Wall Flower XL</v>
          </cell>
        </row>
        <row r="894">
          <cell r="A894" t="str">
            <v>BB0315-L</v>
          </cell>
          <cell r="B894" t="str">
            <v>JB315</v>
          </cell>
          <cell r="C894" t="str">
            <v>เยื่อไผ่ แขนสั้นขายาว Daisy pink L ตัวโชว์</v>
          </cell>
        </row>
        <row r="895">
          <cell r="A895" t="str">
            <v>BB0315-M</v>
          </cell>
          <cell r="B895" t="str">
            <v>JB315</v>
          </cell>
          <cell r="C895" t="str">
            <v>เยื่อไผ่ แขนสั้นขายาว Daisy pink M ตัวโชว์</v>
          </cell>
        </row>
        <row r="896">
          <cell r="A896" t="str">
            <v>BB0315-S</v>
          </cell>
          <cell r="B896" t="str">
            <v>JB315</v>
          </cell>
          <cell r="C896" t="str">
            <v>เยื่อไผ่ แขนสั้นขายาว Daisy pink S ตัวโชว์</v>
          </cell>
        </row>
        <row r="897">
          <cell r="A897" t="str">
            <v>BB0315-XL</v>
          </cell>
          <cell r="B897" t="str">
            <v>JB315</v>
          </cell>
          <cell r="C897" t="str">
            <v>เยื่อไผ่ แขนสั้นขายาว Daisy pink XL ตัวโชว์</v>
          </cell>
        </row>
        <row r="898">
          <cell r="A898" t="str">
            <v>BB0316-L</v>
          </cell>
          <cell r="B898" t="str">
            <v>B316</v>
          </cell>
          <cell r="C898" t="str">
            <v>เยื่อไผ่ แขนสั้นขายาว ใบบัว พื้นน้ำตาล L</v>
          </cell>
        </row>
        <row r="899">
          <cell r="A899" t="str">
            <v>BB0316-M</v>
          </cell>
          <cell r="B899" t="str">
            <v>B316</v>
          </cell>
          <cell r="C899" t="str">
            <v>เยื่อไผ่ แขนสั้นขายาว ใบบัว พื้นน้ำตาล M</v>
          </cell>
        </row>
        <row r="900">
          <cell r="A900" t="str">
            <v>BB0316-S</v>
          </cell>
          <cell r="B900" t="str">
            <v>B316</v>
          </cell>
          <cell r="C900" t="str">
            <v>เยื่อไผ่ แขนสั้นขายาว ใบบัว พื้นน้ำตาล S</v>
          </cell>
        </row>
        <row r="901">
          <cell r="A901" t="str">
            <v>BB0316-XL</v>
          </cell>
          <cell r="B901" t="str">
            <v>B316</v>
          </cell>
          <cell r="C901" t="str">
            <v>เยื่อไผ่ แขนสั้นขายาว ใบบัว พื้นน้ำตาล XL</v>
          </cell>
        </row>
        <row r="902">
          <cell r="A902" t="str">
            <v>BB0320-L</v>
          </cell>
          <cell r="B902" t="str">
            <v>B320</v>
          </cell>
          <cell r="C902" t="str">
            <v>เยื่อไผ่ แขนสั้นขายาว Jamaican Cherry พื้นชมพู L</v>
          </cell>
        </row>
        <row r="903">
          <cell r="A903" t="str">
            <v>BB0320-M</v>
          </cell>
          <cell r="B903" t="str">
            <v>BB320</v>
          </cell>
          <cell r="C903" t="str">
            <v>เยื่อไผ่ แขนสั้นขายาว Jamaican Cherry พื้นชมพู M</v>
          </cell>
        </row>
        <row r="904">
          <cell r="A904" t="str">
            <v>BB0320-S</v>
          </cell>
          <cell r="B904" t="str">
            <v>B320</v>
          </cell>
          <cell r="C904" t="str">
            <v>เยื่อไผ่ แขนสั้นขายาว Jamaican Cherry พื้นชมพู S</v>
          </cell>
        </row>
        <row r="905">
          <cell r="A905" t="str">
            <v>BB0320-XL</v>
          </cell>
          <cell r="B905" t="str">
            <v>B320</v>
          </cell>
          <cell r="C905" t="str">
            <v>เยื่อไผ่ แขนสั้นขายาว Jamaican Cherry พื้นชมพู XL</v>
          </cell>
        </row>
        <row r="906">
          <cell r="A906" t="str">
            <v>BB0321-L</v>
          </cell>
          <cell r="B906" t="str">
            <v>B321</v>
          </cell>
          <cell r="C906" t="str">
            <v>เยื่อไผ่ แขนสั้นขายาว ดอกชบา พื้นเขียว L</v>
          </cell>
        </row>
        <row r="907">
          <cell r="A907" t="str">
            <v>BB0321-M</v>
          </cell>
          <cell r="B907" t="str">
            <v>B321</v>
          </cell>
          <cell r="C907" t="str">
            <v>เยื่อไผ่ แขนสั้นขายาว ดอกชบา พื้นเขียว M</v>
          </cell>
        </row>
        <row r="908">
          <cell r="A908" t="str">
            <v>BB0321-S</v>
          </cell>
          <cell r="B908" t="str">
            <v>B321</v>
          </cell>
          <cell r="C908" t="str">
            <v>เยื่อไผ่ แขนสั้นขายาว ดอกชบา พื้นเขียว S</v>
          </cell>
        </row>
        <row r="909">
          <cell r="A909" t="str">
            <v>BB0321-XL</v>
          </cell>
          <cell r="B909" t="str">
            <v>B321</v>
          </cell>
          <cell r="C909" t="str">
            <v>เยื่อไผ่ แขนสั้นขายาว ดอกชบา พื้นเขียว XL</v>
          </cell>
        </row>
        <row r="910">
          <cell r="A910" t="str">
            <v>BB0322-L</v>
          </cell>
          <cell r="B910" t="str">
            <v>B322</v>
          </cell>
          <cell r="C910" t="str">
            <v>เยื่อไผ่ แขนสั้นขายาว ดอกไม้เล็กชมพู คอปก L</v>
          </cell>
        </row>
        <row r="911">
          <cell r="A911" t="str">
            <v>BB0322-M</v>
          </cell>
          <cell r="B911" t="str">
            <v>B322</v>
          </cell>
          <cell r="C911" t="str">
            <v>เยื่อไผ่ แขนสั้นขายาว ดอกไม้เล็กชมพู คอปก M</v>
          </cell>
        </row>
        <row r="912">
          <cell r="A912" t="str">
            <v>BB0322-S</v>
          </cell>
          <cell r="B912" t="str">
            <v>B322</v>
          </cell>
          <cell r="C912" t="str">
            <v>เยื่อไผ่ แขนสั้นขายาว ดอกไม้เล็กชมพู คอปก S</v>
          </cell>
        </row>
        <row r="913">
          <cell r="A913" t="str">
            <v>BB0322-XL</v>
          </cell>
          <cell r="B913" t="str">
            <v>B322</v>
          </cell>
          <cell r="C913" t="str">
            <v>เยื่อไผ่ แขนสั้นขายาว ดอกไม้เล็กชมพู คอปก XL</v>
          </cell>
        </row>
        <row r="914">
          <cell r="A914" t="str">
            <v>BB0323-L</v>
          </cell>
          <cell r="B914" t="str">
            <v>B323</v>
          </cell>
          <cell r="C914" t="str">
            <v>เยื่อไผ่ แขนสั้นขายาว Jungle Cruise ดำ L</v>
          </cell>
        </row>
        <row r="915">
          <cell r="A915" t="str">
            <v>BB0323-M</v>
          </cell>
          <cell r="B915" t="str">
            <v>B323</v>
          </cell>
          <cell r="C915" t="str">
            <v>เยื่อไผ่ แขนสั้นขายาว Jungle Cruise ดำ M</v>
          </cell>
        </row>
        <row r="916">
          <cell r="A916" t="str">
            <v>BB0323-S</v>
          </cell>
          <cell r="B916" t="str">
            <v>B323</v>
          </cell>
          <cell r="C916" t="str">
            <v>เยื่อไผ่ แขนสั้นขายาว Jungle Cruise ดำ S</v>
          </cell>
        </row>
        <row r="917">
          <cell r="A917" t="str">
            <v>BB0323-XL</v>
          </cell>
          <cell r="B917" t="str">
            <v>B323</v>
          </cell>
          <cell r="C917" t="str">
            <v>เยื่อไผ่ แขนสั้นขายาว Jungle Cruise ดำ XL</v>
          </cell>
        </row>
        <row r="918">
          <cell r="A918" t="str">
            <v>BB0324-L</v>
          </cell>
          <cell r="B918" t="str">
            <v>B324</v>
          </cell>
          <cell r="C918" t="str">
            <v>เยื่อไผ่ แขนสั้นขายาว Jungle Cruise ครีม L</v>
          </cell>
        </row>
        <row r="919">
          <cell r="A919" t="str">
            <v>BB0324-M</v>
          </cell>
          <cell r="B919" t="str">
            <v>B324</v>
          </cell>
          <cell r="C919" t="str">
            <v>เยื่อไผ่ แขนสั้นขายาว Jungle Cruise ครีม M</v>
          </cell>
        </row>
        <row r="920">
          <cell r="A920" t="str">
            <v>BB0324-S</v>
          </cell>
          <cell r="B920" t="str">
            <v>B324</v>
          </cell>
          <cell r="C920" t="str">
            <v>เยื่อไผ่ แขนสั้นขายาว Jungle Cruise ครีม S</v>
          </cell>
        </row>
        <row r="921">
          <cell r="A921" t="str">
            <v>BB0324-XL</v>
          </cell>
          <cell r="B921" t="str">
            <v>B324</v>
          </cell>
          <cell r="C921" t="str">
            <v>เยื่อไผ่ แขนสั้นขายาว Jungle Cruise ครีม XL</v>
          </cell>
        </row>
        <row r="922">
          <cell r="A922" t="str">
            <v>BB0325-L</v>
          </cell>
          <cell r="B922" t="str">
            <v>B325</v>
          </cell>
          <cell r="C922" t="str">
            <v>เยื่อไผ่ แขนสั้นขายาว ดอกไม้สีฟ้า สีเหลือง พื้นขาว L</v>
          </cell>
        </row>
        <row r="923">
          <cell r="A923" t="str">
            <v>BB0325-M</v>
          </cell>
          <cell r="B923" t="str">
            <v>B325</v>
          </cell>
          <cell r="C923" t="str">
            <v>เยื่อไผ่ แขนสั้นขายาว ดอกไม้สีฟ้า สีเหลือง พื้นขาว M</v>
          </cell>
        </row>
        <row r="924">
          <cell r="A924" t="str">
            <v>BB0325-S</v>
          </cell>
          <cell r="B924" t="str">
            <v>B325</v>
          </cell>
          <cell r="C924" t="str">
            <v>เยื่อไผ่ แขนสั้นขายาว ดอกไม้สีฟ้า สีเหลือง พื้นขาว S</v>
          </cell>
        </row>
        <row r="925">
          <cell r="A925" t="str">
            <v>BB0325-XL</v>
          </cell>
          <cell r="B925" t="str">
            <v>B325</v>
          </cell>
          <cell r="C925" t="str">
            <v>เยื่อไผ่ แขนสั้นขายาว ดอกไม้สีฟ้า สีเหลือง พื้นขาว XL</v>
          </cell>
        </row>
        <row r="926">
          <cell r="A926" t="str">
            <v>BB0326-L</v>
          </cell>
          <cell r="B926" t="str">
            <v>B326</v>
          </cell>
          <cell r="C926" t="str">
            <v>เยื่อไผ่ แขนสั้นขายาว ดอกไม้น้อย สีชมพู พื้นวนิลา L</v>
          </cell>
        </row>
        <row r="927">
          <cell r="A927" t="str">
            <v>BB0326-M</v>
          </cell>
          <cell r="B927" t="str">
            <v>B326</v>
          </cell>
          <cell r="C927" t="str">
            <v>เยื่อไผ่ แขนสั้นขายาว ดอกไม้น้อย สีชมพู พื้นวนิลา M</v>
          </cell>
        </row>
        <row r="928">
          <cell r="A928" t="str">
            <v>BB0326-S</v>
          </cell>
          <cell r="B928" t="str">
            <v>B326</v>
          </cell>
          <cell r="C928" t="str">
            <v>เยื่อไผ่ แขนสั้นขายาว ดอกไม้น้อย สีชมพู พื้นวนิลา S</v>
          </cell>
        </row>
        <row r="929">
          <cell r="A929" t="str">
            <v>BB0326-XL</v>
          </cell>
          <cell r="B929" t="str">
            <v>B326</v>
          </cell>
          <cell r="C929" t="str">
            <v>เยื่อไผ่ แขนสั้นขายาว ดอกไม้น้อย สีชมพู พื้นวนิลา XL</v>
          </cell>
        </row>
        <row r="930">
          <cell r="A930" t="str">
            <v>BB0327-L</v>
          </cell>
          <cell r="B930" t="str">
            <v>B327</v>
          </cell>
          <cell r="C930" t="str">
            <v>เยื่อไผ่ แขนสั้นขายาว ดอกไม้อวกาศ พื้นชมพู L</v>
          </cell>
        </row>
        <row r="931">
          <cell r="A931" t="str">
            <v>BB0327-M</v>
          </cell>
          <cell r="B931" t="str">
            <v>B327</v>
          </cell>
          <cell r="C931" t="str">
            <v>เยื่อไผ่ แขนสั้นขายาว ดอกไม้อวกาศ พื้นชมพู M</v>
          </cell>
        </row>
        <row r="932">
          <cell r="A932" t="str">
            <v>BB0327-S</v>
          </cell>
          <cell r="B932" t="str">
            <v>B327</v>
          </cell>
          <cell r="C932" t="str">
            <v>เยื่อไผ่ แขนสั้นขายาว ดอกไม้อวกาศ พื้นชมพู S</v>
          </cell>
        </row>
        <row r="933">
          <cell r="A933" t="str">
            <v>BB0327-XL</v>
          </cell>
          <cell r="B933" t="str">
            <v>B327</v>
          </cell>
          <cell r="C933" t="str">
            <v>เยื่อไผ่ แขนสั้นขายาว ดอกไม้อวกาศ พื้นชมพู XL</v>
          </cell>
        </row>
        <row r="934">
          <cell r="A934" t="str">
            <v>BB0328-L</v>
          </cell>
          <cell r="B934" t="str">
            <v>JB328</v>
          </cell>
          <cell r="C934" t="str">
            <v>เยื่อไผ่ แขนสั้นขายาว ลายทางฟ้า ครีม คอปกดอกไม้ L</v>
          </cell>
        </row>
        <row r="935">
          <cell r="A935" t="str">
            <v>BB0328-M</v>
          </cell>
          <cell r="B935" t="str">
            <v>B328</v>
          </cell>
          <cell r="C935" t="str">
            <v>เยื่อไผ่ แขนสั้นขายาว ลายทางฟ้า ครีม คอปกดอกไม้ M</v>
          </cell>
        </row>
        <row r="936">
          <cell r="A936" t="str">
            <v>BB0328-S</v>
          </cell>
          <cell r="B936" t="str">
            <v>B328</v>
          </cell>
          <cell r="C936" t="str">
            <v>เยื่อไผ่ แขนสั้นขายาว ลายทางฟ้า ครีม คอปกดอกไม้ S</v>
          </cell>
        </row>
        <row r="937">
          <cell r="A937" t="str">
            <v>BB0328-XL</v>
          </cell>
          <cell r="B937" t="str">
            <v>JB328</v>
          </cell>
          <cell r="C937" t="str">
            <v>เยื่อไผ่ แขนสั้นขายาว ลายทางฟ้า ครีม คอปกดอกไม้ XL</v>
          </cell>
        </row>
        <row r="938">
          <cell r="A938" t="str">
            <v>BB0329-L</v>
          </cell>
          <cell r="B938" t="str">
            <v>B329</v>
          </cell>
          <cell r="C938" t="str">
            <v>เยื่อไผ่ แขนสั้นขายาว พื้นดำ คอปกขาว กระดุมมุก L</v>
          </cell>
        </row>
        <row r="939">
          <cell r="A939" t="str">
            <v>BB0329-M</v>
          </cell>
          <cell r="B939" t="str">
            <v>B329</v>
          </cell>
          <cell r="C939" t="str">
            <v>เยื่อไผ่ แขนสั้นขายาว พื้นดำ คอปกขาว กระดุมมุก M</v>
          </cell>
        </row>
        <row r="940">
          <cell r="A940" t="str">
            <v>BB0329-S</v>
          </cell>
          <cell r="B940" t="str">
            <v>B329</v>
          </cell>
          <cell r="C940" t="str">
            <v>เยื่อไผ่ แขนสั้นขายาว พื้นดำ คอปกขาว กระดุมมุก S</v>
          </cell>
        </row>
        <row r="941">
          <cell r="A941" t="str">
            <v>BB0337-L</v>
          </cell>
          <cell r="B941" t="str">
            <v>B337</v>
          </cell>
          <cell r="C941" t="str">
            <v>เยื่อไผ่ แขนสั้นขายาว แมวฟ้า กุ๊นขอบ L</v>
          </cell>
        </row>
        <row r="942">
          <cell r="A942" t="str">
            <v>BB0337-M</v>
          </cell>
          <cell r="B942" t="str">
            <v>B337</v>
          </cell>
          <cell r="C942" t="str">
            <v>เยื่อไผ่ แขนสั้นขายาว แมวฟ้า กุ๊นขอบ M</v>
          </cell>
        </row>
        <row r="943">
          <cell r="A943" t="str">
            <v>BB0337-S</v>
          </cell>
          <cell r="B943" t="str">
            <v>B337</v>
          </cell>
          <cell r="C943" t="str">
            <v>เยื่อไผ่ แขนสั้นขายาว แมวฟ้า กุ๊นขอบ S</v>
          </cell>
        </row>
        <row r="944">
          <cell r="A944" t="str">
            <v>BB0339-L</v>
          </cell>
          <cell r="B944" t="str">
            <v>B339</v>
          </cell>
          <cell r="C944" t="str">
            <v>เยื่อไผ่ แขนสั้นขายาว หมีแพนด้า พื้นขาว L</v>
          </cell>
        </row>
        <row r="945">
          <cell r="A945" t="str">
            <v>BB0339-M</v>
          </cell>
          <cell r="B945" t="str">
            <v>B339</v>
          </cell>
          <cell r="C945" t="str">
            <v>เยื่อไผ่ แขนสั้นขายาว หมีแพนด้า พื้นขาว M</v>
          </cell>
        </row>
        <row r="946">
          <cell r="A946" t="str">
            <v>BB0339-S</v>
          </cell>
          <cell r="B946" t="str">
            <v>B339</v>
          </cell>
          <cell r="C946" t="str">
            <v>เยื่อไผ่ แขนสั้นขายาว หมีแพนด้า พื้นขาว S</v>
          </cell>
        </row>
        <row r="947">
          <cell r="A947" t="str">
            <v>BB0339-XL</v>
          </cell>
          <cell r="B947" t="str">
            <v>B339</v>
          </cell>
          <cell r="C947" t="str">
            <v>เยื่อไผ่ แขนสั้นขายาว หมีแพนด้า พื้นขาว XL</v>
          </cell>
        </row>
        <row r="948">
          <cell r="A948" t="str">
            <v>BB0345-L</v>
          </cell>
          <cell r="B948" t="str">
            <v>B345</v>
          </cell>
          <cell r="C948" t="str">
            <v>เยื่อไผ่ แขนสั้นขายาว พื้นขาว ลายวาดรูป L</v>
          </cell>
        </row>
        <row r="949">
          <cell r="A949" t="str">
            <v>BB0345-M</v>
          </cell>
          <cell r="B949" t="str">
            <v>B345</v>
          </cell>
          <cell r="C949" t="str">
            <v>เยื่อไผ่ แขนสั้นขายาว พื้นขาว ลายวาดรูป M</v>
          </cell>
        </row>
        <row r="950">
          <cell r="A950" t="str">
            <v>BB0345-S</v>
          </cell>
          <cell r="B950" t="str">
            <v>B345</v>
          </cell>
          <cell r="C950" t="str">
            <v>เยื่อไผ่ แขนสั้นขายาว พื้นขาว ลายวาดรูป S</v>
          </cell>
        </row>
        <row r="951">
          <cell r="A951" t="str">
            <v>BB0345-XL</v>
          </cell>
          <cell r="B951" t="str">
            <v>B345</v>
          </cell>
          <cell r="C951" t="str">
            <v>เยื่อไผ่ แขนสั้นขายาว พื้นขาว ลายวาดรูป XL</v>
          </cell>
        </row>
        <row r="952">
          <cell r="A952" t="str">
            <v>BB0346-L</v>
          </cell>
          <cell r="B952" t="str">
            <v>B346</v>
          </cell>
          <cell r="C952" t="str">
            <v>เยื่อไผ่ แขนสั้นขายาว ไทเกอร์ แอนด์ โคอะล่า L</v>
          </cell>
        </row>
        <row r="953">
          <cell r="A953" t="str">
            <v>BB0346-M</v>
          </cell>
          <cell r="B953" t="str">
            <v>B346</v>
          </cell>
          <cell r="C953" t="str">
            <v>เยื่อไผ่ แขนสั้นขายาว ไทเกอร์ แอนด์ โคอะล่า M</v>
          </cell>
        </row>
        <row r="954">
          <cell r="A954" t="str">
            <v>BB0346-S</v>
          </cell>
          <cell r="B954" t="str">
            <v>B346</v>
          </cell>
          <cell r="C954" t="str">
            <v>เยื่อไผ่ แขนสั้นขายาว ไทเกอร์ แอนด์ โคอะล่า S</v>
          </cell>
        </row>
        <row r="955">
          <cell r="A955" t="str">
            <v>BB0346-XL</v>
          </cell>
          <cell r="B955" t="str">
            <v>B346</v>
          </cell>
          <cell r="C955" t="str">
            <v>เยื่อไผ่ แขนสั้นขายาว ไทเกอร์ แอนด์ โคอะล่า XL</v>
          </cell>
        </row>
        <row r="956">
          <cell r="A956" t="str">
            <v>BB0347-L</v>
          </cell>
          <cell r="B956" t="str">
            <v>B347</v>
          </cell>
          <cell r="C956" t="str">
            <v>เยื่อไผ่ แขนสั้นขายาว ลายทางม่วง L</v>
          </cell>
        </row>
        <row r="957">
          <cell r="A957" t="str">
            <v>BB0347-M</v>
          </cell>
          <cell r="B957" t="str">
            <v>B347</v>
          </cell>
          <cell r="C957" t="str">
            <v>เยื่อไผ่ แขนสั้นขายาว ลายทางม่วง M</v>
          </cell>
        </row>
        <row r="958">
          <cell r="A958" t="str">
            <v>BB0347-S</v>
          </cell>
          <cell r="B958" t="str">
            <v>B347</v>
          </cell>
          <cell r="C958" t="str">
            <v>เยื่อไผ่ แขนสั้นขายาว ลายทางม่วง S</v>
          </cell>
        </row>
        <row r="959">
          <cell r="A959" t="str">
            <v>BB0347-XL</v>
          </cell>
          <cell r="B959" t="str">
            <v>B347</v>
          </cell>
          <cell r="C959" t="str">
            <v>เยื่อไผ่ แขนสั้นขายาว ลายทางม่วง XL</v>
          </cell>
        </row>
        <row r="960">
          <cell r="A960" t="str">
            <v>BB0350-L</v>
          </cell>
          <cell r="B960" t="str">
            <v>B350</v>
          </cell>
          <cell r="C960" t="str">
            <v>เยื่อไผ่ แขนสั้นขายาว พื้นขาว จุดฟ้าคราม L</v>
          </cell>
        </row>
        <row r="961">
          <cell r="A961" t="str">
            <v>BB0350-M</v>
          </cell>
          <cell r="B961" t="str">
            <v>B350</v>
          </cell>
          <cell r="C961" t="str">
            <v>เยื่อไผ่ แขนสั้นขายาว พื้นขาว จุดฟ้าคราม M</v>
          </cell>
        </row>
        <row r="962">
          <cell r="A962" t="str">
            <v>BB0350-S</v>
          </cell>
          <cell r="B962" t="str">
            <v>B350</v>
          </cell>
          <cell r="C962" t="str">
            <v>เยื่อไผ่ แขนสั้นขายาว พื้นขาว จุดฟ้าคราม S</v>
          </cell>
        </row>
        <row r="963">
          <cell r="A963" t="str">
            <v>BB0350-XL</v>
          </cell>
          <cell r="B963" t="str">
            <v>B350</v>
          </cell>
          <cell r="C963" t="str">
            <v>เยื่อไผ่ แขนสั้นขายาว พื้นขาว จุดฟ้าคราม XL</v>
          </cell>
        </row>
        <row r="964">
          <cell r="A964" t="str">
            <v>BB0351-2XL</v>
          </cell>
          <cell r="B964" t="str">
            <v>B351</v>
          </cell>
          <cell r="C964" t="str">
            <v>เยื่อไผ่ แขนสั้นขายาว ตารางเหลือง พื้นขาว 2XL</v>
          </cell>
        </row>
        <row r="965">
          <cell r="A965" t="str">
            <v>BB0351-L</v>
          </cell>
          <cell r="B965" t="str">
            <v>B351</v>
          </cell>
          <cell r="C965" t="str">
            <v>เยื่อไผ่ แขนสั้นขายาว ตารางเหลือง พื้นขาว L</v>
          </cell>
        </row>
        <row r="966">
          <cell r="A966" t="str">
            <v>BB0351-M</v>
          </cell>
          <cell r="B966" t="str">
            <v>B351</v>
          </cell>
          <cell r="C966" t="str">
            <v>เยื่อไผ่ แขนสั้นขายาว ตารางเหลือง พื้นขาว M</v>
          </cell>
        </row>
        <row r="967">
          <cell r="A967" t="str">
            <v>BB0351-XL</v>
          </cell>
          <cell r="B967" t="str">
            <v>B351</v>
          </cell>
          <cell r="C967" t="str">
            <v>เยื่อไผ่ แขนสั้นขายาว ตารางเหลือง พื้นขาว XL</v>
          </cell>
        </row>
        <row r="968">
          <cell r="A968" t="str">
            <v>BB0353-2XL</v>
          </cell>
          <cell r="B968" t="str">
            <v>B353</v>
          </cell>
          <cell r="C968" t="str">
            <v>เยื่อไผ่ แขนสั้นขายาว Blue Flower 2XL</v>
          </cell>
        </row>
        <row r="969">
          <cell r="A969" t="str">
            <v>BB0353-L</v>
          </cell>
          <cell r="B969" t="str">
            <v>B353</v>
          </cell>
          <cell r="C969" t="str">
            <v>เยื่อไผ่ แขนสั้นขายาว Blue Flower L</v>
          </cell>
        </row>
        <row r="970">
          <cell r="A970" t="str">
            <v>BB0353-M</v>
          </cell>
          <cell r="B970" t="str">
            <v>B353</v>
          </cell>
          <cell r="C970" t="str">
            <v>เยื่อไผ่ แขนสั้นขายาว Blue Flower M</v>
          </cell>
        </row>
        <row r="971">
          <cell r="A971" t="str">
            <v>BB0353-XL</v>
          </cell>
          <cell r="B971" t="str">
            <v>B353</v>
          </cell>
          <cell r="C971" t="str">
            <v>เยื่อไผ่ แขนสั้นขายาว Blue Flower XL</v>
          </cell>
        </row>
        <row r="972">
          <cell r="A972" t="str">
            <v>BB0354-L</v>
          </cell>
          <cell r="B972" t="str">
            <v>B354</v>
          </cell>
          <cell r="C972" t="str">
            <v>เยื่อไผ่ แขนสั้นขายาว ตาราง ครีมดำ L</v>
          </cell>
        </row>
        <row r="973">
          <cell r="A973" t="str">
            <v>BB0354-M</v>
          </cell>
          <cell r="B973" t="str">
            <v>B354</v>
          </cell>
          <cell r="C973" t="str">
            <v>เยื่อไผ่ แขนสั้นขายาว ตาราง ครีมดำ M</v>
          </cell>
        </row>
        <row r="974">
          <cell r="A974" t="str">
            <v>BB0354-XL</v>
          </cell>
          <cell r="B974" t="str">
            <v>B354</v>
          </cell>
          <cell r="C974" t="str">
            <v>เยื่อไผ่ แขนสั้นขายาว ตาราง ครีมดำ XL</v>
          </cell>
        </row>
        <row r="975">
          <cell r="A975" t="str">
            <v>BB0355-2XL</v>
          </cell>
          <cell r="B975" t="str">
            <v>B355</v>
          </cell>
          <cell r="C975" t="str">
            <v>เยื่อไผ่ แขนสั้นขายาว ตาราง ครีมเขียว 2XL</v>
          </cell>
        </row>
        <row r="976">
          <cell r="A976" t="str">
            <v>BB0355-L</v>
          </cell>
          <cell r="B976" t="str">
            <v>B355</v>
          </cell>
          <cell r="C976" t="str">
            <v>เยื่อไผ่ แขนสั้นขายาว ตาราง ครีมเขียว L</v>
          </cell>
        </row>
        <row r="977">
          <cell r="A977" t="str">
            <v>BB0355-M</v>
          </cell>
          <cell r="B977" t="str">
            <v>B355</v>
          </cell>
          <cell r="C977" t="str">
            <v>เยื่อไผ่ แขนสั้นขายาว ตาราง ครีมเขียว M</v>
          </cell>
        </row>
        <row r="978">
          <cell r="A978" t="str">
            <v>BB0355-XL</v>
          </cell>
          <cell r="B978" t="str">
            <v>B355</v>
          </cell>
          <cell r="C978" t="str">
            <v>เยื่อไผ่ แขนสั้นขายาว ตาราง ครีมเขียว XL</v>
          </cell>
        </row>
        <row r="979">
          <cell r="A979" t="str">
            <v>BB0362-L</v>
          </cell>
          <cell r="B979" t="str">
            <v>B362</v>
          </cell>
          <cell r="C979" t="str">
            <v>เยื่อไผ่ แขนสั้นขายาว ศิลปะ พื้นครีม L</v>
          </cell>
        </row>
        <row r="980">
          <cell r="A980" t="str">
            <v>BB0362-M</v>
          </cell>
          <cell r="B980" t="str">
            <v>B362</v>
          </cell>
          <cell r="C980" t="str">
            <v>เยื่อไผ่ แขนสั้นขายาว ศิลปะ พื้นครีม M</v>
          </cell>
        </row>
        <row r="981">
          <cell r="A981" t="str">
            <v>BB0362-S</v>
          </cell>
          <cell r="B981" t="str">
            <v>B362</v>
          </cell>
          <cell r="C981" t="str">
            <v>เยื่อไผ่ แขนสั้นขายาว ศิลปะ พื้นครีม S</v>
          </cell>
        </row>
        <row r="982">
          <cell r="A982" t="str">
            <v>BC0001-L</v>
          </cell>
          <cell r="B982" t="str">
            <v>C1</v>
          </cell>
          <cell r="C982" t="str">
            <v>เยื่อไผ่ แขนยาวขายาว ผีเสื้อ L</v>
          </cell>
        </row>
        <row r="983">
          <cell r="A983" t="str">
            <v>BC0001-M</v>
          </cell>
          <cell r="B983" t="str">
            <v>C1</v>
          </cell>
          <cell r="C983" t="str">
            <v>เยื่อไผ่ แขนยาวขายาว ผีเสื้อ M</v>
          </cell>
        </row>
        <row r="984">
          <cell r="A984" t="str">
            <v>BC0001-S</v>
          </cell>
          <cell r="B984" t="str">
            <v>C1</v>
          </cell>
          <cell r="C984" t="str">
            <v>เยื่อไผ่ แขนยาวขายาว ผีเสื้อ S</v>
          </cell>
        </row>
        <row r="985">
          <cell r="A985" t="str">
            <v>BC0002-L</v>
          </cell>
          <cell r="B985" t="str">
            <v>C2</v>
          </cell>
          <cell r="C985" t="str">
            <v>เยื่อไผ่ แขนยาวขายาว ผีเสื้อ นู้ด L</v>
          </cell>
        </row>
        <row r="986">
          <cell r="A986" t="str">
            <v>BC0002-M</v>
          </cell>
          <cell r="B986" t="str">
            <v>C2</v>
          </cell>
          <cell r="C986" t="str">
            <v>เยื่อไผ่ แขนยาวขายาว ผีเสื้อ นู้ด M</v>
          </cell>
        </row>
        <row r="987">
          <cell r="A987" t="str">
            <v>BC0002-S</v>
          </cell>
          <cell r="B987" t="str">
            <v>C2</v>
          </cell>
          <cell r="C987" t="str">
            <v>เยื่อไผ่ แขนยาวขายาว ผีเสื้อ นู้ด S</v>
          </cell>
        </row>
        <row r="988">
          <cell r="A988" t="str">
            <v>BC0003-L</v>
          </cell>
          <cell r="B988" t="str">
            <v>C3</v>
          </cell>
          <cell r="C988" t="str">
            <v>เยื่อไผ่ แขนยาวขายาว ผีเสื้อ New L</v>
          </cell>
        </row>
        <row r="989">
          <cell r="A989" t="str">
            <v>BC0003-M</v>
          </cell>
          <cell r="B989" t="str">
            <v>C3</v>
          </cell>
          <cell r="C989" t="str">
            <v>เยื่อไผ่ แขนยาวขายาว ผีเสื้อ New M</v>
          </cell>
        </row>
        <row r="990">
          <cell r="A990" t="str">
            <v>BC0003-XL</v>
          </cell>
          <cell r="B990" t="str">
            <v>C3</v>
          </cell>
          <cell r="C990" t="str">
            <v>เยื่อไผ่ แขนยาวขายาว ผีเสื้อ New XL</v>
          </cell>
        </row>
        <row r="991">
          <cell r="A991" t="str">
            <v>BC0004-L</v>
          </cell>
          <cell r="B991" t="str">
            <v>C4</v>
          </cell>
          <cell r="C991" t="str">
            <v>เยื่อไผ่ แขนยาวขายาว ผีเสื้อดอกไม้แดง พื้นม่วงอ่อน L</v>
          </cell>
        </row>
        <row r="992">
          <cell r="A992" t="str">
            <v>BC0004-M</v>
          </cell>
          <cell r="B992" t="str">
            <v>C4</v>
          </cell>
          <cell r="C992" t="str">
            <v>เยื่อไผ่ แขนยาวขายาว ผีเสื้อดอกไม้แดง พื้นม่วงอ่อน M</v>
          </cell>
        </row>
        <row r="993">
          <cell r="A993" t="str">
            <v>BC0004-XL</v>
          </cell>
          <cell r="B993" t="str">
            <v>C4</v>
          </cell>
          <cell r="C993" t="str">
            <v>เยื่อไผ่ แขนยาวขายาว ผีเสื้อดอกไม้แดง พื้นม่วงอ่อน XL</v>
          </cell>
        </row>
        <row r="994">
          <cell r="A994" t="str">
            <v>BC0006-L</v>
          </cell>
          <cell r="B994" t="str">
            <v>C6</v>
          </cell>
          <cell r="C994" t="str">
            <v>เยื่อไผ่ แขนยาวขายาว นกครีม L</v>
          </cell>
        </row>
        <row r="995">
          <cell r="A995" t="str">
            <v>BC0006-M</v>
          </cell>
          <cell r="B995" t="str">
            <v>C6</v>
          </cell>
          <cell r="C995" t="str">
            <v>เยื่อไผ่ แขนยาวขายาว นกครีม M</v>
          </cell>
        </row>
        <row r="996">
          <cell r="A996" t="str">
            <v>BC0009-L</v>
          </cell>
          <cell r="B996" t="str">
            <v>C9</v>
          </cell>
          <cell r="C996" t="str">
            <v>เยื่อไผ่ แขนยาวขายาว นกบราว L</v>
          </cell>
        </row>
        <row r="997">
          <cell r="A997" t="str">
            <v>BC0009-M</v>
          </cell>
          <cell r="B997" t="str">
            <v>C9</v>
          </cell>
          <cell r="C997" t="str">
            <v>เยื่อไผ่ แขนยาวขายาว นกบราว M</v>
          </cell>
        </row>
        <row r="998">
          <cell r="A998" t="str">
            <v>BC0009-S</v>
          </cell>
          <cell r="B998" t="str">
            <v>C9</v>
          </cell>
          <cell r="C998" t="str">
            <v>เยื่อไผ่ แขนยาวขายาว นกบราว S</v>
          </cell>
        </row>
        <row r="999">
          <cell r="A999" t="str">
            <v>BC0009-XL</v>
          </cell>
          <cell r="B999" t="str">
            <v>C9</v>
          </cell>
          <cell r="C999" t="str">
            <v>เยื่อไผ่ แขนยาวขายาว นกบราว XL</v>
          </cell>
        </row>
        <row r="1000">
          <cell r="A1000" t="str">
            <v>BC0010-L</v>
          </cell>
          <cell r="B1000" t="str">
            <v>C10</v>
          </cell>
          <cell r="C1000" t="str">
            <v>เยื่อไผ่ แขนยาวขายาว ลายนก พื้นกรม L</v>
          </cell>
        </row>
        <row r="1001">
          <cell r="A1001" t="str">
            <v>BC0010-M</v>
          </cell>
          <cell r="B1001" t="str">
            <v>C10</v>
          </cell>
          <cell r="C1001" t="str">
            <v>เยื่อไผ่ แขนยาวขายาว ลายนก พื้นกรม M</v>
          </cell>
        </row>
        <row r="1002">
          <cell r="A1002" t="str">
            <v>BC0010-XL</v>
          </cell>
          <cell r="B1002" t="str">
            <v>C10</v>
          </cell>
          <cell r="C1002" t="str">
            <v>เยื่อไผ่ แขนยาวขายาว ลายนก พื้นกรม XL</v>
          </cell>
        </row>
        <row r="1003">
          <cell r="A1003" t="str">
            <v>BC0013-L</v>
          </cell>
          <cell r="B1003" t="str">
            <v>C13</v>
          </cell>
          <cell r="C1003" t="str">
            <v>เยื่อไผ่ แขนยาวขายาว แมว ฟ้า L</v>
          </cell>
        </row>
        <row r="1004">
          <cell r="A1004" t="str">
            <v>BC0013-M</v>
          </cell>
          <cell r="B1004" t="str">
            <v>C13</v>
          </cell>
          <cell r="C1004" t="str">
            <v>เยื่อไผ่ แขนยาวขายาว แมว ฟ้า M</v>
          </cell>
        </row>
        <row r="1005">
          <cell r="A1005" t="str">
            <v>BC0013-S</v>
          </cell>
          <cell r="B1005" t="str">
            <v>C13</v>
          </cell>
          <cell r="C1005" t="str">
            <v>เยื่อไผ่ แขนยาวขายาว แมว ฟ้า S</v>
          </cell>
        </row>
        <row r="1006">
          <cell r="A1006" t="str">
            <v>BC0014-L</v>
          </cell>
          <cell r="B1006" t="str">
            <v>C14</v>
          </cell>
          <cell r="C1006" t="str">
            <v>เยื่อไผ่ แขนยาวขายาว ลายทางเทา น้องหมา L</v>
          </cell>
        </row>
        <row r="1007">
          <cell r="A1007" t="str">
            <v>BC0014-M</v>
          </cell>
          <cell r="B1007" t="str">
            <v>C14</v>
          </cell>
          <cell r="C1007" t="str">
            <v>เยื่อไผ่ แขนยาวขายาว ลายทางเทา น้องหมา M</v>
          </cell>
        </row>
        <row r="1008">
          <cell r="A1008" t="str">
            <v>BC0014-S</v>
          </cell>
          <cell r="B1008" t="str">
            <v>C14</v>
          </cell>
          <cell r="C1008" t="str">
            <v>เยื่อไผ่ แขนยาวขายาว ลายทางเทา น้องหมา S</v>
          </cell>
        </row>
        <row r="1009">
          <cell r="A1009" t="str">
            <v>BC0014-XL</v>
          </cell>
          <cell r="B1009" t="str">
            <v>C14</v>
          </cell>
          <cell r="C1009" t="str">
            <v>เยื่อไผ่ แขนยาวขายาว ลายทางเทา น้องหมา XL</v>
          </cell>
        </row>
        <row r="1010">
          <cell r="A1010" t="str">
            <v>BC0015-L</v>
          </cell>
          <cell r="B1010" t="str">
            <v>C15</v>
          </cell>
          <cell r="C1010" t="str">
            <v>เยื่อไผ่ แขนยาวขายาว ลายทางดำ น้องหมา L</v>
          </cell>
        </row>
        <row r="1011">
          <cell r="A1011" t="str">
            <v>BC0015-M</v>
          </cell>
          <cell r="B1011" t="str">
            <v>C15</v>
          </cell>
          <cell r="C1011" t="str">
            <v>เยื่อไผ่ แขนยาวขายาว ลายทางดำ น้องหมา M</v>
          </cell>
        </row>
        <row r="1012">
          <cell r="A1012" t="str">
            <v>BC0015-XL</v>
          </cell>
          <cell r="B1012" t="str">
            <v>C15</v>
          </cell>
          <cell r="C1012" t="str">
            <v>เยื่อไผ่ แขนยาวขายาว ลายทางดำ น้องหมา XL</v>
          </cell>
        </row>
        <row r="1013">
          <cell r="A1013" t="str">
            <v>BC0018-L</v>
          </cell>
          <cell r="B1013" t="str">
            <v>C18</v>
          </cell>
          <cell r="C1013" t="str">
            <v>เยื่อไผ่ สี่ส่วน ดอกไม้สีocean L</v>
          </cell>
        </row>
        <row r="1014">
          <cell r="A1014" t="str">
            <v>BC0018-M</v>
          </cell>
          <cell r="B1014" t="str">
            <v>C18</v>
          </cell>
          <cell r="C1014" t="str">
            <v>เยื่อไผ่ สี่ส่วน ดอกไม้สีocean M</v>
          </cell>
        </row>
        <row r="1015">
          <cell r="A1015" t="str">
            <v>BC0018-XL</v>
          </cell>
          <cell r="B1015" t="str">
            <v>C18</v>
          </cell>
          <cell r="C1015" t="str">
            <v>เยื่อไผ่ สี่ส่วน ดอกไม้สีocean XL</v>
          </cell>
        </row>
        <row r="1016">
          <cell r="A1016" t="str">
            <v>BC0020-L</v>
          </cell>
          <cell r="B1016" t="str">
            <v>C20</v>
          </cell>
          <cell r="C1016" t="str">
            <v>เยื่อไผ่ แขนยาวขายาว ใบไม้เขียว NEW L</v>
          </cell>
        </row>
        <row r="1017">
          <cell r="A1017" t="str">
            <v>BC0020-M</v>
          </cell>
          <cell r="B1017" t="str">
            <v>C20</v>
          </cell>
          <cell r="C1017" t="str">
            <v>เยื่อไผ่ แขนยาวขายาว ใบไม้เขียว NEW M</v>
          </cell>
        </row>
        <row r="1018">
          <cell r="A1018" t="str">
            <v>BC0020-S</v>
          </cell>
          <cell r="B1018" t="str">
            <v>C20</v>
          </cell>
          <cell r="C1018" t="str">
            <v>เยื่อไผ่ แขนยาวขายาว ใบไม้เขียว NEW S</v>
          </cell>
        </row>
        <row r="1019">
          <cell r="A1019" t="str">
            <v>BC0025-L</v>
          </cell>
          <cell r="B1019" t="str">
            <v>C25</v>
          </cell>
          <cell r="C1019" t="str">
            <v>เยื่อไผ่ แขนยาวขายาว ใบไม้น้ำตาล ขอบแดง L</v>
          </cell>
        </row>
        <row r="1020">
          <cell r="A1020" t="str">
            <v>BC0025-M</v>
          </cell>
          <cell r="B1020" t="str">
            <v>C25</v>
          </cell>
          <cell r="C1020" t="str">
            <v>เยื่อไผ่ แขนยาวขายาว ใบไม้น้ำตาล ขอบแดง M</v>
          </cell>
        </row>
        <row r="1021">
          <cell r="A1021" t="str">
            <v>BC0025-S</v>
          </cell>
          <cell r="B1021" t="str">
            <v>C25</v>
          </cell>
          <cell r="C1021" t="str">
            <v>เยื่อไผ่ แขนยาวขายาว ใบไม้น้ำตาล ขอบแดง S</v>
          </cell>
        </row>
        <row r="1022">
          <cell r="A1022" t="str">
            <v>BC0025-XL</v>
          </cell>
          <cell r="B1022" t="str">
            <v>C25</v>
          </cell>
          <cell r="C1022" t="str">
            <v>เยื่อไผ่ แขนยาวขายาว ใบไม้น้ำตาล ขอบแดง XL</v>
          </cell>
        </row>
        <row r="1023">
          <cell r="A1023" t="str">
            <v>BC0030-L</v>
          </cell>
          <cell r="B1023" t="str">
            <v>C30</v>
          </cell>
          <cell r="C1023" t="str">
            <v>เยื่อไผ่ แขนยาวขายาว มอนเตอร่า พื้นชมพู L</v>
          </cell>
        </row>
        <row r="1024">
          <cell r="A1024" t="str">
            <v>BC0030-M</v>
          </cell>
          <cell r="B1024" t="str">
            <v>C30</v>
          </cell>
          <cell r="C1024" t="str">
            <v>เยื่อไผ่ แขนยาวขายาว มอนเตอร่า พื้นชมพู M</v>
          </cell>
        </row>
        <row r="1025">
          <cell r="A1025" t="str">
            <v>BC0030-XL</v>
          </cell>
          <cell r="B1025" t="str">
            <v>C30</v>
          </cell>
          <cell r="C1025" t="str">
            <v>เยื่อไผ่ แขนยาวขายาว มอนเตอร่า พื้นชมพู XL</v>
          </cell>
        </row>
        <row r="1026">
          <cell r="A1026" t="str">
            <v>BC0031-L</v>
          </cell>
          <cell r="B1026" t="str">
            <v>C31</v>
          </cell>
          <cell r="C1026" t="str">
            <v>เยื่อไผ่ แขนยาวขายาว มอนสเตอร่าหลายสี พื้นกรม ปกน้ำตาล L</v>
          </cell>
        </row>
        <row r="1027">
          <cell r="A1027" t="str">
            <v>BC0031-M</v>
          </cell>
          <cell r="B1027" t="str">
            <v>C31</v>
          </cell>
          <cell r="C1027" t="str">
            <v>เยื่อไผ่ แขนยาวขายาว มอนสเตอร่าหลายสี พื้นกรม ปกน้ำตาล M</v>
          </cell>
        </row>
        <row r="1028">
          <cell r="A1028" t="str">
            <v>BC0031-XL</v>
          </cell>
          <cell r="B1028" t="str">
            <v>C31</v>
          </cell>
          <cell r="C1028" t="str">
            <v>เยื่อไผ่ แขนยาวขายาว มอนสเตอร่าหลายสี พื้นกรม ปกน้ำตาล XL</v>
          </cell>
        </row>
        <row r="1029">
          <cell r="A1029" t="str">
            <v>BC0032-L</v>
          </cell>
          <cell r="B1029" t="str">
            <v>C32</v>
          </cell>
          <cell r="C1029" t="str">
            <v>เยื่อไผ่ แขนยาวขายาว ฮาวาย เขียว L</v>
          </cell>
        </row>
        <row r="1030">
          <cell r="A1030" t="str">
            <v>BC0032-M</v>
          </cell>
          <cell r="B1030" t="str">
            <v>C32</v>
          </cell>
          <cell r="C1030" t="str">
            <v>เยื่อไผ่ แขนยาวขายาว ฮาวาย เขียว M</v>
          </cell>
        </row>
        <row r="1031">
          <cell r="A1031" t="str">
            <v>BC0032-XL</v>
          </cell>
          <cell r="B1031" t="str">
            <v>C32</v>
          </cell>
          <cell r="C1031" t="str">
            <v>เยื่อไผ่ แขนยาวขายาว ฮาวาย เขียว XL</v>
          </cell>
        </row>
        <row r="1032">
          <cell r="A1032" t="str">
            <v>BC0035-L</v>
          </cell>
          <cell r="B1032" t="str">
            <v>BC35</v>
          </cell>
          <cell r="C1032" t="str">
            <v>เยื่อไผ่ แขนยาวขายาว ขาว ดอกไม้เล็ก L</v>
          </cell>
        </row>
        <row r="1033">
          <cell r="A1033" t="str">
            <v>BC0035-M</v>
          </cell>
          <cell r="B1033" t="str">
            <v>C35</v>
          </cell>
          <cell r="C1033" t="str">
            <v>เยื่อไผ่ แขนยาวขายาว ขาว ดอกไม้เล็ก M</v>
          </cell>
        </row>
        <row r="1034">
          <cell r="A1034" t="str">
            <v>BC0035-S</v>
          </cell>
          <cell r="B1034" t="str">
            <v>C35</v>
          </cell>
          <cell r="C1034" t="str">
            <v>เยื่อไผ่ แขนยาวขายาว ขาว ดอกไม้เล็ก S</v>
          </cell>
        </row>
        <row r="1035">
          <cell r="A1035" t="str">
            <v>BC0035-XL</v>
          </cell>
          <cell r="B1035" t="str">
            <v>C35</v>
          </cell>
          <cell r="C1035" t="str">
            <v>เยื่อไผ่ แขนยาวขายาว ขาว ดอกไม้เล็ก XL</v>
          </cell>
        </row>
        <row r="1036">
          <cell r="A1036" t="str">
            <v>BC0037-L</v>
          </cell>
          <cell r="B1036" t="str">
            <v>C37</v>
          </cell>
          <cell r="C1036" t="str">
            <v>เยื่อไผ่ แขนยาวขายาว สีกรม ดอกไม้ขาว L</v>
          </cell>
        </row>
        <row r="1037">
          <cell r="A1037" t="str">
            <v>BC0037-M</v>
          </cell>
          <cell r="B1037" t="str">
            <v>C37</v>
          </cell>
          <cell r="C1037" t="str">
            <v>เยื่อไผ่ แขนยาวขายาว สีกรม ดอกไม้ขาว M</v>
          </cell>
        </row>
        <row r="1038">
          <cell r="A1038" t="str">
            <v>BC0037-XL</v>
          </cell>
          <cell r="B1038" t="str">
            <v>C37</v>
          </cell>
          <cell r="C1038" t="str">
            <v>เยื่อไผ่ แขนยาวขายาว สีกรม ดอกไม้ขาว XL</v>
          </cell>
        </row>
        <row r="1039">
          <cell r="A1039" t="str">
            <v>BC0039-L</v>
          </cell>
          <cell r="B1039" t="str">
            <v>C39</v>
          </cell>
          <cell r="C1039" t="str">
            <v>เยื่อไผ่ แขนยาวขายาว น้ำเงิน ดอกไม้ขาว ลายคาด L</v>
          </cell>
        </row>
        <row r="1040">
          <cell r="A1040" t="str">
            <v>BC0039-M</v>
          </cell>
          <cell r="B1040" t="str">
            <v>C39</v>
          </cell>
          <cell r="C1040" t="str">
            <v>เยื่อไผ่ แขนยาวขายาว น้ำเงิน ดอกไม้ขาว ลายคาด M</v>
          </cell>
        </row>
        <row r="1041">
          <cell r="A1041" t="str">
            <v>BC0039-XL</v>
          </cell>
          <cell r="B1041" t="str">
            <v>C39</v>
          </cell>
          <cell r="C1041" t="str">
            <v>เยื่อไผ่ แขนยาวขายาว น้ำเงิน ดอกไม้ขาว ลายคาด XL</v>
          </cell>
        </row>
        <row r="1042">
          <cell r="A1042" t="str">
            <v>BC0041-L</v>
          </cell>
          <cell r="B1042" t="str">
            <v>C41</v>
          </cell>
          <cell r="C1042" t="str">
            <v>เยื่อไผ่ แขนยาวขายาว ดอกไม้ขาว พื้นเทาอ่อน L</v>
          </cell>
        </row>
        <row r="1043">
          <cell r="A1043" t="str">
            <v>BC0041-M</v>
          </cell>
          <cell r="B1043" t="str">
            <v>C41</v>
          </cell>
          <cell r="C1043" t="str">
            <v>เยื่อไผ่ แขนยาวขายาว ดอกไม้ขาว พื้นเทาอ่อน M</v>
          </cell>
        </row>
        <row r="1044">
          <cell r="A1044" t="str">
            <v>BC0041-XL</v>
          </cell>
          <cell r="B1044" t="str">
            <v>C41</v>
          </cell>
          <cell r="C1044" t="str">
            <v>เยื่อไผ่ แขนยาวขายาว ดอกไม้ขาว พื้นเทาอ่อน XL</v>
          </cell>
        </row>
        <row r="1045">
          <cell r="A1045" t="str">
            <v>BC0043-L</v>
          </cell>
          <cell r="B1045" t="str">
            <v>C43</v>
          </cell>
          <cell r="C1045" t="str">
            <v>เยื่อไผ่ แขนยาวขายาว ดอกไม้ขาวเทา พื้นกรม L</v>
          </cell>
        </row>
        <row r="1046">
          <cell r="A1046" t="str">
            <v>BC0043-M</v>
          </cell>
          <cell r="B1046" t="str">
            <v>C43</v>
          </cell>
          <cell r="C1046" t="str">
            <v>เยื่อไผ่ แขนยาวขายาว ดอกไม้ขาวเทา พื้นกรม M</v>
          </cell>
        </row>
        <row r="1047">
          <cell r="A1047" t="str">
            <v>BC0043-XL</v>
          </cell>
          <cell r="B1047" t="str">
            <v>C43</v>
          </cell>
          <cell r="C1047" t="str">
            <v>เยื่อไผ่ แขนยาวขายาว ดอกไม้ขาวเทา พื้นกรม XL</v>
          </cell>
        </row>
        <row r="1048">
          <cell r="A1048" t="str">
            <v>BC0044-L</v>
          </cell>
          <cell r="B1048" t="str">
            <v>C44</v>
          </cell>
          <cell r="C1048" t="str">
            <v>เยื่อไผ่ แขนยาวขายาว ดอกไม้เล็ก สีแดงขาว พื้นฟ้าเข้ม ปกชมพู L</v>
          </cell>
        </row>
        <row r="1049">
          <cell r="A1049" t="str">
            <v>BC0044-M</v>
          </cell>
          <cell r="B1049" t="str">
            <v>C44</v>
          </cell>
          <cell r="C1049" t="str">
            <v>เยื่อไผ่ แขนยาวขายาว ดอกไม้เล็ก สีแดงขาว พื้นฟ้าเข้ม ปกชมพู M</v>
          </cell>
        </row>
        <row r="1050">
          <cell r="A1050" t="str">
            <v>BC0044-XL</v>
          </cell>
          <cell r="B1050" t="str">
            <v>C44</v>
          </cell>
          <cell r="C1050" t="str">
            <v>เยื่อไผ่ แขนยาวขายาว ดอกไม้เล็ก สีแดงขาว พื้นฟ้าเข้ม ปกชมพู XL</v>
          </cell>
        </row>
        <row r="1051">
          <cell r="A1051" t="str">
            <v>BC0045-L</v>
          </cell>
          <cell r="B1051" t="str">
            <v>C45</v>
          </cell>
        </row>
        <row r="1052">
          <cell r="A1052" t="str">
            <v>BC0066-L</v>
          </cell>
          <cell r="B1052" t="str">
            <v>C66</v>
          </cell>
          <cell r="C1052" t="str">
            <v>เยื่อไผ่ แขนยาวขายาว ดอกไม้ชมพูอ่อน L</v>
          </cell>
        </row>
        <row r="1053">
          <cell r="A1053" t="str">
            <v>BC0066-M</v>
          </cell>
          <cell r="B1053" t="str">
            <v>C66</v>
          </cell>
          <cell r="C1053" t="str">
            <v>เยื่อไผ่ แขนยาวขายาว ดอกไม้ชมพูอ่อน M</v>
          </cell>
        </row>
        <row r="1054">
          <cell r="A1054" t="str">
            <v>BC0066-XL</v>
          </cell>
          <cell r="B1054" t="str">
            <v>C66</v>
          </cell>
          <cell r="C1054" t="str">
            <v>เยื่อไผ่ แขนยาวขายาว ดอกไม้ชมพูอ่อน XL</v>
          </cell>
        </row>
        <row r="1055">
          <cell r="A1055" t="str">
            <v>BC0067-L</v>
          </cell>
          <cell r="B1055" t="str">
            <v>C67</v>
          </cell>
          <cell r="C1055" t="str">
            <v>เยื่อไผ่ แขนยาวขายาว ดอกไม้ชมพู พื้นชมพู L</v>
          </cell>
        </row>
        <row r="1056">
          <cell r="A1056" t="str">
            <v>BC0067-M</v>
          </cell>
          <cell r="B1056" t="str">
            <v>C67</v>
          </cell>
          <cell r="C1056" t="str">
            <v>เยื่อไผ่ แขนยาวขายาว ดอกไม้ชมพู พื้นชมพู M</v>
          </cell>
        </row>
        <row r="1057">
          <cell r="A1057" t="str">
            <v>BC0069-L</v>
          </cell>
          <cell r="B1057" t="str">
            <v>C69</v>
          </cell>
          <cell r="C1057" t="str">
            <v>เยื่อไผ่ แขนยาวขายาว ดอกไม้ พื้นชมพู L</v>
          </cell>
        </row>
        <row r="1058">
          <cell r="A1058" t="str">
            <v>BC0069-M</v>
          </cell>
          <cell r="B1058" t="str">
            <v>C69</v>
          </cell>
          <cell r="C1058" t="str">
            <v>เยื่อไผ่ แขนยาวขายาว ดอกไม้ พื้นชมพู M</v>
          </cell>
        </row>
        <row r="1059">
          <cell r="A1059" t="str">
            <v>BC0073-L</v>
          </cell>
          <cell r="B1059" t="str">
            <v>C73</v>
          </cell>
          <cell r="C1059" t="str">
            <v>เยื่อไผ่ แขนยาวขายาว ดอกไม้น้ำตาล-L</v>
          </cell>
        </row>
        <row r="1060">
          <cell r="A1060" t="str">
            <v>BC0073-M</v>
          </cell>
          <cell r="B1060" t="str">
            <v>C73</v>
          </cell>
          <cell r="C1060" t="str">
            <v>เยื่อไผ่ แขนยาวขายาว ดอกไม้น้ำตาลM</v>
          </cell>
        </row>
        <row r="1061">
          <cell r="A1061" t="str">
            <v>BC0073-S</v>
          </cell>
          <cell r="B1061" t="str">
            <v>C73</v>
          </cell>
          <cell r="C1061" t="str">
            <v>เยื่อไผ่ แขนยาวขายาว ดอกไม้น้ำตาล S</v>
          </cell>
        </row>
        <row r="1062">
          <cell r="A1062" t="str">
            <v>BC0073-XL</v>
          </cell>
          <cell r="B1062" t="str">
            <v>C73</v>
          </cell>
          <cell r="C1062" t="str">
            <v>เยื่อไผ่ แขนยาวขายาว ดอกไม้น้ำตาล XL</v>
          </cell>
        </row>
        <row r="1063">
          <cell r="A1063" t="str">
            <v>BC0075-L</v>
          </cell>
          <cell r="B1063" t="str">
            <v>C75</v>
          </cell>
          <cell r="C1063" t="str">
            <v>เยื่อไผ่ แขนยาวขายาว เหลืองลายดอก L</v>
          </cell>
        </row>
        <row r="1064">
          <cell r="A1064" t="str">
            <v>BC0075-M</v>
          </cell>
          <cell r="B1064" t="str">
            <v>C75</v>
          </cell>
          <cell r="C1064" t="str">
            <v>เยื่อไผ่ แขนยาวขายาว เหลืองลายดอก M</v>
          </cell>
        </row>
        <row r="1065">
          <cell r="A1065" t="str">
            <v>BC0075-S</v>
          </cell>
          <cell r="B1065" t="str">
            <v>C75</v>
          </cell>
          <cell r="C1065" t="str">
            <v>เยื่อไผ่ แขนยาวขายาว เหลืองลายดอก S</v>
          </cell>
        </row>
        <row r="1066">
          <cell r="A1066" t="str">
            <v>BC0075-XL</v>
          </cell>
          <cell r="B1066" t="str">
            <v>C75</v>
          </cell>
          <cell r="C1066" t="str">
            <v>เยื่อไผ่ แขนยาวขายาว เหลืองลายดอก XL</v>
          </cell>
        </row>
        <row r="1067">
          <cell r="A1067" t="str">
            <v>BC0077-L</v>
          </cell>
          <cell r="B1067" t="str">
            <v>C77</v>
          </cell>
          <cell r="C1067" t="str">
            <v>เยื่อไผ่ แขนยาวขายาว ดอกไม้ชม พื้นเหลือง L</v>
          </cell>
        </row>
        <row r="1068">
          <cell r="A1068" t="str">
            <v>BC0077-M</v>
          </cell>
          <cell r="B1068" t="str">
            <v>C77</v>
          </cell>
          <cell r="C1068" t="str">
            <v>เยื่อไผ่ แขนยาวขายาว ดอกไม้ชม พื้นเหลือง M</v>
          </cell>
        </row>
        <row r="1069">
          <cell r="A1069" t="str">
            <v>BC0077-S</v>
          </cell>
          <cell r="B1069" t="str">
            <v>C77</v>
          </cell>
          <cell r="C1069" t="str">
            <v>เยื่อไผ่ แขนยาวขายาว ดอกไม้ชม พื้นเหลือง S</v>
          </cell>
        </row>
        <row r="1070">
          <cell r="A1070" t="str">
            <v>BC0077-XL</v>
          </cell>
          <cell r="B1070" t="str">
            <v>C77</v>
          </cell>
          <cell r="C1070" t="str">
            <v>เยื่อไผ่ แขนยาวขายาว ดอกไม้ชม พื้นเหลือง XL</v>
          </cell>
        </row>
        <row r="1071">
          <cell r="A1071" t="str">
            <v>BC0078-L</v>
          </cell>
          <cell r="B1071" t="str">
            <v>C78</v>
          </cell>
          <cell r="C1071" t="str">
            <v>เยื่อไผ่ แขนยาวขายาว ดอกไม้เทา พื้นเขียว L</v>
          </cell>
        </row>
        <row r="1072">
          <cell r="A1072" t="str">
            <v>BC0078-M</v>
          </cell>
          <cell r="B1072" t="str">
            <v>C78</v>
          </cell>
          <cell r="C1072" t="str">
            <v>เยื่อไผ่ แขนยาวขายาว ดอกไม้เทา พื้นเขียว M</v>
          </cell>
        </row>
        <row r="1073">
          <cell r="A1073" t="str">
            <v>BC0078-XL</v>
          </cell>
          <cell r="B1073" t="str">
            <v>C78</v>
          </cell>
          <cell r="C1073" t="str">
            <v>เยื่อไผ่ แขนยาวขายาว ดอกไม้เทา พื้นเขียว XL</v>
          </cell>
        </row>
        <row r="1074">
          <cell r="A1074" t="str">
            <v>BC0080-L</v>
          </cell>
          <cell r="B1074" t="str">
            <v>C80</v>
          </cell>
          <cell r="C1074" t="str">
            <v>เยื่อไผ่ แขนยาวขายาว ดอกไม้ พื้นฟ้า L</v>
          </cell>
        </row>
        <row r="1075">
          <cell r="A1075" t="str">
            <v>BC0080-M</v>
          </cell>
          <cell r="B1075" t="str">
            <v>C80</v>
          </cell>
          <cell r="C1075" t="str">
            <v>เยื่อไผ่ แขนยาวขายาว ดอกไม้ พื้นฟ้า M</v>
          </cell>
        </row>
        <row r="1076">
          <cell r="A1076" t="str">
            <v>BC0081-L</v>
          </cell>
          <cell r="B1076" t="str">
            <v>C81</v>
          </cell>
          <cell r="C1076" t="str">
            <v>เยื่อไผ่ แขนยาวขายาว ดอกไม้เงินพื้นชมพู L</v>
          </cell>
        </row>
        <row r="1077">
          <cell r="A1077" t="str">
            <v>BC0081-M</v>
          </cell>
          <cell r="B1077" t="str">
            <v>C81</v>
          </cell>
          <cell r="C1077" t="str">
            <v>เยื่อไผ่ แขนยาวขายาว ดอกไม้เงินพื้นชมพู M</v>
          </cell>
        </row>
        <row r="1078">
          <cell r="A1078" t="str">
            <v>BC0087-L</v>
          </cell>
          <cell r="B1078" t="str">
            <v>C87</v>
          </cell>
          <cell r="C1078" t="str">
            <v>เยื่อไผ่ แขนยาวขายาว ลายดอกไม้ ฟ้าอ่อน L</v>
          </cell>
        </row>
        <row r="1079">
          <cell r="A1079" t="str">
            <v>BC0087-M</v>
          </cell>
          <cell r="B1079" t="str">
            <v>C87</v>
          </cell>
          <cell r="C1079" t="str">
            <v>เยื่อไผ่ แขนยาวขายาว ลายดอกไม้ ฟ้าอ่อน M</v>
          </cell>
        </row>
        <row r="1080">
          <cell r="A1080" t="str">
            <v>BC0087-S</v>
          </cell>
          <cell r="B1080" t="str">
            <v>C87</v>
          </cell>
          <cell r="C1080" t="str">
            <v>เยื่อไผ่ แขนยาวขายาว ลายดอกไม้ ฟ้าอ่อน S</v>
          </cell>
        </row>
        <row r="1081">
          <cell r="A1081" t="str">
            <v>BC0087-XL</v>
          </cell>
          <cell r="B1081" t="str">
            <v>C87</v>
          </cell>
          <cell r="C1081" t="str">
            <v>เยื่อไผ่ แขนยาวขายาว ลายดอกไม้ ฟ้าอ่อน XL</v>
          </cell>
        </row>
        <row r="1082">
          <cell r="A1082" t="str">
            <v>BC0095-L</v>
          </cell>
          <cell r="B1082" t="str">
            <v>C95</v>
          </cell>
          <cell r="C1082" t="str">
            <v>เยื่อไผ่ แขนยาวขายาว ดอกชบา พื้นเขียวทะเล L</v>
          </cell>
        </row>
        <row r="1083">
          <cell r="A1083" t="str">
            <v>BC0095-M</v>
          </cell>
          <cell r="B1083" t="str">
            <v>C95</v>
          </cell>
          <cell r="C1083" t="str">
            <v>เยื่อไผ่ แขนยาวขายาว ดอกชบา พื้นเขียวทะเล M</v>
          </cell>
        </row>
        <row r="1084">
          <cell r="A1084" t="str">
            <v>BC0095-XL</v>
          </cell>
          <cell r="B1084" t="str">
            <v>C95</v>
          </cell>
          <cell r="C1084" t="str">
            <v>เยื่อไผ่ แขนยาวขายาว ดอกชบา พื้นเขียวทะเล XL</v>
          </cell>
        </row>
        <row r="1085">
          <cell r="A1085" t="str">
            <v>BC0096-L</v>
          </cell>
          <cell r="B1085" t="str">
            <v>C96</v>
          </cell>
          <cell r="C1085" t="str">
            <v>เยื่อไผ่ แขนยาวขายาว ดอกชบาชมพู พื้นชมพู L</v>
          </cell>
        </row>
        <row r="1086">
          <cell r="A1086" t="str">
            <v>BC0096-M</v>
          </cell>
          <cell r="B1086" t="str">
            <v>C96</v>
          </cell>
          <cell r="C1086" t="str">
            <v>เยื่อไผ่ แขนยาวขายาว ดอกชบาชมพู พื้นชมพู M</v>
          </cell>
        </row>
        <row r="1087">
          <cell r="A1087" t="str">
            <v>BC0096-XL</v>
          </cell>
          <cell r="B1087" t="str">
            <v>C96</v>
          </cell>
          <cell r="C1087" t="str">
            <v>เยื่อไผ่ แขนยาวขายาว ดอกชบาชมพู พื้นชมพู XL</v>
          </cell>
        </row>
        <row r="1088">
          <cell r="A1088" t="str">
            <v>BC0098-L</v>
          </cell>
          <cell r="B1088" t="str">
            <v>C98</v>
          </cell>
          <cell r="C1088" t="str">
            <v>เยื่อไผ่ แขนยาวขายาว โบตั๋น NEW L</v>
          </cell>
        </row>
        <row r="1089">
          <cell r="A1089" t="str">
            <v>BC0098-M</v>
          </cell>
          <cell r="B1089" t="str">
            <v>C98</v>
          </cell>
          <cell r="C1089" t="str">
            <v>เยื่อไผ่ แขนยาวขายาว โบตั๋น NEW M</v>
          </cell>
        </row>
        <row r="1090">
          <cell r="A1090" t="str">
            <v>BC0098-S</v>
          </cell>
          <cell r="B1090" t="str">
            <v>C98</v>
          </cell>
          <cell r="C1090" t="str">
            <v>เยื่อไผ่ แขนยาวขายาว โบตั๋น NEW S</v>
          </cell>
        </row>
        <row r="1091">
          <cell r="A1091" t="str">
            <v>BC0098-XL</v>
          </cell>
          <cell r="B1091" t="str">
            <v>C98</v>
          </cell>
          <cell r="C1091" t="str">
            <v>เยื่อไผ่ แขนยาวขายาว โบตั๋น NEW XL</v>
          </cell>
        </row>
        <row r="1092">
          <cell r="A1092" t="str">
            <v>BC0099-L</v>
          </cell>
          <cell r="B1092" t="str">
            <v>C99</v>
          </cell>
          <cell r="C1092" t="str">
            <v>เยื่อไผ่ แขนยาวขายาว โบตั๋น ฟ้า L</v>
          </cell>
        </row>
        <row r="1093">
          <cell r="A1093" t="str">
            <v>BC0099-M</v>
          </cell>
          <cell r="B1093" t="str">
            <v>C99</v>
          </cell>
          <cell r="C1093" t="str">
            <v>เยื่อไผ่ แขนยาวขายาว โบตั๋น ฟ้า M</v>
          </cell>
        </row>
        <row r="1094">
          <cell r="A1094" t="str">
            <v>BC0099-XL</v>
          </cell>
          <cell r="B1094" t="str">
            <v>C99</v>
          </cell>
          <cell r="C1094" t="str">
            <v>เยื่อไผ่ แขนยาวขายาว โบตั๋น ฟ้า XL</v>
          </cell>
        </row>
        <row r="1095">
          <cell r="A1095" t="str">
            <v>BC0100-L</v>
          </cell>
          <cell r="B1095" t="str">
            <v>C100</v>
          </cell>
          <cell r="C1095" t="str">
            <v>เยื่อไผ่ แขนยาวขายาว โบตั๋นมิ้น L</v>
          </cell>
        </row>
        <row r="1096">
          <cell r="A1096" t="str">
            <v>BC0100-M</v>
          </cell>
          <cell r="B1096" t="str">
            <v>C100</v>
          </cell>
          <cell r="C1096" t="str">
            <v>เยื่อไผ่ แขนยาวขายาว โบตั๋นมิ้น M</v>
          </cell>
        </row>
        <row r="1097">
          <cell r="A1097" t="str">
            <v>BC0100-XL</v>
          </cell>
          <cell r="B1097" t="str">
            <v>C100</v>
          </cell>
          <cell r="C1097" t="str">
            <v>เยื่อไผ่ แขนยาวขายาว โบตั๋นมิ้น XL</v>
          </cell>
        </row>
        <row r="1098">
          <cell r="A1098" t="str">
            <v>BC0101-XL</v>
          </cell>
          <cell r="B1098" t="str">
            <v>C101</v>
          </cell>
          <cell r="C1098" t="str">
            <v>เยื่อไผ่ แขนยาวขายาว โบตั๋นสีเหลือง XL</v>
          </cell>
        </row>
        <row r="1099">
          <cell r="A1099" t="str">
            <v>BC0102-L</v>
          </cell>
          <cell r="B1099" t="str">
            <v>C102</v>
          </cell>
          <cell r="C1099" t="str">
            <v>เยื่อไผ่ แขนยาวขายาว โบตั๋น สีชมพู L</v>
          </cell>
        </row>
        <row r="1100">
          <cell r="A1100" t="str">
            <v>BC0102-M</v>
          </cell>
          <cell r="B1100" t="str">
            <v>C102</v>
          </cell>
          <cell r="C1100" t="str">
            <v>เยื่อไผ่ แขนยาวขายาว โบตั๋น สีชมพู M</v>
          </cell>
        </row>
        <row r="1101">
          <cell r="A1101" t="str">
            <v>BC0102-XL</v>
          </cell>
          <cell r="B1101" t="str">
            <v>C102</v>
          </cell>
          <cell r="C1101" t="str">
            <v>เยื่อไผ่ แขนยาวขายาว โบตั๋น สีชมพู XL</v>
          </cell>
        </row>
        <row r="1102">
          <cell r="A1102" t="str">
            <v>BC0103-L</v>
          </cell>
          <cell r="B1102" t="str">
            <v>C103</v>
          </cell>
          <cell r="C1102" t="str">
            <v>เยื่อไผ่ แขนยาวขายาว ดอกทิวลิป พื้นฟ้า L</v>
          </cell>
        </row>
        <row r="1103">
          <cell r="A1103" t="str">
            <v>BC0103-M</v>
          </cell>
          <cell r="B1103" t="str">
            <v>C103</v>
          </cell>
          <cell r="C1103" t="str">
            <v>เยื่อไผ่ แขนยาวขายาว ดอกทิวลิป พื้นฟ้า M</v>
          </cell>
        </row>
        <row r="1104">
          <cell r="A1104" t="str">
            <v>BC0103-S</v>
          </cell>
          <cell r="B1104" t="str">
            <v>C103</v>
          </cell>
          <cell r="C1104" t="str">
            <v>เยื่อไผ่ แขนยาวขายาว ดอกทิวลิป พื้นฟ้า S</v>
          </cell>
        </row>
        <row r="1105">
          <cell r="A1105" t="str">
            <v>BC0103-XL</v>
          </cell>
          <cell r="B1105" t="str">
            <v>C103</v>
          </cell>
          <cell r="C1105" t="str">
            <v>เยื่อไผ่ แขนยาวขายาว ดอกทิวลิป พื้นฟ้า XL</v>
          </cell>
        </row>
        <row r="1106">
          <cell r="A1106" t="str">
            <v>BC0106-L</v>
          </cell>
          <cell r="B1106" t="str">
            <v>C106</v>
          </cell>
          <cell r="C1106" t="str">
            <v>เยื่อไผ่ แขนยาวขายาว พีช TropicaL L</v>
          </cell>
        </row>
        <row r="1107">
          <cell r="A1107" t="str">
            <v>BC0106-M</v>
          </cell>
          <cell r="B1107" t="str">
            <v>C106</v>
          </cell>
          <cell r="C1107" t="str">
            <v>เยื่อไผ่ แขนยาวขายาว พีช TropicaL M</v>
          </cell>
        </row>
        <row r="1108">
          <cell r="A1108" t="str">
            <v>BC0106-S</v>
          </cell>
          <cell r="B1108" t="str">
            <v>C106</v>
          </cell>
          <cell r="C1108" t="str">
            <v>เยื่อไผ่ แขนยาวขายาว พีช TropicaL S</v>
          </cell>
        </row>
        <row r="1109">
          <cell r="A1109" t="str">
            <v>BC0106-XL</v>
          </cell>
          <cell r="B1109" t="str">
            <v>C106</v>
          </cell>
          <cell r="C1109" t="str">
            <v>เยื่อไผ่ แขนยาวขายาว พีช TropicaL XL</v>
          </cell>
        </row>
        <row r="1110">
          <cell r="A1110" t="str">
            <v>BC0108-F</v>
          </cell>
          <cell r="B1110" t="str">
            <v>C108</v>
          </cell>
          <cell r="C1110" t="str">
            <v>เยื่อไผ่ แขนยาวขายาว พีช Freesize</v>
          </cell>
        </row>
        <row r="1111">
          <cell r="A1111" t="str">
            <v>BC0109-L</v>
          </cell>
          <cell r="B1111" t="str">
            <v>C109</v>
          </cell>
          <cell r="C1111" t="str">
            <v>เยื่อไผ่ แขนยาวขายาว ผลส้ม นู้ด L</v>
          </cell>
        </row>
        <row r="1112">
          <cell r="A1112" t="str">
            <v>BC0109-M</v>
          </cell>
          <cell r="B1112" t="str">
            <v>C109</v>
          </cell>
          <cell r="C1112" t="str">
            <v>เยื่อไผ่ แขนยาวขายาว ผลส้ม นู้ด M</v>
          </cell>
        </row>
        <row r="1113">
          <cell r="A1113" t="str">
            <v>BC0109-XL</v>
          </cell>
          <cell r="B1113" t="str">
            <v>C109</v>
          </cell>
          <cell r="C1113" t="str">
            <v>เยื่อไผ่ แขนยาวขายาว ผลส้ม นู้ด XL</v>
          </cell>
        </row>
        <row r="1114">
          <cell r="A1114" t="str">
            <v>BC0116-L</v>
          </cell>
          <cell r="B1114" t="str">
            <v>C116</v>
          </cell>
          <cell r="C1114" t="str">
            <v>เยื่อไผ่ แขนยาวขายาว เทาเข้ม L</v>
          </cell>
        </row>
        <row r="1115">
          <cell r="A1115" t="str">
            <v>BC0116-M</v>
          </cell>
          <cell r="B1115" t="str">
            <v>C116</v>
          </cell>
          <cell r="C1115" t="str">
            <v>เยื่อไผ่ แขนยาวขายาว เทาเข้ม M</v>
          </cell>
        </row>
        <row r="1116">
          <cell r="A1116" t="str">
            <v>BC0116-S</v>
          </cell>
          <cell r="B1116" t="str">
            <v>C116</v>
          </cell>
          <cell r="C1116" t="str">
            <v>เยื่อไผ่ แขนยาวขายาว เทาเข้ม S</v>
          </cell>
        </row>
        <row r="1117">
          <cell r="A1117" t="str">
            <v>BC0116-XL</v>
          </cell>
          <cell r="B1117" t="str">
            <v>C116</v>
          </cell>
          <cell r="C1117" t="str">
            <v>เยื่อไผ่ แขนยาวขายาว เทาเข้ม XL</v>
          </cell>
        </row>
        <row r="1118">
          <cell r="A1118" t="str">
            <v>BC0117-L</v>
          </cell>
          <cell r="B1118" t="str">
            <v>C117</v>
          </cell>
          <cell r="C1118" t="str">
            <v>เยื่อไผ่ แขนยาวขายาว ลายทาง พาสเทล L</v>
          </cell>
        </row>
        <row r="1119">
          <cell r="A1119" t="str">
            <v>BC0117-M</v>
          </cell>
          <cell r="B1119" t="str">
            <v>C117</v>
          </cell>
          <cell r="C1119" t="str">
            <v>เยื่อไผ่ แขนยาวขายาว ลายทาง พาสเทล M</v>
          </cell>
        </row>
        <row r="1120">
          <cell r="A1120" t="str">
            <v>BC0117-S</v>
          </cell>
          <cell r="B1120" t="str">
            <v>C117</v>
          </cell>
          <cell r="C1120" t="str">
            <v>เยื่อไผ่ แขนยาวขายาว ลายทาง พาสเทล S</v>
          </cell>
        </row>
        <row r="1121">
          <cell r="A1121" t="str">
            <v>BC0117-XL</v>
          </cell>
          <cell r="B1121" t="str">
            <v>C117</v>
          </cell>
          <cell r="C1121" t="str">
            <v>เยื่อไผ่ แขนยาวขายาว ลายทาง พาสเทล XL</v>
          </cell>
        </row>
        <row r="1122">
          <cell r="A1122" t="str">
            <v>BC0118-L</v>
          </cell>
          <cell r="B1122" t="str">
            <v>C118</v>
          </cell>
          <cell r="C1122" t="str">
            <v>เยื่อไผ่ แขนยาวขายาว ลายทางเขียว L</v>
          </cell>
        </row>
        <row r="1123">
          <cell r="A1123" t="str">
            <v>BC0118-M</v>
          </cell>
          <cell r="B1123" t="str">
            <v>C118</v>
          </cell>
          <cell r="C1123" t="str">
            <v>เยื่อไผ่ แขนยาวขายาว ลายทางเขียว M</v>
          </cell>
        </row>
        <row r="1124">
          <cell r="A1124" t="str">
            <v>BC0118-S</v>
          </cell>
          <cell r="B1124" t="str">
            <v>C118</v>
          </cell>
          <cell r="C1124" t="str">
            <v>เยื่อไผ่ แขนยาวขายาว ลายทางเขียว S</v>
          </cell>
        </row>
        <row r="1125">
          <cell r="A1125" t="str">
            <v>BC0118-XL</v>
          </cell>
          <cell r="B1125" t="str">
            <v>C118</v>
          </cell>
          <cell r="C1125" t="str">
            <v>เยื่อไผ่ แขนยาวขายาว ลายทางเขียว XL</v>
          </cell>
        </row>
        <row r="1126">
          <cell r="A1126" t="str">
            <v>BC0119-L</v>
          </cell>
          <cell r="B1126" t="str">
            <v>C119</v>
          </cell>
          <cell r="C1126" t="str">
            <v>เยื่อไผ่ แขนยาวขายาว ตาราง ดำขาว L</v>
          </cell>
        </row>
        <row r="1127">
          <cell r="A1127" t="str">
            <v>BC0119-M</v>
          </cell>
          <cell r="B1127" t="str">
            <v>C119</v>
          </cell>
          <cell r="C1127" t="str">
            <v>เยื่อไผ่ แขนยาวขายาว ตาราง ดำขาว M</v>
          </cell>
        </row>
        <row r="1128">
          <cell r="A1128" t="str">
            <v>BC0119-XL</v>
          </cell>
          <cell r="B1128" t="str">
            <v>C119</v>
          </cell>
          <cell r="C1128" t="str">
            <v>เยื่อไผ่ แขนยาวขายาว ตาราง ดำขาว XL</v>
          </cell>
        </row>
        <row r="1129">
          <cell r="A1129" t="str">
            <v>BC0121-L</v>
          </cell>
          <cell r="B1129" t="str">
            <v>JC121</v>
          </cell>
          <cell r="C1129" t="str">
            <v>เยื่อไผ่ แขนยาวขายาว ขาว ลายจุด TropicaL L ตัวโชว์</v>
          </cell>
        </row>
        <row r="1130">
          <cell r="A1130" t="str">
            <v>BC0121-M</v>
          </cell>
          <cell r="B1130" t="str">
            <v>JC121</v>
          </cell>
          <cell r="C1130" t="str">
            <v>เยื่อไผ่ แขนยาวขายาว ขาว ลายจุด TropicaL M ตัวโชว์</v>
          </cell>
        </row>
        <row r="1131">
          <cell r="A1131" t="str">
            <v>BC0121-S</v>
          </cell>
          <cell r="B1131" t="str">
            <v>JC121</v>
          </cell>
          <cell r="C1131" t="str">
            <v>เยื่อไผ่ แขนยาวขายาว ขาว ลายจุด TropicaL S ตัวโชว์</v>
          </cell>
        </row>
        <row r="1132">
          <cell r="A1132" t="str">
            <v>BC0121-XL</v>
          </cell>
          <cell r="B1132" t="str">
            <v>JC121</v>
          </cell>
          <cell r="C1132" t="str">
            <v>เยื่อไผ่ แขนยาวขายาว ขาว ลายจุด TropicaL XL ตัวโชว์</v>
          </cell>
        </row>
        <row r="1133">
          <cell r="A1133" t="str">
            <v>BC0122-L</v>
          </cell>
          <cell r="B1133" t="str">
            <v>C122</v>
          </cell>
          <cell r="C1133" t="str">
            <v>เยื่อไผ่ แขนยาวขายาว ชมพู ลายจุด TropicaL L</v>
          </cell>
        </row>
        <row r="1134">
          <cell r="A1134" t="str">
            <v>BC0122-M</v>
          </cell>
          <cell r="B1134" t="str">
            <v>C122</v>
          </cell>
          <cell r="C1134" t="str">
            <v>เยื่อไผ่ แขนยาวขายาว ชมพู ลายจุด TropicaL M</v>
          </cell>
        </row>
        <row r="1135">
          <cell r="A1135" t="str">
            <v>BC0122-S</v>
          </cell>
          <cell r="B1135" t="str">
            <v>C122</v>
          </cell>
          <cell r="C1135" t="str">
            <v>เยื่อไผ่ แขนยาวขายาว ชมพู ลายจุด TropicaL S</v>
          </cell>
        </row>
        <row r="1136">
          <cell r="A1136" t="str">
            <v>BC0122-XL</v>
          </cell>
          <cell r="B1136" t="str">
            <v>C122</v>
          </cell>
          <cell r="C1136" t="str">
            <v>เยื่อไผ่ แขนยาวขายาว ชมพู ลายจุด TropicaL XL</v>
          </cell>
        </row>
        <row r="1137">
          <cell r="A1137" t="str">
            <v>BC0123-L</v>
          </cell>
          <cell r="B1137" t="str">
            <v>C123</v>
          </cell>
          <cell r="C1137" t="str">
            <v>เยื่อไผ่แขนยาวขายาวขาวจุดฟ้า-L</v>
          </cell>
        </row>
        <row r="1138">
          <cell r="A1138" t="str">
            <v>BC0123-M</v>
          </cell>
          <cell r="B1138" t="str">
            <v>C123</v>
          </cell>
          <cell r="C1138" t="str">
            <v>เยื่อไผ่แขนยาวขายาวขาวจุดฟ้า-M</v>
          </cell>
        </row>
        <row r="1139">
          <cell r="A1139" t="str">
            <v>BC0123-S</v>
          </cell>
          <cell r="B1139" t="str">
            <v>C123</v>
          </cell>
          <cell r="C1139" t="str">
            <v>เยื่อไผ่ แขนยาวขายาว ขาว จุดฟ้า S</v>
          </cell>
        </row>
        <row r="1140">
          <cell r="A1140" t="str">
            <v>BC0123-XL</v>
          </cell>
          <cell r="B1140" t="str">
            <v>C123</v>
          </cell>
          <cell r="C1140" t="str">
            <v>เยื่อไผ่แขนยาวขายาวขาวจุดฟ้า-XL</v>
          </cell>
        </row>
        <row r="1141">
          <cell r="A1141" t="str">
            <v>BC0125-M</v>
          </cell>
          <cell r="B1141" t="str">
            <v>C125</v>
          </cell>
          <cell r="C1141" t="str">
            <v>เยื่อไผ่ แขนยาวขายาว เขียวลายจุด TropicaL M</v>
          </cell>
        </row>
        <row r="1142">
          <cell r="A1142" t="str">
            <v>BC0130-L</v>
          </cell>
          <cell r="B1142" t="str">
            <v>C130</v>
          </cell>
          <cell r="C1142" t="str">
            <v>เยื่อไผ่ แขนยาวขายาว Map L</v>
          </cell>
        </row>
        <row r="1143">
          <cell r="A1143" t="str">
            <v>BC0130-M</v>
          </cell>
          <cell r="B1143" t="str">
            <v>C130</v>
          </cell>
          <cell r="C1143" t="str">
            <v>เยื่อไผ่ แขนยาวขายาว Map M</v>
          </cell>
        </row>
        <row r="1144">
          <cell r="A1144" t="str">
            <v>BC0130-S</v>
          </cell>
          <cell r="B1144" t="str">
            <v>C130</v>
          </cell>
          <cell r="C1144" t="str">
            <v>เยื่อไผ่ แขนยาวขายาว Map S</v>
          </cell>
        </row>
        <row r="1145">
          <cell r="A1145" t="str">
            <v>BC0133-L</v>
          </cell>
          <cell r="B1145" t="str">
            <v>C133</v>
          </cell>
          <cell r="C1145" t="str">
            <v>เยื่อไผ่ แขนยาวขายาว ดาว สีฟ้า L</v>
          </cell>
        </row>
        <row r="1146">
          <cell r="A1146" t="str">
            <v>BC0133-M</v>
          </cell>
          <cell r="B1146" t="str">
            <v>C133</v>
          </cell>
          <cell r="C1146" t="str">
            <v>เยื่อไผ่ แขนยาวขายาว ดาว สีฟ้า M</v>
          </cell>
        </row>
        <row r="1147">
          <cell r="A1147" t="str">
            <v>BC0133-S</v>
          </cell>
          <cell r="B1147" t="str">
            <v>C133</v>
          </cell>
          <cell r="C1147" t="str">
            <v>เยื่อไผ่ แขนยาวขายาว ดาว สีฟ้า S</v>
          </cell>
        </row>
        <row r="1148">
          <cell r="A1148" t="str">
            <v>BC0133-XL</v>
          </cell>
          <cell r="B1148" t="str">
            <v>C133</v>
          </cell>
          <cell r="C1148" t="str">
            <v>เยื่อไผ่ แขนยาวขายาว ดาว สีฟ้า XL</v>
          </cell>
        </row>
        <row r="1149">
          <cell r="A1149" t="str">
            <v>BC0134-L</v>
          </cell>
          <cell r="B1149" t="str">
            <v>C134</v>
          </cell>
          <cell r="C1149" t="str">
            <v>เยื่อไผ่ แขนยาวขายาว หมีการ์ตูน ชมพู L</v>
          </cell>
        </row>
        <row r="1150">
          <cell r="A1150" t="str">
            <v>BC0134-M</v>
          </cell>
          <cell r="B1150" t="str">
            <v>C134</v>
          </cell>
          <cell r="C1150" t="str">
            <v>เยื่อไผ่ แขนยาวขายาว หมีการ์ตูน ชมพู M</v>
          </cell>
        </row>
        <row r="1151">
          <cell r="A1151" t="str">
            <v>BC0134-S</v>
          </cell>
          <cell r="B1151" t="str">
            <v>C134</v>
          </cell>
          <cell r="C1151" t="str">
            <v>เยื่อไผ่ แขนยาวขายาว หมีการ์ตูน ชมพู S</v>
          </cell>
        </row>
        <row r="1152">
          <cell r="A1152" t="str">
            <v>BC0134-XL</v>
          </cell>
          <cell r="B1152" t="str">
            <v>C134</v>
          </cell>
          <cell r="C1152" t="str">
            <v>เยื่อไผ่ แขนยาวขายาว หมีการ์ตูน ชมพู XL</v>
          </cell>
        </row>
        <row r="1153">
          <cell r="A1153" t="str">
            <v>BC0135-L</v>
          </cell>
          <cell r="B1153" t="str">
            <v>C135</v>
          </cell>
          <cell r="C1153" t="str">
            <v>เยื่อไผ่ แขนยาวขายาว ลายอาร์ทพาสเทล L</v>
          </cell>
        </row>
        <row r="1154">
          <cell r="A1154" t="str">
            <v>BC0135-M</v>
          </cell>
          <cell r="B1154" t="str">
            <v>C135</v>
          </cell>
          <cell r="C1154" t="str">
            <v>เยื่อไผ่  แขนยาวขายาว ลายอาร์ทพาสเทล M</v>
          </cell>
        </row>
        <row r="1155">
          <cell r="A1155" t="str">
            <v>BC0135-S</v>
          </cell>
          <cell r="B1155" t="str">
            <v>C135</v>
          </cell>
          <cell r="C1155" t="str">
            <v>เยื่อไผ่  แขนยาวขายาว ลายอาร์ทพาสเทล S</v>
          </cell>
        </row>
        <row r="1156">
          <cell r="A1156" t="str">
            <v>BC0135-XL</v>
          </cell>
          <cell r="B1156" t="str">
            <v>C135</v>
          </cell>
          <cell r="C1156" t="str">
            <v>เยื่อไผ่ แขนยาวขายาว ลายอาร์ทพาสเทล XL</v>
          </cell>
        </row>
        <row r="1157">
          <cell r="A1157" t="str">
            <v>BC0137-L</v>
          </cell>
          <cell r="B1157" t="str">
            <v>C137</v>
          </cell>
        </row>
        <row r="1158">
          <cell r="A1158" t="str">
            <v>BC0137-M</v>
          </cell>
          <cell r="B1158" t="str">
            <v>C137</v>
          </cell>
        </row>
        <row r="1159">
          <cell r="A1159" t="str">
            <v>BC0137-S</v>
          </cell>
          <cell r="B1159" t="str">
            <v>C137</v>
          </cell>
        </row>
        <row r="1160">
          <cell r="A1160" t="str">
            <v>BC0137-XL</v>
          </cell>
          <cell r="B1160" t="str">
            <v>C137</v>
          </cell>
        </row>
        <row r="1161">
          <cell r="A1161" t="str">
            <v>BC0142-L</v>
          </cell>
          <cell r="B1161" t="str">
            <v>C142</v>
          </cell>
          <cell r="C1161" t="str">
            <v>เยื่อไผ่ แขนยาวขายาว คอวี ฮาวายเขียว L</v>
          </cell>
        </row>
        <row r="1162">
          <cell r="A1162" t="str">
            <v>BC0142-M</v>
          </cell>
          <cell r="B1162" t="str">
            <v>C142</v>
          </cell>
          <cell r="C1162" t="str">
            <v>เยื่อไผ่ แขนยาวขายาว คอวี ฮาวายเขียว M</v>
          </cell>
        </row>
        <row r="1163">
          <cell r="A1163" t="str">
            <v>BC0142-S</v>
          </cell>
          <cell r="B1163" t="str">
            <v>C142</v>
          </cell>
          <cell r="C1163" t="str">
            <v>เยื่อไผ่ แขนยาวขายาว คอวี ฮาวายเขียว S</v>
          </cell>
        </row>
        <row r="1164">
          <cell r="A1164" t="str">
            <v>BC0142-XL</v>
          </cell>
          <cell r="B1164" t="str">
            <v>C142</v>
          </cell>
          <cell r="C1164" t="str">
            <v>เยื่อไผ่ แขนยาวขายาว คอวี ฮาวายเขียว XL</v>
          </cell>
        </row>
        <row r="1165">
          <cell r="A1165" t="str">
            <v>BC0143-L</v>
          </cell>
          <cell r="B1165" t="str">
            <v>C143</v>
          </cell>
          <cell r="C1165" t="str">
            <v>เยื่อไผ่ แขนยาวขายาว คอวี ดอกไม้ สีโอรส L</v>
          </cell>
        </row>
        <row r="1166">
          <cell r="A1166" t="str">
            <v>BC0143-M</v>
          </cell>
          <cell r="B1166" t="str">
            <v>C143</v>
          </cell>
          <cell r="C1166" t="str">
            <v>เยื่อไผ่ แขนยาวขายาว คอวี ดอกไม้ สีโอรส M</v>
          </cell>
        </row>
        <row r="1167">
          <cell r="A1167" t="str">
            <v>BC0143-S</v>
          </cell>
          <cell r="B1167" t="str">
            <v>C143</v>
          </cell>
          <cell r="C1167" t="str">
            <v>เยื่อไผ่ แขนยาวขายาว คอวี ดอกไม้ สีโอรส S</v>
          </cell>
        </row>
        <row r="1168">
          <cell r="A1168" t="str">
            <v>BC0143-XL</v>
          </cell>
          <cell r="B1168" t="str">
            <v>C143</v>
          </cell>
          <cell r="C1168" t="str">
            <v>เยื่อไผ่ แขนยาวขายาว คอวี ดอกไม้ สีโอรส XL</v>
          </cell>
        </row>
        <row r="1169">
          <cell r="A1169" t="str">
            <v>BC0145-L</v>
          </cell>
          <cell r="B1169" t="str">
            <v>C145</v>
          </cell>
          <cell r="C1169" t="str">
            <v>เยื่อไผ่ แขนยาวขายาว คอวี โบฮีเมี่ยน ฟ้า L</v>
          </cell>
        </row>
        <row r="1170">
          <cell r="A1170" t="str">
            <v>BC0145-M</v>
          </cell>
          <cell r="B1170" t="str">
            <v>C145</v>
          </cell>
          <cell r="C1170" t="str">
            <v>เยื่อไผ่ แขนยาวขายาว คอวี โบฮีเมี่ยน ฟ้า M</v>
          </cell>
        </row>
        <row r="1171">
          <cell r="A1171" t="str">
            <v>BC0145-S</v>
          </cell>
          <cell r="B1171" t="str">
            <v>C145</v>
          </cell>
          <cell r="C1171" t="str">
            <v>เยื่อไผ่ แขนยาวขายาว คอวี โบฮีเมี่ยน ฟ้า S</v>
          </cell>
        </row>
        <row r="1172">
          <cell r="A1172" t="str">
            <v>BC0146-L</v>
          </cell>
          <cell r="B1172" t="str">
            <v>C146</v>
          </cell>
          <cell r="C1172" t="str">
            <v>เยื่อไผ่ แขนยาวขายาว คอวี เขียวอ่อน L</v>
          </cell>
        </row>
        <row r="1173">
          <cell r="A1173" t="str">
            <v>BC0146-M</v>
          </cell>
          <cell r="B1173" t="str">
            <v>C146</v>
          </cell>
          <cell r="C1173" t="str">
            <v>เยื่อไผ่ แขนยาวขายาว คอวี เขียวอ่อน M</v>
          </cell>
        </row>
        <row r="1174">
          <cell r="A1174" t="str">
            <v>BC0146-S</v>
          </cell>
          <cell r="B1174" t="str">
            <v>C146</v>
          </cell>
          <cell r="C1174" t="str">
            <v>เยื่อไผ่ แขนยาวขายาว คอวี เขียวอ่อน S</v>
          </cell>
        </row>
        <row r="1175">
          <cell r="A1175" t="str">
            <v>BC0146-XL</v>
          </cell>
          <cell r="B1175" t="str">
            <v>C146</v>
          </cell>
          <cell r="C1175" t="str">
            <v>เยื่อไผ่ แขนยาวขายาว คอวี เขียวอ่อน XL</v>
          </cell>
        </row>
        <row r="1176">
          <cell r="A1176" t="str">
            <v>BC0147-L</v>
          </cell>
          <cell r="B1176" t="str">
            <v>C147</v>
          </cell>
          <cell r="C1176" t="str">
            <v>เยื่อไผ่ แขนยาวขายาว คอวี ชมพูอ่อน L</v>
          </cell>
        </row>
        <row r="1177">
          <cell r="A1177" t="str">
            <v>BC0147-M</v>
          </cell>
          <cell r="B1177" t="str">
            <v>C147</v>
          </cell>
          <cell r="C1177" t="str">
            <v>เยื่อไผ่ แขนยาวขายาว คอวี ชมพูอ่อน M</v>
          </cell>
        </row>
        <row r="1178">
          <cell r="A1178" t="str">
            <v>BC0147-S</v>
          </cell>
          <cell r="B1178" t="str">
            <v>C147</v>
          </cell>
          <cell r="C1178" t="str">
            <v>เยื่อไผ่ แขนยาวขายาว คอวี ชมพูอ่อน S</v>
          </cell>
        </row>
        <row r="1179">
          <cell r="A1179" t="str">
            <v>BC0147-XL</v>
          </cell>
          <cell r="B1179" t="str">
            <v>C147</v>
          </cell>
          <cell r="C1179" t="str">
            <v>เยื่อไผ่ แขนยาวขายาว คอวี ชมพูอ่อน XL</v>
          </cell>
        </row>
        <row r="1180">
          <cell r="A1180" t="str">
            <v>BC0148-L</v>
          </cell>
          <cell r="B1180" t="str">
            <v>C148</v>
          </cell>
          <cell r="C1180" t="str">
            <v>เยื่อไผ่ แขนยาวขายาว คอวี ลายนกสีชมพู L</v>
          </cell>
        </row>
        <row r="1181">
          <cell r="A1181" t="str">
            <v>BC0148-M</v>
          </cell>
          <cell r="B1181" t="str">
            <v>C148</v>
          </cell>
          <cell r="C1181" t="str">
            <v>เยื่อไผ่ แขนยาวขายาว คอวี ลายนกสีชมพู M</v>
          </cell>
        </row>
        <row r="1182">
          <cell r="A1182" t="str">
            <v>BC0148-S</v>
          </cell>
          <cell r="B1182" t="str">
            <v>C148</v>
          </cell>
          <cell r="C1182" t="str">
            <v>เยื่อไผ่ แขนยาวขายาว คอวี ลายนกสีชมพู S</v>
          </cell>
        </row>
        <row r="1183">
          <cell r="A1183" t="str">
            <v>BC0148-XL</v>
          </cell>
          <cell r="B1183" t="str">
            <v>C148</v>
          </cell>
          <cell r="C1183" t="str">
            <v>เยื่อไผ่ แขนยาวขายาว คอวี ลายนกสีชมพู XL</v>
          </cell>
        </row>
        <row r="1184">
          <cell r="A1184" t="str">
            <v>BC0149-L</v>
          </cell>
          <cell r="B1184" t="str">
            <v>C149</v>
          </cell>
          <cell r="C1184" t="str">
            <v>เยื่อไผ่ แขนยาวขายาว คอวี ดอกโบตั๋นพื้น เขียวมิ้น L</v>
          </cell>
        </row>
        <row r="1185">
          <cell r="A1185" t="str">
            <v>BC0149-M</v>
          </cell>
          <cell r="B1185" t="str">
            <v>C149</v>
          </cell>
          <cell r="C1185" t="str">
            <v>เยื่อไผ่ แขนยาวขายาว คอวี ดอกโบตั๋นพื้น เขียวมิ้น M</v>
          </cell>
        </row>
        <row r="1186">
          <cell r="A1186" t="str">
            <v>BC0149-XL</v>
          </cell>
          <cell r="B1186" t="str">
            <v>C149</v>
          </cell>
          <cell r="C1186" t="str">
            <v>เยื่อไผ่ แขนยาวขายาว คอวี ดอกโบตั๋นพื้น เขียวมิ้น XL</v>
          </cell>
        </row>
        <row r="1187">
          <cell r="A1187" t="str">
            <v>BC0150-L</v>
          </cell>
          <cell r="B1187" t="str">
            <v>C150</v>
          </cell>
          <cell r="C1187" t="str">
            <v>เยื่อไผ่ แขนยาวขายาว คอวี ดอกโบตั๋น พื้นครีม L</v>
          </cell>
        </row>
        <row r="1188">
          <cell r="A1188" t="str">
            <v>BC0150-M</v>
          </cell>
          <cell r="B1188" t="str">
            <v>C150</v>
          </cell>
          <cell r="C1188" t="str">
            <v>เยื่อไผ่ แขนยาวขายาว คอวี ดอกโบตั๋น พื้นครีม M</v>
          </cell>
        </row>
        <row r="1189">
          <cell r="A1189" t="str">
            <v>BC0150-XL</v>
          </cell>
          <cell r="B1189" t="str">
            <v>C150</v>
          </cell>
          <cell r="C1189" t="str">
            <v>เยื่อไผ่ แขนยาวขายาว คอวี ดอกโบตั๋น พื้นครีม XL</v>
          </cell>
        </row>
        <row r="1190">
          <cell r="A1190" t="str">
            <v>BC0151-L</v>
          </cell>
          <cell r="B1190" t="str">
            <v>C151</v>
          </cell>
          <cell r="C1190" t="str">
            <v>เยื่อไผ่ แขนยาวขายาว คอวี ดอกโบตั๋น พื้นชมพู L</v>
          </cell>
        </row>
        <row r="1191">
          <cell r="A1191" t="str">
            <v>BC0151-M</v>
          </cell>
          <cell r="B1191" t="str">
            <v>C151</v>
          </cell>
          <cell r="C1191" t="str">
            <v>เยื่อไผ่ แขนยาวขายาว คอวี ดอกโบตั๋น พื้นชมพู M</v>
          </cell>
        </row>
        <row r="1192">
          <cell r="A1192" t="str">
            <v>BC0151-XL</v>
          </cell>
          <cell r="B1192" t="str">
            <v>C151</v>
          </cell>
          <cell r="C1192" t="str">
            <v>เยื่อไผ่ แขนยาวขายาว คอวี ดอกโบตั๋น พื้นชมพู XL</v>
          </cell>
        </row>
        <row r="1193">
          <cell r="A1193" t="str">
            <v>BC0152-L</v>
          </cell>
          <cell r="B1193" t="str">
            <v>C152</v>
          </cell>
          <cell r="C1193" t="str">
            <v>เยื่อไผ่ แขนยาวขายาว คอวี ดอกโบตั๋น พื้นม่วงอ่อน ขอบชมพู L</v>
          </cell>
        </row>
        <row r="1194">
          <cell r="A1194" t="str">
            <v>BC0152-M</v>
          </cell>
          <cell r="B1194" t="str">
            <v>C152</v>
          </cell>
          <cell r="C1194" t="str">
            <v>เยื่อไผ่ แขนยาวขายาว คอวี ดอกโบตั๋น พื้นม่วงอ่อน ขอบชมพู M</v>
          </cell>
        </row>
        <row r="1195">
          <cell r="A1195" t="str">
            <v>BC0152-XL</v>
          </cell>
          <cell r="B1195" t="str">
            <v>C152</v>
          </cell>
          <cell r="C1195" t="str">
            <v>เยื่อไผ่ แขนยาวขายาว คอวี ดอกโบตั๋น พื้นม่วงอ่อน ขอบชมพู XL</v>
          </cell>
        </row>
        <row r="1196">
          <cell r="A1196" t="str">
            <v>BC0157-L</v>
          </cell>
          <cell r="B1196" t="str">
            <v>JC157</v>
          </cell>
          <cell r="C1196" t="str">
            <v>เยื่อไผ่ แขนยาวขายาว คอบัว ลายจุด  L ตัวโชว์</v>
          </cell>
        </row>
        <row r="1197">
          <cell r="A1197" t="str">
            <v>BC0157-M</v>
          </cell>
          <cell r="B1197" t="str">
            <v>JC157</v>
          </cell>
          <cell r="C1197" t="str">
            <v>เยื่อไผ่ แขนยาวขายาว คอบัว ลายจุด  M ตัวโชว์</v>
          </cell>
        </row>
        <row r="1198">
          <cell r="A1198" t="str">
            <v>BC0157-S</v>
          </cell>
          <cell r="B1198" t="str">
            <v>JC157</v>
          </cell>
          <cell r="C1198" t="str">
            <v>เยื่อไผ่ แขนยาวขายาว คอบัว ลายจุด  S ตัวโชว์</v>
          </cell>
        </row>
        <row r="1199">
          <cell r="A1199" t="str">
            <v>BC0157-XL</v>
          </cell>
          <cell r="B1199" t="str">
            <v>JC157</v>
          </cell>
          <cell r="C1199" t="str">
            <v>เยื่อไผ่ แขนยาวขายาว คอบัว ลายจุด  XL ตัวโชว์</v>
          </cell>
        </row>
        <row r="1200">
          <cell r="A1200" t="str">
            <v>BC0158-L</v>
          </cell>
          <cell r="B1200" t="str">
            <v>C158</v>
          </cell>
          <cell r="C1200" t="str">
            <v>เยื่อไผ่ แขนยาวขายาว คอบัว สีโอรส  L</v>
          </cell>
        </row>
        <row r="1201">
          <cell r="A1201" t="str">
            <v>BC0158-M</v>
          </cell>
          <cell r="B1201" t="str">
            <v>JC158</v>
          </cell>
          <cell r="C1201" t="str">
            <v>เยื่อไผ่ แขนยาวขายาว คอบัว สีโอรส  M ตัวโชว์</v>
          </cell>
        </row>
        <row r="1202">
          <cell r="A1202" t="str">
            <v>BC0158-S</v>
          </cell>
          <cell r="B1202" t="str">
            <v>C158</v>
          </cell>
          <cell r="C1202" t="str">
            <v>เยื่อไผ่ แขนยาวขายาว คอบัว สีโอรส S</v>
          </cell>
        </row>
        <row r="1203">
          <cell r="A1203" t="str">
            <v>BC0158-XL</v>
          </cell>
          <cell r="B1203" t="str">
            <v>C158</v>
          </cell>
          <cell r="C1203" t="str">
            <v>เยื่อไผ่ แขนยาวขายาว คอบัว สีโอรส  XL</v>
          </cell>
        </row>
        <row r="1204">
          <cell r="A1204" t="str">
            <v>BC0159-L</v>
          </cell>
          <cell r="B1204" t="str">
            <v>C159</v>
          </cell>
          <cell r="C1204" t="str">
            <v>เยื่อไผ่ แขนยาวขายาว คอปก โอรส L</v>
          </cell>
        </row>
        <row r="1205">
          <cell r="A1205" t="str">
            <v>BC0159-M</v>
          </cell>
          <cell r="B1205" t="str">
            <v>C159</v>
          </cell>
          <cell r="C1205" t="str">
            <v>เยื่อไผ่ แขนยาวขายาว คอปก โอรส M</v>
          </cell>
        </row>
        <row r="1206">
          <cell r="A1206" t="str">
            <v>BC0159-S</v>
          </cell>
          <cell r="B1206" t="str">
            <v>C159</v>
          </cell>
          <cell r="C1206" t="str">
            <v>เยื่อไผ่ แขนยาวขายาว คอปก โอรส S</v>
          </cell>
        </row>
        <row r="1207">
          <cell r="A1207" t="str">
            <v>BC0159-XL</v>
          </cell>
          <cell r="B1207" t="str">
            <v>C159</v>
          </cell>
          <cell r="C1207" t="str">
            <v>เยื่อไผ่ แขนยาวขายาว คอปก โอรส XL</v>
          </cell>
        </row>
        <row r="1208">
          <cell r="A1208" t="str">
            <v>BC0160-L</v>
          </cell>
          <cell r="B1208" t="str">
            <v>C160</v>
          </cell>
          <cell r="C1208" t="str">
            <v>เยื่อไผ่ แขนยาวขายาว คอปก ลายนกสีชมพู L</v>
          </cell>
        </row>
        <row r="1209">
          <cell r="A1209" t="str">
            <v>BC0160-M</v>
          </cell>
          <cell r="B1209" t="str">
            <v>C160</v>
          </cell>
          <cell r="C1209" t="str">
            <v>เยื่อไผ่ แขนยาวขายาว คอปก ลายนกสีชมพู M</v>
          </cell>
        </row>
        <row r="1210">
          <cell r="A1210" t="str">
            <v>BC0160-S</v>
          </cell>
          <cell r="B1210" t="str">
            <v>C160</v>
          </cell>
          <cell r="C1210" t="str">
            <v>เยื่อไผ่ แขนยาวขายาว คอปก ลายนกสีชมพู S</v>
          </cell>
        </row>
        <row r="1211">
          <cell r="A1211" t="str">
            <v>BC0160-XL</v>
          </cell>
          <cell r="B1211" t="str">
            <v>C160</v>
          </cell>
          <cell r="C1211" t="str">
            <v>เยื่อไผ่ แขนยาวขายาว คอปก ลายนกสีชมพู XL</v>
          </cell>
        </row>
        <row r="1212">
          <cell r="A1212" t="str">
            <v>BC0161-L</v>
          </cell>
          <cell r="B1212" t="str">
            <v>C161</v>
          </cell>
          <cell r="C1212" t="str">
            <v>เยื่อไผ่ แขนยาวขายาว คอปก ดอกไม้ สีโอรส L</v>
          </cell>
        </row>
        <row r="1213">
          <cell r="A1213" t="str">
            <v>BC0161-M</v>
          </cell>
          <cell r="B1213" t="str">
            <v>JC161</v>
          </cell>
          <cell r="C1213" t="str">
            <v>เยื่อไผ่ แขนยาวขายาว คอปก ดอกไม้ สีโอรส M ตัวโชว์</v>
          </cell>
        </row>
        <row r="1214">
          <cell r="A1214" t="str">
            <v>BC0161-S</v>
          </cell>
          <cell r="B1214" t="str">
            <v>JC161</v>
          </cell>
          <cell r="C1214" t="str">
            <v>เยื่อไผ่ แขนยาวขายาว คอปก ดอกไม้ สีโอรส S ตัวโชว์</v>
          </cell>
        </row>
        <row r="1215">
          <cell r="A1215" t="str">
            <v>BC0161-XL</v>
          </cell>
          <cell r="B1215" t="str">
            <v>C161</v>
          </cell>
          <cell r="C1215" t="str">
            <v>เยื่อไผ่ แขนยาวขายาว คอปก ดอกไม้ สีโอรส XL</v>
          </cell>
        </row>
        <row r="1216">
          <cell r="A1216" t="str">
            <v>BC0162-L</v>
          </cell>
          <cell r="B1216" t="str">
            <v>C162</v>
          </cell>
          <cell r="C1216" t="str">
            <v>เยื่อไผ่ แขนยาวขายาว คอปก โบตั๋น เขียวมิ้นต์ L</v>
          </cell>
        </row>
        <row r="1217">
          <cell r="A1217" t="str">
            <v>BC0162-M</v>
          </cell>
          <cell r="B1217" t="str">
            <v>C162</v>
          </cell>
          <cell r="C1217" t="str">
            <v>เยื่อไผ่ แขนยาวขายาว คอปก โบตั๋น เขียวมิ้นต์ M</v>
          </cell>
        </row>
        <row r="1218">
          <cell r="A1218" t="str">
            <v>BC0162-XL</v>
          </cell>
          <cell r="B1218" t="str">
            <v>C162</v>
          </cell>
          <cell r="C1218" t="str">
            <v>เยื่อไผ แขนยาวขายาว คอปก โบตั๋น เขียวมิ้นต์ XL</v>
          </cell>
        </row>
        <row r="1219">
          <cell r="A1219" t="str">
            <v>BC0164-L</v>
          </cell>
          <cell r="B1219" t="str">
            <v>C164</v>
          </cell>
          <cell r="C1219" t="str">
            <v>เยื่อไผ่ แขนยาวขายาว เสื้อญี่ปุ่น ไอติมแตงโม พื้นขาว L</v>
          </cell>
        </row>
        <row r="1220">
          <cell r="A1220" t="str">
            <v>BC0164-M</v>
          </cell>
          <cell r="B1220" t="str">
            <v>C164</v>
          </cell>
          <cell r="C1220" t="str">
            <v>เยื่อไผ่ แขนยาวขายาว เสื้อญี่ปุ่น ไอติมแตงโม พื้นขาว M</v>
          </cell>
        </row>
        <row r="1221">
          <cell r="A1221" t="str">
            <v>BC0164-S</v>
          </cell>
          <cell r="B1221" t="str">
            <v>C164</v>
          </cell>
          <cell r="C1221" t="str">
            <v>เยื่อไผ่ แขนยาวขายาว เสื้อญี่ปุ่น ไอติมแตงโม พื้นขาว S</v>
          </cell>
        </row>
        <row r="1222">
          <cell r="A1222" t="str">
            <v>BC0164-XL</v>
          </cell>
          <cell r="B1222" t="str">
            <v>C164</v>
          </cell>
          <cell r="C1222" t="str">
            <v>เยื่อไผ่ แขนยาวขายาว เสื้อญี่ปุ่น ไอติมแตงโม พื้นขาว XL</v>
          </cell>
        </row>
        <row r="1223">
          <cell r="A1223" t="str">
            <v>BC0177-L</v>
          </cell>
          <cell r="B1223" t="str">
            <v>C177</v>
          </cell>
          <cell r="C1223" t="str">
            <v>เยื่อไผ แขนยาวขายาว ดอกไม้ขาว พื้นชมพู L</v>
          </cell>
        </row>
        <row r="1224">
          <cell r="A1224" t="str">
            <v>BC0177-M</v>
          </cell>
          <cell r="B1224" t="str">
            <v>C177</v>
          </cell>
          <cell r="C1224" t="str">
            <v>เยื่อไผ แขนยาวขายาว ดอกไม้ขาว พื้นชมพู M</v>
          </cell>
        </row>
        <row r="1225">
          <cell r="A1225" t="str">
            <v>BC0177-XL</v>
          </cell>
          <cell r="B1225" t="str">
            <v>C177</v>
          </cell>
          <cell r="C1225" t="str">
            <v>เยื่อไผ แขนยาวขายาว ดอกไม้ขาว พื้นชมพู XL</v>
          </cell>
        </row>
        <row r="1226">
          <cell r="A1226" t="str">
            <v>BC0178-L</v>
          </cell>
          <cell r="B1226" t="str">
            <v>C178</v>
          </cell>
          <cell r="C1226" t="str">
            <v>เยื่อไผ่ แขนยาวขายาว จุดชมพู พื้นครีม L</v>
          </cell>
        </row>
        <row r="1227">
          <cell r="A1227" t="str">
            <v>BC0178-M</v>
          </cell>
          <cell r="B1227" t="str">
            <v>C178</v>
          </cell>
          <cell r="C1227" t="str">
            <v>เยื่อไผ่ แขนยาวขายาว จุดชมพู พื้นครีม M</v>
          </cell>
        </row>
        <row r="1228">
          <cell r="A1228" t="str">
            <v>BC0178-S</v>
          </cell>
          <cell r="B1228" t="str">
            <v>C178</v>
          </cell>
          <cell r="C1228" t="str">
            <v>เยื่อไผ่ แขนยาวขายาว จุดชมพู พื้นครีม S</v>
          </cell>
        </row>
        <row r="1229">
          <cell r="A1229" t="str">
            <v>BC0178-XL</v>
          </cell>
          <cell r="B1229" t="str">
            <v>C178</v>
          </cell>
          <cell r="C1229" t="str">
            <v>เยื่อไผ่ แขนยาวขายาว จุดชมพู พื้นครีม XL</v>
          </cell>
        </row>
        <row r="1230">
          <cell r="A1230" t="str">
            <v>BC0179-L</v>
          </cell>
          <cell r="B1230" t="str">
            <v>C179</v>
          </cell>
          <cell r="C1230" t="str">
            <v>เยื่อไผ่ แขนยาวขายาว จุดครีม พื้นโอรส L</v>
          </cell>
        </row>
        <row r="1231">
          <cell r="A1231" t="str">
            <v>BC0179-M</v>
          </cell>
          <cell r="B1231" t="str">
            <v>C179</v>
          </cell>
          <cell r="C1231" t="str">
            <v>เยื่อไผ่ แขนยาวขายาว จุดครีม พื้นโอรส M</v>
          </cell>
        </row>
        <row r="1232">
          <cell r="A1232" t="str">
            <v>BC0179-S</v>
          </cell>
          <cell r="B1232" t="str">
            <v>C179</v>
          </cell>
          <cell r="C1232" t="str">
            <v>เยื่อไผ่ แขนยาวขายาว จุดครีม พื้นโอรส S</v>
          </cell>
        </row>
        <row r="1233">
          <cell r="A1233" t="str">
            <v>BC0179-XL</v>
          </cell>
          <cell r="B1233" t="str">
            <v>C179</v>
          </cell>
          <cell r="C1233" t="str">
            <v>เยื่อไผ่ แขนยาวขายาว จุดครีม พื้นโอรส XL</v>
          </cell>
        </row>
        <row r="1234">
          <cell r="A1234" t="str">
            <v>BC0187-L</v>
          </cell>
          <cell r="B1234" t="str">
            <v>C187</v>
          </cell>
          <cell r="C1234" t="str">
            <v>เยื่อไผ่ แขนยาวขายาว ตาราง มะนาว L</v>
          </cell>
        </row>
        <row r="1235">
          <cell r="A1235" t="str">
            <v>BC0187-M</v>
          </cell>
          <cell r="B1235" t="str">
            <v>C187</v>
          </cell>
          <cell r="C1235" t="str">
            <v>เยื่อไผ่ แขนยาวขายาว ตาราง มะนาว M</v>
          </cell>
        </row>
        <row r="1236">
          <cell r="A1236" t="str">
            <v>BC0187-S</v>
          </cell>
          <cell r="B1236" t="str">
            <v>C187</v>
          </cell>
          <cell r="C1236" t="str">
            <v>เยื่อไผ่ แขนยาวขายาว ตาราง มะนาว S</v>
          </cell>
        </row>
        <row r="1237">
          <cell r="A1237" t="str">
            <v>BC0187-XL</v>
          </cell>
          <cell r="B1237" t="str">
            <v>C187</v>
          </cell>
          <cell r="C1237" t="str">
            <v>เยื่อไผ่ แขนยาวขายาว ตาราง มะนาว XL</v>
          </cell>
        </row>
        <row r="1238">
          <cell r="A1238" t="str">
            <v>BC0188-L</v>
          </cell>
          <cell r="B1238" t="str">
            <v>C188</v>
          </cell>
          <cell r="C1238" t="str">
            <v>เยื่อไผ่ แขนยาวขายาว ตาราง ชมพู L</v>
          </cell>
        </row>
        <row r="1239">
          <cell r="A1239" t="str">
            <v>BC0188-M</v>
          </cell>
          <cell r="B1239" t="str">
            <v>C188</v>
          </cell>
          <cell r="C1239" t="str">
            <v>เยื่อไผ่ แขนยาวขายาว ตาราง ชมพู M</v>
          </cell>
        </row>
        <row r="1240">
          <cell r="A1240" t="str">
            <v>BC0188-S</v>
          </cell>
          <cell r="B1240" t="str">
            <v>C188</v>
          </cell>
          <cell r="C1240" t="str">
            <v>เยื่อไผ่ แขนยาวขายาว ตาราง ชมพู S</v>
          </cell>
        </row>
        <row r="1241">
          <cell r="A1241" t="str">
            <v>BC0188-XL</v>
          </cell>
          <cell r="B1241" t="str">
            <v>C188</v>
          </cell>
          <cell r="C1241" t="str">
            <v>เยื่อไผ่ แขนยาวขายาว ตาราง ชมพู XL</v>
          </cell>
        </row>
        <row r="1242">
          <cell r="A1242" t="str">
            <v>BC0191-L</v>
          </cell>
          <cell r="B1242" t="str">
            <v>JC191</v>
          </cell>
          <cell r="C1242" t="str">
            <v>เยื่อไผ่ แขนยาวขายาว โบตั๋น โอรสพื้นเขียว L ตัวโชว์</v>
          </cell>
        </row>
        <row r="1243">
          <cell r="A1243" t="str">
            <v>BC0191-M</v>
          </cell>
          <cell r="B1243" t="str">
            <v>JC191</v>
          </cell>
          <cell r="C1243" t="str">
            <v>เยื่อไผ่ แขนยาวขายาว โบตั๋น โอรสพื้นเขียว M ตัวโชว์</v>
          </cell>
        </row>
        <row r="1244">
          <cell r="A1244" t="str">
            <v>BC0191-S</v>
          </cell>
          <cell r="B1244" t="str">
            <v>JC191</v>
          </cell>
          <cell r="C1244" t="str">
            <v>เยื่อไผ่ แขนยาวขายาว&amp;nbsp;โบตั๋น โอรสพื้นเขียว S ตัวโชว์</v>
          </cell>
        </row>
        <row r="1245">
          <cell r="A1245" t="str">
            <v>BC0191-XL</v>
          </cell>
          <cell r="B1245" t="str">
            <v>JC191</v>
          </cell>
          <cell r="C1245" t="str">
            <v>เยื่อไผ่ แขนยาวขายาว โบตั๋น โอรสพื้นเขียว XL ตัวโชว์</v>
          </cell>
        </row>
        <row r="1246">
          <cell r="A1246" t="str">
            <v>BC0194-L</v>
          </cell>
          <cell r="B1246" t="str">
            <v>C194</v>
          </cell>
          <cell r="C1246" t="str">
            <v>เยื่อไผ่ แขนยาวขายาว ดาว สีฟ้า oversize L</v>
          </cell>
        </row>
        <row r="1247">
          <cell r="A1247" t="str">
            <v>BC0194-M</v>
          </cell>
          <cell r="B1247" t="str">
            <v>C194</v>
          </cell>
          <cell r="C1247" t="str">
            <v>เยื่อไผ่ แขนยาวขายาว ดาว สีฟ้า oversize M</v>
          </cell>
        </row>
        <row r="1248">
          <cell r="A1248" t="str">
            <v>BC0224-L</v>
          </cell>
          <cell r="B1248" t="str">
            <v>C224</v>
          </cell>
          <cell r="C1248" t="str">
            <v>เยื่อไผ่ แขนยาวขายาว อูฐ ชมพู L</v>
          </cell>
        </row>
        <row r="1249">
          <cell r="A1249" t="str">
            <v>BC0224-M</v>
          </cell>
          <cell r="B1249" t="str">
            <v>C224</v>
          </cell>
          <cell r="C1249" t="str">
            <v>เยื่อไผ่ แขนยาวขายาว อูฐ ชมพู M</v>
          </cell>
        </row>
        <row r="1250">
          <cell r="A1250" t="str">
            <v>BC0224-S</v>
          </cell>
          <cell r="B1250" t="str">
            <v>C224</v>
          </cell>
          <cell r="C1250" t="str">
            <v>เยื่อไผ่ แขนยาวขายาว อูฐ ชมพู S</v>
          </cell>
        </row>
        <row r="1251">
          <cell r="A1251" t="str">
            <v>BC0224-XL</v>
          </cell>
          <cell r="B1251" t="str">
            <v>C224</v>
          </cell>
          <cell r="C1251" t="str">
            <v>เยื่อไผ่ แขนยาวขายาว อูฐ ชมพู XL</v>
          </cell>
        </row>
        <row r="1252">
          <cell r="A1252" t="str">
            <v>BC0225-L</v>
          </cell>
          <cell r="B1252" t="str">
            <v>C225</v>
          </cell>
          <cell r="C1252" t="str">
            <v>เยื่อไผ่ แขนยาวขายาว ดอกพวงเหลือง L</v>
          </cell>
        </row>
        <row r="1253">
          <cell r="A1253" t="str">
            <v>BC0225-M</v>
          </cell>
          <cell r="B1253" t="str">
            <v>C225</v>
          </cell>
          <cell r="C1253" t="str">
            <v>เยื่อไผ่ แขนยาวขายาว ดอกพวงเหลือง M</v>
          </cell>
        </row>
        <row r="1254">
          <cell r="A1254" t="str">
            <v>BC0225-XL</v>
          </cell>
          <cell r="B1254" t="str">
            <v>C225</v>
          </cell>
          <cell r="C1254" t="str">
            <v>เยื่อไผ่ แขนยาวขายาว ดอกพวงเหลือง XL</v>
          </cell>
        </row>
        <row r="1255">
          <cell r="A1255" t="str">
            <v>BC0226-S</v>
          </cell>
          <cell r="B1255" t="str">
            <v>C226</v>
          </cell>
          <cell r="C1255" t="str">
            <v>เยื่อไผ่ แขนยาวขายาว ดอกไม้สีน้ำ พื้นฟ้า S</v>
          </cell>
        </row>
        <row r="1256">
          <cell r="A1256" t="str">
            <v>BC0227-L</v>
          </cell>
          <cell r="B1256" t="str">
            <v>C227</v>
          </cell>
          <cell r="C1256" t="str">
            <v>เยื่อไผ่ แขนยาวขายาว กระต่ายขวา พื้นดำ L</v>
          </cell>
        </row>
        <row r="1257">
          <cell r="A1257" t="str">
            <v>BC0228-L</v>
          </cell>
          <cell r="B1257" t="str">
            <v>JC228</v>
          </cell>
          <cell r="C1257" t="str">
            <v>เยื่อไผ่ แขนยาวขายาว จุดขาว พื้นเขียว L ตัวโชว์</v>
          </cell>
        </row>
        <row r="1258">
          <cell r="A1258" t="str">
            <v>BC0228-M</v>
          </cell>
          <cell r="B1258" t="str">
            <v>JC228</v>
          </cell>
          <cell r="C1258" t="str">
            <v>เยื่อไผ่ แขนยาวขายาว จุดขาว พื้นเขียว M ตัวโชว์</v>
          </cell>
        </row>
        <row r="1259">
          <cell r="A1259" t="str">
            <v>BC0228-S</v>
          </cell>
          <cell r="B1259" t="str">
            <v>JC228</v>
          </cell>
          <cell r="C1259" t="str">
            <v>เยื่อไผ่ แขนยาวขายาว จุดขาว พื้นเขียว S ตัวโชว์</v>
          </cell>
        </row>
        <row r="1260">
          <cell r="A1260" t="str">
            <v>BC0228-XL</v>
          </cell>
          <cell r="B1260" t="str">
            <v>JC228</v>
          </cell>
          <cell r="C1260" t="str">
            <v>เยื่อไผ่ แขนยาวขายาว จุดขาว พื้นเขียว XL ตัวโชว์</v>
          </cell>
        </row>
        <row r="1261">
          <cell r="A1261" t="str">
            <v>BC0230-L</v>
          </cell>
          <cell r="B1261" t="str">
            <v>C230</v>
          </cell>
          <cell r="C1261" t="str">
            <v>เยื่อไผ่ แขนยาวขายาว โอรส ขอบขาว L</v>
          </cell>
        </row>
        <row r="1262">
          <cell r="A1262" t="str">
            <v>BC0230-M</v>
          </cell>
          <cell r="B1262" t="str">
            <v>C230</v>
          </cell>
          <cell r="C1262" t="str">
            <v>เยื่อไผ่ แขนยาวขายาว โอรส ขอบขาว M</v>
          </cell>
        </row>
        <row r="1263">
          <cell r="A1263" t="str">
            <v>BC0230-XL</v>
          </cell>
          <cell r="B1263" t="str">
            <v>C230</v>
          </cell>
          <cell r="C1263" t="str">
            <v>เยื่อไผ่ แขนยาวขายาว โอรส ขอบขาว XL</v>
          </cell>
        </row>
        <row r="1264">
          <cell r="A1264" t="str">
            <v>BC0234-L</v>
          </cell>
          <cell r="B1264" t="str">
            <v>C234</v>
          </cell>
          <cell r="C1264" t="str">
            <v>เยื่อไผ่ แขนยาวขายาว คอวี ลายนกสีชมพู L</v>
          </cell>
        </row>
        <row r="1265">
          <cell r="A1265" t="str">
            <v>BC0234-M</v>
          </cell>
          <cell r="B1265" t="str">
            <v>C234</v>
          </cell>
          <cell r="C1265" t="str">
            <v>เยื่อไผ่ แขนยาวขายาว คอวี ลายนกสีชมพู M</v>
          </cell>
        </row>
        <row r="1266">
          <cell r="A1266" t="str">
            <v>BC0234-S</v>
          </cell>
          <cell r="B1266" t="str">
            <v>C234</v>
          </cell>
          <cell r="C1266" t="str">
            <v>เยื่อไผ่ แขนยาวขายาว คอวี ลายนกสีชมพู S</v>
          </cell>
        </row>
        <row r="1267">
          <cell r="A1267" t="str">
            <v>BC0234-XL</v>
          </cell>
          <cell r="B1267" t="str">
            <v>C234</v>
          </cell>
          <cell r="C1267" t="str">
            <v>เยื่อไผ่ แขนยาวขายาว คอวี ลายนกสีชมพู XL</v>
          </cell>
        </row>
        <row r="1268">
          <cell r="A1268" t="str">
            <v>BC0237-L</v>
          </cell>
          <cell r="B1268" t="str">
            <v>C237</v>
          </cell>
          <cell r="C1268" t="str">
            <v>เยื่อไผ่ แขนยาวขายาว ลายทางน้ำตาล ขอบส้ม L</v>
          </cell>
        </row>
        <row r="1269">
          <cell r="A1269" t="str">
            <v>BC0237-M</v>
          </cell>
          <cell r="B1269" t="str">
            <v>JC237</v>
          </cell>
          <cell r="C1269" t="str">
            <v>เยื่อไผ่ แขนยาวขายาว ลายทางน้ำตาล ขอบส้ม M ตัวโชว์</v>
          </cell>
        </row>
        <row r="1270">
          <cell r="A1270" t="str">
            <v>BC0237-S</v>
          </cell>
          <cell r="B1270" t="str">
            <v>C237</v>
          </cell>
          <cell r="C1270" t="str">
            <v>เยื่อไผ่ แขนยาวขายาว ลายทางน้ำตาล ขอบส้ม S</v>
          </cell>
        </row>
        <row r="1271">
          <cell r="A1271" t="str">
            <v>BC0238-L</v>
          </cell>
          <cell r="B1271" t="str">
            <v>C238</v>
          </cell>
          <cell r="C1271" t="str">
            <v>เยื่อไผ่ แขนยาวขายาว คอวี ปกหนา พื้นขาว L</v>
          </cell>
        </row>
        <row r="1272">
          <cell r="A1272" t="str">
            <v>BC0238-M</v>
          </cell>
          <cell r="B1272" t="str">
            <v>C238</v>
          </cell>
          <cell r="C1272" t="str">
            <v>เยื่อไผ่ แขนยาวขายาว คอวี ปกหนา พื้นขาว M</v>
          </cell>
        </row>
        <row r="1273">
          <cell r="A1273" t="str">
            <v>BC0238-S</v>
          </cell>
          <cell r="B1273" t="str">
            <v>C238</v>
          </cell>
          <cell r="C1273" t="str">
            <v>เยื่อไผ่ แขนยาวขายาว คอวี ปกหนา พื้นขาว S</v>
          </cell>
        </row>
        <row r="1274">
          <cell r="A1274" t="str">
            <v>BC0238-XL</v>
          </cell>
          <cell r="B1274" t="str">
            <v>C238</v>
          </cell>
          <cell r="C1274" t="str">
            <v>เยื่อไผ่ แขนยาวขายาว คอวี ปกหนา พื้นขาว XL</v>
          </cell>
        </row>
        <row r="1275">
          <cell r="A1275" t="str">
            <v>BC0239-L</v>
          </cell>
          <cell r="B1275" t="str">
            <v>C239</v>
          </cell>
          <cell r="C1275" t="str">
            <v>เยื่อไผ่ แขนยาวขายาว คอวี ปกดำหนา พื้นขาว L</v>
          </cell>
        </row>
        <row r="1276">
          <cell r="A1276" t="str">
            <v>BC0239-M</v>
          </cell>
          <cell r="B1276" t="str">
            <v>C239</v>
          </cell>
          <cell r="C1276" t="str">
            <v>เยื่อไผ่ แขนยาวขายาว คอวี ปกดำหนา พื้นขาว M</v>
          </cell>
        </row>
        <row r="1277">
          <cell r="A1277" t="str">
            <v>BC0239-S</v>
          </cell>
          <cell r="B1277" t="str">
            <v>C239</v>
          </cell>
          <cell r="C1277" t="str">
            <v>เยื่อไผ่ แขนยาวขายาว คอวี ปกดำหนา พื้นขาว S</v>
          </cell>
        </row>
        <row r="1278">
          <cell r="A1278" t="str">
            <v>BC0241-L</v>
          </cell>
          <cell r="B1278" t="str">
            <v>C241</v>
          </cell>
          <cell r="C1278" t="str">
            <v>เยื่อไผ่ แขนยาวขายาว ใบไม้น้ำตาล L</v>
          </cell>
        </row>
        <row r="1279">
          <cell r="A1279" t="str">
            <v>BC0241-M</v>
          </cell>
          <cell r="B1279" t="str">
            <v>C241</v>
          </cell>
          <cell r="C1279" t="str">
            <v>เยื่อไผ่ แขนยาวขายาว ใบไม้น้ำตาล M</v>
          </cell>
        </row>
        <row r="1280">
          <cell r="A1280" t="str">
            <v>BC0245-L</v>
          </cell>
          <cell r="B1280" t="str">
            <v>C245</v>
          </cell>
          <cell r="C1280" t="str">
            <v>เยื่อไผ่ แขนยาวขายาว กุหลาบชมพู พื้นฟ้า L</v>
          </cell>
        </row>
        <row r="1281">
          <cell r="A1281" t="str">
            <v>BC0245-M</v>
          </cell>
          <cell r="B1281" t="str">
            <v>C245</v>
          </cell>
          <cell r="C1281" t="str">
            <v>เยื่อไผ่ แขนยาวขายาว กุหลาบชมพู พื้นฟ้า M</v>
          </cell>
        </row>
        <row r="1282">
          <cell r="A1282" t="str">
            <v>BC0245-S</v>
          </cell>
          <cell r="B1282" t="str">
            <v>C245</v>
          </cell>
          <cell r="C1282" t="str">
            <v>เยื่อไผ่ แขนยาวขายาว กุหลาบชมพู พื้นฟ้า S</v>
          </cell>
        </row>
        <row r="1283">
          <cell r="A1283" t="str">
            <v>BC0246-XL</v>
          </cell>
          <cell r="B1283" t="str">
            <v>C246</v>
          </cell>
          <cell r="C1283" t="str">
            <v>เยื่อไผ่ แขนยาวขายาว กุหลาบชมพู พื้นฟ้า คอวี XL</v>
          </cell>
        </row>
        <row r="1284">
          <cell r="A1284" t="str">
            <v>BC0247-L</v>
          </cell>
          <cell r="B1284" t="str">
            <v>C247</v>
          </cell>
          <cell r="C1284" t="str">
            <v>เยื่อไผ่ แขนยาวขายาว ดอกไม้เล็ก พื้นขาว คอวี L</v>
          </cell>
        </row>
        <row r="1285">
          <cell r="A1285" t="str">
            <v>BC0247-M</v>
          </cell>
          <cell r="B1285" t="str">
            <v>JC247</v>
          </cell>
          <cell r="C1285" t="str">
            <v>เยื่อไผ่ แขนยาวขายาว ดอกไม้เล็ก พื้นขาว คอวี M ตัวโชว์</v>
          </cell>
        </row>
        <row r="1286">
          <cell r="A1286" t="str">
            <v>BC0247-S</v>
          </cell>
          <cell r="B1286" t="str">
            <v>C247</v>
          </cell>
          <cell r="C1286" t="str">
            <v>เยื่อไผ่ แขนยาวขายาว ดอกไม้เล็ก พื้นขาว คอวี S</v>
          </cell>
        </row>
        <row r="1287">
          <cell r="A1287" t="str">
            <v>BC0247-XL</v>
          </cell>
          <cell r="B1287" t="str">
            <v>C247</v>
          </cell>
          <cell r="C1287" t="str">
            <v>เยื่อไผ่ แขนยาวขายาว ดอกไม้เล็ก พื้นขาว คอวี XL</v>
          </cell>
        </row>
        <row r="1288">
          <cell r="A1288" t="str">
            <v>BC0248-L</v>
          </cell>
          <cell r="B1288" t="str">
            <v>JC248</v>
          </cell>
          <cell r="C1288" t="str">
            <v>เยื่อไผ่ แขนยาวขายาว ดอกไม้เล็ก พื้นชมพู คอกลม L ตัวโชว์</v>
          </cell>
        </row>
        <row r="1289">
          <cell r="A1289" t="str">
            <v>BC0248-M</v>
          </cell>
          <cell r="B1289" t="str">
            <v>JC248</v>
          </cell>
          <cell r="C1289" t="str">
            <v>เยื่อไผ่ แขนยาวขายาว ดอกไม้เล็ก พื้นชมพู คอกลม M ตัวโชว์</v>
          </cell>
        </row>
        <row r="1290">
          <cell r="A1290" t="str">
            <v>BC0248-S</v>
          </cell>
          <cell r="B1290" t="str">
            <v>JC248</v>
          </cell>
          <cell r="C1290" t="str">
            <v>เยื่อไผ่ แขนยาวขายาว ดอกไม้เล็ก พื้นชมพู คอกลม S ตัวโชว์</v>
          </cell>
        </row>
        <row r="1291">
          <cell r="A1291" t="str">
            <v>BC0248-XL</v>
          </cell>
          <cell r="B1291" t="str">
            <v>JC248</v>
          </cell>
          <cell r="C1291" t="str">
            <v>เยื่อไผ่ แขนยาวขายาว ดอกไม้เล็ก พื้นชมพู คอกลม XL ตัวโชว์</v>
          </cell>
        </row>
        <row r="1292">
          <cell r="A1292" t="str">
            <v>BC0249-L</v>
          </cell>
          <cell r="B1292" t="str">
            <v>C249</v>
          </cell>
          <cell r="C1292" t="str">
            <v>เยื่อไผ่ แขนยาวขายาว ดอกไม้เล็ก พื้นฟ้า คอวี L</v>
          </cell>
        </row>
        <row r="1293">
          <cell r="A1293" t="str">
            <v>BC0249-M</v>
          </cell>
          <cell r="B1293" t="str">
            <v>C249</v>
          </cell>
          <cell r="C1293" t="str">
            <v>เยื่อไผ่ แขนยาวขายาว ดอกไม้เล็ก พื้นฟ้า คอวี M</v>
          </cell>
        </row>
        <row r="1294">
          <cell r="A1294" t="str">
            <v>BC0249-XL</v>
          </cell>
          <cell r="B1294" t="str">
            <v>C249</v>
          </cell>
          <cell r="C1294" t="str">
            <v>เยื่อไผ่ แขนยาวขายาว ดอกไม้เล็ก พื้นฟ้า คอวี XL</v>
          </cell>
        </row>
        <row r="1295">
          <cell r="A1295" t="str">
            <v>BC0250-L</v>
          </cell>
          <cell r="B1295" t="str">
            <v>C250</v>
          </cell>
          <cell r="C1295" t="str">
            <v>เยื่อไผ่ แขนยาวขายาว คอวี ใบไม้น้ำตาล พื้นแดง L</v>
          </cell>
        </row>
        <row r="1296">
          <cell r="A1296" t="str">
            <v>BC0250-M</v>
          </cell>
          <cell r="B1296" t="str">
            <v>C250</v>
          </cell>
          <cell r="C1296" t="str">
            <v>เยื่อไผ่ แขนยาวขายาว คอวี ใบไม้น้ำตาล พื้นแดง M</v>
          </cell>
        </row>
        <row r="1297">
          <cell r="A1297" t="str">
            <v>BC0250-S</v>
          </cell>
          <cell r="B1297" t="str">
            <v>C250</v>
          </cell>
          <cell r="C1297" t="str">
            <v>เยื่อไผ่ แขนยาวขายาว คอวี ใบไม้น้ำตาล พื้นแดง S</v>
          </cell>
        </row>
        <row r="1298">
          <cell r="A1298" t="str">
            <v>BC0250-XL</v>
          </cell>
          <cell r="B1298" t="str">
            <v>C250</v>
          </cell>
          <cell r="C1298" t="str">
            <v>เยื่อไผ่ แขนยาวขายาว คอวี ใบไม้น้ำตาล พื้นแดง XL</v>
          </cell>
        </row>
        <row r="1299">
          <cell r="A1299" t="str">
            <v>BC0251-M</v>
          </cell>
          <cell r="B1299" t="str">
            <v>C251</v>
          </cell>
          <cell r="C1299" t="str">
            <v>เยื่อไผ่ แขนยาวขายาว Garden พื้นชมพู M</v>
          </cell>
        </row>
        <row r="1300">
          <cell r="A1300" t="str">
            <v>BC0251-S</v>
          </cell>
          <cell r="B1300" t="str">
            <v>C251</v>
          </cell>
          <cell r="C1300" t="str">
            <v>เยื่อไผ่ แขนยาวขายาว Garden พื้นชมพู S</v>
          </cell>
        </row>
        <row r="1301">
          <cell r="A1301" t="str">
            <v>BC0268-L</v>
          </cell>
          <cell r="B1301" t="str">
            <v>C268</v>
          </cell>
          <cell r="C1301" t="str">
            <v>เยื่อไผ่ แขนยาวขายาว เชอรี่  L</v>
          </cell>
        </row>
        <row r="1302">
          <cell r="A1302" t="str">
            <v>BC0269-L</v>
          </cell>
          <cell r="B1302" t="str">
            <v>C269</v>
          </cell>
          <cell r="C1302" t="str">
            <v>เยื่อไผ่ แขนยาวขายาว ชมพูอ่อน ขอบขาว L</v>
          </cell>
        </row>
        <row r="1303">
          <cell r="A1303" t="str">
            <v>BC0269-M</v>
          </cell>
          <cell r="B1303" t="str">
            <v>C269</v>
          </cell>
          <cell r="C1303" t="str">
            <v>เยื่อไผ่ แขนยาวขายาว ชมพูอ่อน ขอบขาว M</v>
          </cell>
        </row>
        <row r="1304">
          <cell r="A1304" t="str">
            <v>BC0270-M</v>
          </cell>
          <cell r="B1304" t="str">
            <v>C270</v>
          </cell>
          <cell r="C1304" t="str">
            <v>เยื่อไผ่ แขนยาวขายาว เขียว ขอบขาว M</v>
          </cell>
        </row>
        <row r="1305">
          <cell r="A1305" t="str">
            <v>BC0270-S</v>
          </cell>
          <cell r="B1305" t="str">
            <v>C270</v>
          </cell>
          <cell r="C1305" t="str">
            <v>เยื่อไผ่ แขนยาวขายาว เขียว ขอบขาว S</v>
          </cell>
        </row>
        <row r="1306">
          <cell r="A1306" t="str">
            <v>BC0271-L</v>
          </cell>
          <cell r="B1306" t="str">
            <v>C271</v>
          </cell>
          <cell r="C1306" t="str">
            <v>เยื่อไผ่ แขนยาวขายาว กระเป๋าเชอรี่ พื้นชมพู L</v>
          </cell>
        </row>
        <row r="1307">
          <cell r="A1307" t="str">
            <v>BC0273-L</v>
          </cell>
          <cell r="B1307" t="str">
            <v>C273</v>
          </cell>
          <cell r="C1307" t="str">
            <v>เยื่อไผ่ แขนยาวขายาว แมวเล่นไหม L</v>
          </cell>
        </row>
        <row r="1308">
          <cell r="A1308" t="str">
            <v>BC0273-M</v>
          </cell>
          <cell r="B1308" t="str">
            <v>C273</v>
          </cell>
          <cell r="C1308" t="str">
            <v>เยื่อไผ่ แขนยาวขายาว แมวเล่นไหม M</v>
          </cell>
        </row>
        <row r="1309">
          <cell r="A1309" t="str">
            <v>BC0273-S</v>
          </cell>
          <cell r="B1309" t="str">
            <v>C273</v>
          </cell>
          <cell r="C1309" t="str">
            <v>เยื่อไผ่ แขนยาวขายาว แมวเล่นไหม S</v>
          </cell>
        </row>
        <row r="1310">
          <cell r="A1310" t="str">
            <v>BC0284-L</v>
          </cell>
          <cell r="B1310" t="str">
            <v>JC284</v>
          </cell>
          <cell r="C1310" t="str">
            <v>เยื่อไผ่ แขนยาวขายาว พิทบูล พื้นดำ L ตัวโชว์</v>
          </cell>
        </row>
        <row r="1311">
          <cell r="A1311" t="str">
            <v>BC0284-M</v>
          </cell>
          <cell r="B1311" t="str">
            <v>JC284</v>
          </cell>
          <cell r="C1311" t="str">
            <v>เยื่อไผ่ แขนยาวขายาว พิทบูล พื้นดำ M ตัวโชว์</v>
          </cell>
        </row>
        <row r="1312">
          <cell r="A1312" t="str">
            <v>BC0284-S</v>
          </cell>
          <cell r="B1312" t="str">
            <v>BC284</v>
          </cell>
          <cell r="C1312" t="str">
            <v>เยื่อไผ่ แขนยาวขายาว พิทบูล พื้นดำ S</v>
          </cell>
        </row>
        <row r="1313">
          <cell r="A1313" t="str">
            <v>BC0284-XL</v>
          </cell>
          <cell r="B1313" t="str">
            <v>JC284</v>
          </cell>
          <cell r="C1313" t="str">
            <v>เยื่อไผ่ แขนยาวขายาว พิทบูล พื้นดำ XL ตัวโชว์</v>
          </cell>
        </row>
        <row r="1314">
          <cell r="A1314" t="str">
            <v>BC0285-L</v>
          </cell>
          <cell r="B1314" t="str">
            <v>C285</v>
          </cell>
          <cell r="C1314" t="str">
            <v>เยื่อไผ่ แขนยาวขายาว ลายเฮนน่า L</v>
          </cell>
        </row>
        <row r="1315">
          <cell r="A1315" t="str">
            <v>BC0285-M</v>
          </cell>
          <cell r="B1315" t="str">
            <v>C285</v>
          </cell>
          <cell r="C1315" t="str">
            <v>เยื่อไผ่ แขนยาวขายาว ลายเฮนน่า M</v>
          </cell>
        </row>
        <row r="1316">
          <cell r="A1316" t="str">
            <v>BC0285-S</v>
          </cell>
          <cell r="B1316" t="str">
            <v>C285</v>
          </cell>
          <cell r="C1316" t="str">
            <v>เยื่อไผ่ แขนยาวขายาว ลายเฮนน่า S</v>
          </cell>
        </row>
        <row r="1317">
          <cell r="A1317" t="str">
            <v>BC0285-XL</v>
          </cell>
          <cell r="B1317" t="str">
            <v>C285</v>
          </cell>
          <cell r="C1317" t="str">
            <v>เยื่อไผ่ แขนยาวขายาว ลายเฮนน่า XL</v>
          </cell>
        </row>
        <row r="1318">
          <cell r="A1318" t="str">
            <v>BC0292-L</v>
          </cell>
          <cell r="B1318" t="str">
            <v>C292</v>
          </cell>
          <cell r="C1318" t="str">
            <v>เยื่อไผ่ แขนยาวขายาว Black flower L</v>
          </cell>
        </row>
        <row r="1319">
          <cell r="A1319" t="str">
            <v>BC0292-M</v>
          </cell>
          <cell r="B1319" t="str">
            <v>C292</v>
          </cell>
          <cell r="C1319" t="str">
            <v>เยื่อไผ่ แขนยาวขายาว Black flower M</v>
          </cell>
        </row>
        <row r="1320">
          <cell r="A1320" t="str">
            <v>BC0292-S</v>
          </cell>
          <cell r="B1320" t="str">
            <v>C292</v>
          </cell>
          <cell r="C1320" t="str">
            <v>เยื่อไผ่ แขนยาวขายาว Black flower S</v>
          </cell>
        </row>
        <row r="1321">
          <cell r="A1321" t="str">
            <v>BC0292-XL</v>
          </cell>
          <cell r="B1321" t="str">
            <v>C292</v>
          </cell>
          <cell r="C1321" t="str">
            <v>เยื่อไผ่ แขนยาวขายาว Black flower XL</v>
          </cell>
        </row>
        <row r="1322">
          <cell r="A1322" t="str">
            <v>BC0293-L</v>
          </cell>
          <cell r="B1322" t="str">
            <v>C293</v>
          </cell>
          <cell r="C1322" t="str">
            <v>เยื่อไผ่ แขนยาวขายาว Pink flower green L</v>
          </cell>
        </row>
        <row r="1323">
          <cell r="A1323" t="str">
            <v>BC0293-M</v>
          </cell>
          <cell r="B1323" t="str">
            <v>C293</v>
          </cell>
          <cell r="C1323" t="str">
            <v>เยื่อไผ่ แขนยาวขายาว Pink flower green M</v>
          </cell>
        </row>
        <row r="1324">
          <cell r="A1324" t="str">
            <v>BC0293-XL</v>
          </cell>
          <cell r="B1324" t="str">
            <v>C293</v>
          </cell>
          <cell r="C1324" t="str">
            <v>เยื่อไผ่ แขนยาวขายาว Pink flower green XL</v>
          </cell>
        </row>
        <row r="1325">
          <cell r="A1325" t="str">
            <v>BC0310-L</v>
          </cell>
          <cell r="B1325" t="str">
            <v>C310</v>
          </cell>
          <cell r="C1325" t="str">
            <v>เยื่อไผ่ แขนยาวขายาว ดอกไม้ขาว พื้นฟ้า L</v>
          </cell>
        </row>
        <row r="1326">
          <cell r="A1326" t="str">
            <v>BC0310-M</v>
          </cell>
          <cell r="B1326" t="str">
            <v>C310</v>
          </cell>
          <cell r="C1326" t="str">
            <v>เยื่อไผ่ แขนยาวขายาว ดอกไม้ขาว พื้นฟ้า M</v>
          </cell>
        </row>
        <row r="1327">
          <cell r="A1327" t="str">
            <v>BC0310-S</v>
          </cell>
          <cell r="B1327" t="str">
            <v>C310</v>
          </cell>
          <cell r="C1327" t="str">
            <v>เยื่อไผ่ แขนยาวขายาว ดอกไม้ขาว พื้นฟ้า S</v>
          </cell>
        </row>
        <row r="1328">
          <cell r="A1328" t="str">
            <v>BC0310-XL</v>
          </cell>
          <cell r="B1328" t="str">
            <v>C310</v>
          </cell>
          <cell r="C1328" t="str">
            <v>เยื่อไผ่ แขนยาวขายาว ดอกไม้ขาว พื้นฟ้า XL</v>
          </cell>
        </row>
        <row r="1329">
          <cell r="A1329" t="str">
            <v>BC0311-L</v>
          </cell>
          <cell r="B1329" t="str">
            <v>JC311</v>
          </cell>
          <cell r="C1329" t="str">
            <v>เยื่อไผ่ แขนยาวขายาว ลายทางพลาสเทล ฟ้า L ตัวโชว์</v>
          </cell>
        </row>
        <row r="1330">
          <cell r="A1330" t="str">
            <v>BC0311-M</v>
          </cell>
          <cell r="B1330" t="str">
            <v>JC311</v>
          </cell>
          <cell r="C1330" t="str">
            <v>เยื่อไผ่ แขนยาวขายาว ลายทางพลาสเทล ฟ้า M ตัวโชว์</v>
          </cell>
        </row>
        <row r="1331">
          <cell r="A1331" t="str">
            <v>BC0311-S</v>
          </cell>
          <cell r="B1331" t="str">
            <v>JC311</v>
          </cell>
          <cell r="C1331" t="str">
            <v>เยื่อไผ่ แขนยาวขายาว ลายทางพลาสเทล ฟ้า S ตัวโชว์</v>
          </cell>
        </row>
        <row r="1332">
          <cell r="A1332" t="str">
            <v>BC0311-XL</v>
          </cell>
          <cell r="B1332" t="str">
            <v>JC311</v>
          </cell>
          <cell r="C1332" t="str">
            <v>เยื่อไผ่ แขนยาวขายาว ลายทางพลาสเทล ฟ้า XL ตัวโชว์</v>
          </cell>
        </row>
        <row r="1333">
          <cell r="A1333" t="str">
            <v>BC0312-L</v>
          </cell>
          <cell r="B1333" t="str">
            <v>C312</v>
          </cell>
          <cell r="C1333" t="str">
            <v>เยื่อไผ่ แขนยาวขายาว แมวดำ พื้นขาว L</v>
          </cell>
        </row>
        <row r="1334">
          <cell r="A1334" t="str">
            <v>BC0312-M</v>
          </cell>
          <cell r="B1334" t="str">
            <v>JC312</v>
          </cell>
          <cell r="C1334" t="str">
            <v>เยื่อไผ่ แขนยาวขายาว แมวดำ พื้นขาว M ตัวโชว์</v>
          </cell>
        </row>
        <row r="1335">
          <cell r="A1335" t="str">
            <v>BC0312-S</v>
          </cell>
          <cell r="B1335" t="str">
            <v>C312</v>
          </cell>
          <cell r="C1335" t="str">
            <v>เยื่อไผ่ แขนยาวขายาว แมวดำ พื้นขาว S</v>
          </cell>
        </row>
        <row r="1336">
          <cell r="A1336" t="str">
            <v>BC0312-XL</v>
          </cell>
          <cell r="B1336" t="str">
            <v>C312</v>
          </cell>
          <cell r="C1336" t="str">
            <v>เยื่อไผ่ แขนยาวขายาว แมวดำ พื้นขาว XL</v>
          </cell>
        </row>
        <row r="1337">
          <cell r="A1337" t="str">
            <v>BC0313-L</v>
          </cell>
          <cell r="B1337" t="str">
            <v>C313</v>
          </cell>
          <cell r="C1337" t="str">
            <v>เยื่อไผ่ แขนยาวขายาว แพนด้า เหลือง L</v>
          </cell>
        </row>
        <row r="1338">
          <cell r="A1338" t="str">
            <v>BC0313-M</v>
          </cell>
          <cell r="B1338" t="str">
            <v>C313</v>
          </cell>
          <cell r="C1338" t="str">
            <v>เยื่อไผ่ แขนยาวขายาว แพนด้า เหลือง M</v>
          </cell>
        </row>
        <row r="1339">
          <cell r="A1339" t="str">
            <v>BC0313-S</v>
          </cell>
          <cell r="B1339" t="str">
            <v>C313</v>
          </cell>
          <cell r="C1339" t="str">
            <v>เยื่อไผ่ แขนยาวขายาว แพนด้า เหลือง S</v>
          </cell>
        </row>
        <row r="1340">
          <cell r="A1340" t="str">
            <v>BC0313-XL</v>
          </cell>
          <cell r="B1340" t="str">
            <v>C313</v>
          </cell>
          <cell r="C1340" t="str">
            <v>เยื่อไผ่ แขนยาวขายาว แพนด้า เหลือง XL</v>
          </cell>
        </row>
        <row r="1341">
          <cell r="A1341" t="str">
            <v>BC0314-L</v>
          </cell>
          <cell r="B1341" t="str">
            <v>C314</v>
          </cell>
          <cell r="C1341" t="str">
            <v>เยื่อไผ่ แขนยาวขายาว Wall Flower L</v>
          </cell>
        </row>
        <row r="1342">
          <cell r="A1342" t="str">
            <v>BC0314-M</v>
          </cell>
          <cell r="B1342" t="str">
            <v>C314</v>
          </cell>
          <cell r="C1342" t="str">
            <v>เยื่อไผ่ แขนยาวขายาว Wall Flower M</v>
          </cell>
        </row>
        <row r="1343">
          <cell r="A1343" t="str">
            <v>BC0314-S</v>
          </cell>
          <cell r="B1343" t="str">
            <v>C314</v>
          </cell>
          <cell r="C1343" t="str">
            <v>เยื่อไผ่ แขนยาวขายาว Wall Flower S</v>
          </cell>
        </row>
        <row r="1344">
          <cell r="A1344" t="str">
            <v>BC0314-XL</v>
          </cell>
          <cell r="B1344" t="str">
            <v>C314</v>
          </cell>
          <cell r="C1344" t="str">
            <v>เยื่อไผ่ แขนยาวขายาว Wall Flower XL</v>
          </cell>
        </row>
        <row r="1345">
          <cell r="A1345" t="str">
            <v>BC0315-L</v>
          </cell>
          <cell r="B1345" t="str">
            <v>BC315</v>
          </cell>
          <cell r="C1345" t="str">
            <v>เยื่อไผ่ แขนยาวขายาว Daisy pink L</v>
          </cell>
        </row>
        <row r="1346">
          <cell r="A1346" t="str">
            <v>BC0315-M</v>
          </cell>
          <cell r="B1346" t="str">
            <v>BC315</v>
          </cell>
          <cell r="C1346" t="str">
            <v>เยื่อไผ่ แขนยาวขายาว Daisy pink M</v>
          </cell>
        </row>
        <row r="1347">
          <cell r="A1347" t="str">
            <v>BC0315-S</v>
          </cell>
          <cell r="B1347" t="str">
            <v>C315</v>
          </cell>
          <cell r="C1347" t="str">
            <v>เยื่อไผ่ แขนยาวขายาว Daisy pink S</v>
          </cell>
        </row>
        <row r="1348">
          <cell r="A1348" t="str">
            <v>BC0315-XL</v>
          </cell>
          <cell r="B1348" t="str">
            <v>C315</v>
          </cell>
          <cell r="C1348" t="str">
            <v>เยื่อไผ่ แขนยาวขายาว Daisy pink XL</v>
          </cell>
        </row>
        <row r="1349">
          <cell r="A1349" t="str">
            <v>BC0317-L</v>
          </cell>
          <cell r="B1349" t="str">
            <v>JC317</v>
          </cell>
          <cell r="C1349" t="str">
            <v>เยื่อไผ่ แขนยาวขายาว ลายผ้าทวีต ขาวดำ L ตัวโชว์</v>
          </cell>
        </row>
        <row r="1350">
          <cell r="A1350" t="str">
            <v>BC0317-M</v>
          </cell>
          <cell r="B1350" t="str">
            <v>JC317</v>
          </cell>
          <cell r="C1350" t="str">
            <v>เยื่อไผ่ แขนยาวขายาว ลายผ้าทวีต ขาวดำ M ตัวโชว์</v>
          </cell>
        </row>
        <row r="1351">
          <cell r="A1351" t="str">
            <v>BC0317-S</v>
          </cell>
          <cell r="B1351" t="str">
            <v>JC317</v>
          </cell>
          <cell r="C1351" t="str">
            <v>เยื่อไผ่ แขนยาวขายาว ลายผ้าทวีต ขาวดำ S ตัวโชว์</v>
          </cell>
        </row>
        <row r="1352">
          <cell r="A1352" t="str">
            <v>BC0317-XL</v>
          </cell>
          <cell r="B1352" t="str">
            <v>JC317</v>
          </cell>
          <cell r="C1352" t="str">
            <v>เยื่อไผ่ แขนยาวขายาว ลายผ้าทวีต ขาวดำ XL ตัวโชว์</v>
          </cell>
        </row>
        <row r="1353">
          <cell r="A1353" t="str">
            <v>BC0320-L</v>
          </cell>
          <cell r="B1353" t="str">
            <v>C320</v>
          </cell>
          <cell r="C1353" t="str">
            <v>เยื่อไผ่ แขนยาวขายาว Jamaican Cherry พื้นชมพู L</v>
          </cell>
        </row>
        <row r="1354">
          <cell r="A1354" t="str">
            <v>BC0320-M</v>
          </cell>
          <cell r="B1354" t="str">
            <v>C320</v>
          </cell>
          <cell r="C1354" t="str">
            <v>เยื่อไผ่ แขนยาวขายาว Jamaican Cherry พื้นชมพู M</v>
          </cell>
        </row>
        <row r="1355">
          <cell r="A1355" t="str">
            <v>BC0320-S</v>
          </cell>
          <cell r="B1355" t="str">
            <v>C320</v>
          </cell>
          <cell r="C1355" t="str">
            <v>เยื่อไผ่ แขนยาวขายาว Jamaican Cherry พื้นชมพู S</v>
          </cell>
        </row>
        <row r="1356">
          <cell r="A1356" t="str">
            <v>BC0320-XL</v>
          </cell>
          <cell r="B1356" t="str">
            <v>C320</v>
          </cell>
          <cell r="C1356" t="str">
            <v>เยื่อไผ่ แขนยาวขายาว Jamaican Cherry พื้นชมพู XL</v>
          </cell>
        </row>
        <row r="1357">
          <cell r="A1357" t="str">
            <v>BC0321-L</v>
          </cell>
          <cell r="B1357" t="str">
            <v>C321</v>
          </cell>
          <cell r="C1357" t="str">
            <v>เยื่อไผ่ แขนยาวขายาว ดอกชบา พื้นเขียว L</v>
          </cell>
        </row>
        <row r="1358">
          <cell r="A1358" t="str">
            <v>BC0321-M</v>
          </cell>
          <cell r="B1358" t="str">
            <v>C321</v>
          </cell>
          <cell r="C1358" t="str">
            <v>เยื่อไผ่ แขนยาวขายาว ดอกชบา พื้นเขียว M</v>
          </cell>
        </row>
        <row r="1359">
          <cell r="A1359" t="str">
            <v>BC0321-S</v>
          </cell>
          <cell r="B1359" t="str">
            <v>JC321</v>
          </cell>
          <cell r="C1359" t="str">
            <v>เยื่อไผ่ แขนยาวขายาว ดอกชบา พื้นเขียว S ตัวโชว์</v>
          </cell>
        </row>
        <row r="1360">
          <cell r="A1360" t="str">
            <v>BC0321-XL</v>
          </cell>
          <cell r="B1360" t="str">
            <v>C321</v>
          </cell>
          <cell r="C1360" t="str">
            <v>เยื่อไผ่ แขนยาวขายาว ดอกชบา พื้นเขียว XL</v>
          </cell>
        </row>
        <row r="1361">
          <cell r="A1361" t="str">
            <v>BC0322-L</v>
          </cell>
          <cell r="B1361" t="str">
            <v>BC322</v>
          </cell>
          <cell r="C1361" t="str">
            <v>เยื่อไผ่ แขนยาวขายาว ดอกไม้เล็กชมพู คอปก L</v>
          </cell>
        </row>
        <row r="1362">
          <cell r="A1362" t="str">
            <v>BC0322-M</v>
          </cell>
          <cell r="B1362" t="str">
            <v>BC322</v>
          </cell>
          <cell r="C1362" t="str">
            <v>เยื่อไผ่ แขนยาวขายาว ดอกไม้เล็กชมพู คอปก M</v>
          </cell>
        </row>
        <row r="1363">
          <cell r="A1363" t="str">
            <v>BC0322-S</v>
          </cell>
          <cell r="B1363" t="str">
            <v>C322</v>
          </cell>
          <cell r="C1363" t="str">
            <v>เยื่อไผ่ แขนยาวขายาว ดอกไม้เล็กชมพู คอปก S</v>
          </cell>
        </row>
        <row r="1364">
          <cell r="A1364" t="str">
            <v>BC0322-XL</v>
          </cell>
          <cell r="B1364" t="str">
            <v>BC322</v>
          </cell>
          <cell r="C1364" t="str">
            <v>เยื่อไผ่ แขนยาวขายาว ดอกไม้เล็กชมพู คอปก XL</v>
          </cell>
        </row>
        <row r="1365">
          <cell r="A1365" t="str">
            <v>BC0323-L</v>
          </cell>
          <cell r="B1365" t="str">
            <v>C323</v>
          </cell>
          <cell r="C1365" t="str">
            <v>เยื่อไผ่ แขนยาวขายาว Jungle Cruise ดำ L</v>
          </cell>
        </row>
        <row r="1366">
          <cell r="A1366" t="str">
            <v>BC0323-M</v>
          </cell>
          <cell r="B1366" t="str">
            <v>C323</v>
          </cell>
          <cell r="C1366" t="str">
            <v>เยื่อไผ่ แขนยาวขายาว Jungle Cruise ดำ M</v>
          </cell>
        </row>
        <row r="1367">
          <cell r="A1367" t="str">
            <v>BC0323-S</v>
          </cell>
          <cell r="B1367" t="str">
            <v>BC323</v>
          </cell>
          <cell r="C1367" t="str">
            <v>เยื่อไผ่ แขนยาวขายาว Jungle Cruise ดำ S</v>
          </cell>
        </row>
        <row r="1368">
          <cell r="A1368" t="str">
            <v>BC0323-XL</v>
          </cell>
          <cell r="B1368" t="str">
            <v>C323</v>
          </cell>
          <cell r="C1368" t="str">
            <v>เยื่อไผ่ แขนยาวขายาว Jungle Cruise ดำ XL</v>
          </cell>
        </row>
        <row r="1369">
          <cell r="A1369" t="str">
            <v>BC0324-L</v>
          </cell>
          <cell r="B1369" t="str">
            <v>C324</v>
          </cell>
          <cell r="C1369" t="str">
            <v>เยื่อไผ่ แขนยาวขายาว Jungle Cruise ครีม L</v>
          </cell>
        </row>
        <row r="1370">
          <cell r="A1370" t="str">
            <v>BC0324-M</v>
          </cell>
          <cell r="B1370" t="str">
            <v>C324</v>
          </cell>
          <cell r="C1370" t="str">
            <v>เยื่อไผ่ แขนยาวขายาว Jungle Cruise ครีม M</v>
          </cell>
        </row>
        <row r="1371">
          <cell r="A1371" t="str">
            <v>BC0324-S</v>
          </cell>
          <cell r="B1371" t="str">
            <v>C324</v>
          </cell>
          <cell r="C1371" t="str">
            <v>เยื่อไผ่ แขนยาวขายาว Jungle Cruise ครีม S</v>
          </cell>
        </row>
        <row r="1372">
          <cell r="A1372" t="str">
            <v>BC0324-XL</v>
          </cell>
          <cell r="B1372" t="str">
            <v>C324</v>
          </cell>
          <cell r="C1372" t="str">
            <v>เยื่อไผ่ แขนยาวขายาว Jungle Cruise ครีม XL</v>
          </cell>
        </row>
        <row r="1373">
          <cell r="A1373" t="str">
            <v>BC0325-L</v>
          </cell>
          <cell r="B1373" t="str">
            <v>JC325</v>
          </cell>
          <cell r="C1373" t="str">
            <v>เยื่อไผ่ แขนยาวขายาว ดอกไม้สีฟ้า สีเหลือง พื้นขาว L ตัวโชว์</v>
          </cell>
        </row>
        <row r="1374">
          <cell r="A1374" t="str">
            <v>BC0325-M</v>
          </cell>
          <cell r="B1374" t="str">
            <v>JC325</v>
          </cell>
          <cell r="C1374" t="str">
            <v>เยื่อไผ่ แขนยาวขายาว ดอกไม้สีฟ้า สีเหลือง พื้นขาว M</v>
          </cell>
        </row>
        <row r="1375">
          <cell r="A1375" t="str">
            <v>BC0325-S</v>
          </cell>
          <cell r="B1375" t="str">
            <v>C325</v>
          </cell>
          <cell r="C1375" t="str">
            <v>เยื่อไผ่ แขนยาวขายาว ดอกไม้สีฟ้า สีเหลือง พื้นขาว S</v>
          </cell>
        </row>
        <row r="1376">
          <cell r="A1376" t="str">
            <v>BC0325-XL</v>
          </cell>
          <cell r="B1376" t="str">
            <v>JC325</v>
          </cell>
          <cell r="C1376" t="str">
            <v>เยื่อไผ่ แขนยาวขายาว ดอกไม้สีฟ้า สีเหลือง พื้นขาว XL ตัวโชว์</v>
          </cell>
        </row>
        <row r="1377">
          <cell r="A1377" t="str">
            <v>BC0326-2XL</v>
          </cell>
          <cell r="B1377" t="str">
            <v>BC326</v>
          </cell>
          <cell r="C1377" t="str">
            <v>เยื่อไผ่ แขนยาวขายาว ดอกไม้น้อย สีชมพู พื้นวนิลา 2XL</v>
          </cell>
        </row>
        <row r="1378">
          <cell r="A1378" t="str">
            <v>BC0326-L</v>
          </cell>
          <cell r="B1378" t="str">
            <v>C326</v>
          </cell>
          <cell r="C1378" t="str">
            <v>เยื่อไผ่ แขนยาวขายาว ดอกไม้น้อย สีชมพู พื้นวนิลา L</v>
          </cell>
        </row>
        <row r="1379">
          <cell r="A1379" t="str">
            <v>BC0326-M</v>
          </cell>
          <cell r="B1379" t="str">
            <v>C326</v>
          </cell>
          <cell r="C1379" t="str">
            <v>เยื่อไผ่ แขนยาวขายาว ดอกไม้น้อย สีชมพู พื้นวนิลา M</v>
          </cell>
        </row>
        <row r="1380">
          <cell r="A1380" t="str">
            <v>BC0326-S</v>
          </cell>
          <cell r="B1380" t="str">
            <v>C326</v>
          </cell>
          <cell r="C1380" t="str">
            <v>เยื่อไผ่ แขนยาวขายาว ดอกไม้น้อย สีชมพู พื้นวนิลา S</v>
          </cell>
        </row>
        <row r="1381">
          <cell r="A1381" t="str">
            <v>BC0326-XL</v>
          </cell>
          <cell r="B1381" t="str">
            <v>C326</v>
          </cell>
          <cell r="C1381" t="str">
            <v>เยื่อไผ่ แขนยาวขายาว ดอกไม้น้อย สีชมพู พื้นวนิลา XL</v>
          </cell>
        </row>
        <row r="1382">
          <cell r="A1382" t="str">
            <v>BC0327-L</v>
          </cell>
          <cell r="B1382" t="str">
            <v>C327</v>
          </cell>
          <cell r="C1382" t="str">
            <v>เยื่อไผ่ แขนยาวขายาว ดอกไม้อวกาศ พื้นชมพู L</v>
          </cell>
        </row>
        <row r="1383">
          <cell r="A1383" t="str">
            <v>BC0327-M</v>
          </cell>
          <cell r="B1383" t="str">
            <v>C327</v>
          </cell>
          <cell r="C1383" t="str">
            <v>เยื่อไผ่ แขนยาวขายาว ดอกไม้อวกาศ พื้นชมพู M</v>
          </cell>
        </row>
        <row r="1384">
          <cell r="A1384" t="str">
            <v>BC0327-S</v>
          </cell>
          <cell r="B1384" t="str">
            <v>C327</v>
          </cell>
          <cell r="C1384" t="str">
            <v>เยื่อไผ่ แขนยาวขายาว ดอกไม้อวกาศ พื้นชมพู S</v>
          </cell>
        </row>
        <row r="1385">
          <cell r="A1385" t="str">
            <v>BC0327-XL</v>
          </cell>
          <cell r="B1385" t="str">
            <v>C327</v>
          </cell>
          <cell r="C1385" t="str">
            <v>เยื่อไผ่ แขนยาวขายาว ดอกไม้อวกาศ พื้นชมพู XL</v>
          </cell>
        </row>
        <row r="1386">
          <cell r="A1386" t="str">
            <v>BC0337-L</v>
          </cell>
          <cell r="B1386" t="str">
            <v>C337</v>
          </cell>
          <cell r="C1386" t="str">
            <v>เยื่อไผ่ แขนยาวขายาว แมวฟ้า กุ๊นขอบ L</v>
          </cell>
        </row>
        <row r="1387">
          <cell r="A1387" t="str">
            <v>BC0337-M</v>
          </cell>
          <cell r="B1387" t="str">
            <v>C337</v>
          </cell>
          <cell r="C1387" t="str">
            <v>เยื่อไผ่ แขนยาวขายาว แมวฟ้า กุ๊นขอบ M</v>
          </cell>
        </row>
        <row r="1388">
          <cell r="A1388" t="str">
            <v>BC0337-S</v>
          </cell>
          <cell r="B1388" t="str">
            <v>C337</v>
          </cell>
          <cell r="C1388" t="str">
            <v>เยื่อไผ่ แขนยาวขายาว แมวฟ้า กุ๊นขอบ S</v>
          </cell>
        </row>
        <row r="1389">
          <cell r="A1389" t="str">
            <v>BC0352-L</v>
          </cell>
          <cell r="B1389" t="str">
            <v>C352</v>
          </cell>
          <cell r="C1389" t="str">
            <v>เยื่อไผ่ แขนยาวขายาว Sea Animals L</v>
          </cell>
        </row>
        <row r="1390">
          <cell r="A1390" t="str">
            <v>BC0352-M</v>
          </cell>
          <cell r="B1390" t="str">
            <v>BC352</v>
          </cell>
          <cell r="C1390" t="str">
            <v>เยื่อไผ่ แขนยาวขายาว Sea Animals M</v>
          </cell>
        </row>
        <row r="1391">
          <cell r="A1391" t="str">
            <v>BC0352-S</v>
          </cell>
          <cell r="B1391" t="str">
            <v>BC352</v>
          </cell>
          <cell r="C1391" t="str">
            <v>เยื่อไผ่ แขนยาวขายาว Sea Animals S</v>
          </cell>
        </row>
        <row r="1392">
          <cell r="A1392" t="str">
            <v>BC0352-XL</v>
          </cell>
          <cell r="B1392" t="str">
            <v>BC352</v>
          </cell>
          <cell r="C1392" t="str">
            <v>เยื่อไผ่ แขนยาวขายาว Sea Animals XL</v>
          </cell>
        </row>
        <row r="1393">
          <cell r="A1393" t="str">
            <v>BC0357-L</v>
          </cell>
          <cell r="B1393" t="str">
            <v>C357</v>
          </cell>
          <cell r="C1393" t="str">
            <v>เยื่อไผ่ แขนยาวขายาว ผีเสื้อ พื้เหลืองอ่อน L</v>
          </cell>
        </row>
        <row r="1394">
          <cell r="A1394" t="str">
            <v>BC0357-M</v>
          </cell>
          <cell r="B1394" t="str">
            <v>C357</v>
          </cell>
          <cell r="C1394" t="str">
            <v>เยื่อไผ่ แขนยาวขายาว ผีเสื้อ พื้เหลืองอ่อน M</v>
          </cell>
        </row>
        <row r="1395">
          <cell r="A1395" t="str">
            <v>BC0357-S</v>
          </cell>
          <cell r="B1395" t="str">
            <v>C357</v>
          </cell>
          <cell r="C1395" t="str">
            <v>เยื่อไผ่ แขนยาวขายาว ผีเสื้อ พื้เหลืองอ่อน S</v>
          </cell>
        </row>
        <row r="1396">
          <cell r="A1396" t="str">
            <v>BC0357-XL</v>
          </cell>
          <cell r="B1396" t="str">
            <v>C357</v>
          </cell>
          <cell r="C1396" t="str">
            <v>เยื่อไผ่ แขนยาวขายาว ผีเสื้อ พื้เหลืองอ่อน XL</v>
          </cell>
        </row>
        <row r="1397">
          <cell r="A1397" t="str">
            <v>BC0358-L</v>
          </cell>
          <cell r="B1397" t="str">
            <v>C358</v>
          </cell>
          <cell r="C1397" t="str">
            <v>เยื่อไผ่ แขนยาวขายาว เรนโบว์ พีช พื้นชมพู L</v>
          </cell>
        </row>
        <row r="1398">
          <cell r="A1398" t="str">
            <v>BC0358-M</v>
          </cell>
          <cell r="B1398" t="str">
            <v>C358</v>
          </cell>
          <cell r="C1398" t="str">
            <v>เยื่อไผ่ แขนยาวขายาว เรนโบว์ พีช พื้นชมพู M</v>
          </cell>
        </row>
        <row r="1399">
          <cell r="A1399" t="str">
            <v>BC0358-S</v>
          </cell>
          <cell r="B1399" t="str">
            <v>C358</v>
          </cell>
          <cell r="C1399" t="str">
            <v>เยื่อไผ่ แขนยาวขายาว เรนโบว์ พีช พื้นชมพู S</v>
          </cell>
        </row>
        <row r="1400">
          <cell r="A1400" t="str">
            <v>BC0358-XL</v>
          </cell>
          <cell r="B1400" t="str">
            <v>C358</v>
          </cell>
          <cell r="C1400" t="str">
            <v>เยื่อไผ่ แขนยาวขายาว เรนโบว์ พีช พื้นชมพู XL</v>
          </cell>
        </row>
        <row r="1401">
          <cell r="A1401" t="str">
            <v>BC0361-L</v>
          </cell>
          <cell r="B1401" t="str">
            <v>C361</v>
          </cell>
          <cell r="C1401" t="str">
            <v>เยื่อไผ่ แขนยาวขายาว ดอกเหมยลี่ พื้นครีม L</v>
          </cell>
        </row>
        <row r="1402">
          <cell r="A1402" t="str">
            <v>BC0361-M</v>
          </cell>
          <cell r="B1402" t="str">
            <v>C361</v>
          </cell>
          <cell r="C1402" t="str">
            <v>เยื่อไผ่ แขนยาวขายาว ดอกเหมยลี่ พื้นครีม M</v>
          </cell>
        </row>
        <row r="1403">
          <cell r="A1403" t="str">
            <v>BC0361-S</v>
          </cell>
          <cell r="B1403" t="str">
            <v>C361</v>
          </cell>
          <cell r="C1403" t="str">
            <v>เยื่อไผ่ แขนยาวขายาว ดอกเหมยลี่ พื้นครีม S</v>
          </cell>
        </row>
        <row r="1404">
          <cell r="A1404" t="str">
            <v>BC0369-L</v>
          </cell>
          <cell r="B1404" t="str">
            <v>C369</v>
          </cell>
          <cell r="C1404" t="str">
            <v>เยื่อไผ่ แขนยาวขายาว พื้นขาว ดอกไม้คราม L</v>
          </cell>
        </row>
        <row r="1405">
          <cell r="A1405" t="str">
            <v>BC0369-M</v>
          </cell>
          <cell r="B1405" t="str">
            <v>C369</v>
          </cell>
          <cell r="C1405" t="str">
            <v>เยื่อไผ่ แขนยาวขายาว พื้นขาว ดอกไม้คราม M</v>
          </cell>
        </row>
        <row r="1406">
          <cell r="A1406" t="str">
            <v>BC0369-S</v>
          </cell>
          <cell r="B1406" t="str">
            <v>C369</v>
          </cell>
          <cell r="C1406" t="str">
            <v>เยื่อไผ่ แขนยาวขายาว พื้นขาว ดอกไม้คราม S</v>
          </cell>
        </row>
        <row r="1407">
          <cell r="A1407" t="str">
            <v>BC0369-XL</v>
          </cell>
          <cell r="B1407" t="str">
            <v>C369</v>
          </cell>
          <cell r="C1407" t="str">
            <v>เยื่อไผ่ แขนยาวขายาว พื้นขาว ดอกไม้คราม XL</v>
          </cell>
        </row>
        <row r="1408">
          <cell r="A1408" t="str">
            <v>BC0370-L</v>
          </cell>
          <cell r="B1408" t="str">
            <v>C370</v>
          </cell>
          <cell r="C1408" t="str">
            <v>เยื่อไผ่ แขนยาวขายาว ดอกไม้เขียว L</v>
          </cell>
        </row>
        <row r="1409">
          <cell r="A1409" t="str">
            <v>BC0370-M</v>
          </cell>
          <cell r="B1409" t="str">
            <v>C370</v>
          </cell>
          <cell r="C1409" t="str">
            <v>เยื่อไผ่ แขนยาวขายาว ดอกไม้เขียว M</v>
          </cell>
        </row>
        <row r="1410">
          <cell r="A1410" t="str">
            <v>BC0370-S</v>
          </cell>
          <cell r="B1410" t="str">
            <v>BC370</v>
          </cell>
          <cell r="C1410" t="str">
            <v>เยื่อไผ่ แขนยาวขายาว ดอกไม้เขียว S</v>
          </cell>
        </row>
        <row r="1411">
          <cell r="A1411" t="str">
            <v>BC0370-XL</v>
          </cell>
          <cell r="B1411" t="str">
            <v>C370</v>
          </cell>
          <cell r="C1411" t="str">
            <v>เยื่อไผ่ แขนยาวขายาว ดอกไม้เขียว XL</v>
          </cell>
        </row>
        <row r="1412">
          <cell r="A1412" t="str">
            <v>BC0372-L</v>
          </cell>
          <cell r="B1412" t="str">
            <v>C372</v>
          </cell>
          <cell r="C1412" t="str">
            <v>เยื่อไผ่ แขนยาวขายาว พื้นดำ L</v>
          </cell>
        </row>
        <row r="1413">
          <cell r="A1413" t="str">
            <v>BC0372-M</v>
          </cell>
          <cell r="B1413" t="str">
            <v>C372</v>
          </cell>
          <cell r="C1413" t="str">
            <v>เยื่อไผ่ แขนยาวขายาว พื้นดำ M</v>
          </cell>
        </row>
        <row r="1414">
          <cell r="A1414" t="str">
            <v>BC0372-S</v>
          </cell>
          <cell r="B1414" t="str">
            <v>C372</v>
          </cell>
          <cell r="C1414" t="str">
            <v>เยื่อไผ่ แขนยาวขายาว พื้นดำ S</v>
          </cell>
        </row>
        <row r="1415">
          <cell r="A1415" t="str">
            <v>BC0372-XL</v>
          </cell>
          <cell r="B1415" t="str">
            <v>C372</v>
          </cell>
          <cell r="C1415" t="str">
            <v>เยื่อไผ่ แขนยาวขายาว พื้นดำ XL</v>
          </cell>
        </row>
        <row r="1416">
          <cell r="A1416" t="str">
            <v>BC0373-L</v>
          </cell>
          <cell r="B1416" t="str">
            <v>C373</v>
          </cell>
          <cell r="C1416" t="str">
            <v>เยื่อไผ่ แขนยาวขายาว เสื้อเขียว กางเกงดอก L</v>
          </cell>
        </row>
        <row r="1417">
          <cell r="A1417" t="str">
            <v>BC0373-M</v>
          </cell>
          <cell r="B1417" t="str">
            <v>C373</v>
          </cell>
          <cell r="C1417" t="str">
            <v>เยื่อไผ่ แขนยาวขายาว เสื้อเขียว กางเกงดอก M</v>
          </cell>
        </row>
        <row r="1418">
          <cell r="A1418" t="str">
            <v>BC0373-XL</v>
          </cell>
          <cell r="B1418" t="str">
            <v>BC373</v>
          </cell>
          <cell r="C1418" t="str">
            <v>เยื่อไผ่ แขนยาวขายาว เสื้อเขียว กางเกงดอก XL</v>
          </cell>
        </row>
        <row r="1419">
          <cell r="A1419" t="str">
            <v>BC0374-L</v>
          </cell>
          <cell r="B1419" t="str">
            <v>C374</v>
          </cell>
          <cell r="C1419" t="str">
            <v>เยื่อไผ่ แขนยาวขายาว หมาจิ้งจอก พื้นม่วง L</v>
          </cell>
        </row>
        <row r="1420">
          <cell r="A1420" t="str">
            <v>BC0374-M</v>
          </cell>
          <cell r="B1420" t="str">
            <v>C374</v>
          </cell>
          <cell r="C1420" t="str">
            <v>เยื่อไผ่ แขนยาวขายาว หมาจิ้งจอก พื้นม่วง M</v>
          </cell>
        </row>
        <row r="1421">
          <cell r="A1421" t="str">
            <v>BC0374-S</v>
          </cell>
          <cell r="B1421" t="str">
            <v>C374</v>
          </cell>
          <cell r="C1421" t="str">
            <v>เยื่อไผ่ แขนยาวขายาว หมาจิ้งจอก พื้นม่วง S</v>
          </cell>
        </row>
        <row r="1422">
          <cell r="A1422" t="str">
            <v>BC0374-XL</v>
          </cell>
          <cell r="B1422" t="str">
            <v>C374</v>
          </cell>
          <cell r="C1422" t="str">
            <v>เยื่อไผ่ แขนยาวขายาว หมาจิ้งจอก พื้นม่วง XL</v>
          </cell>
        </row>
        <row r="1423">
          <cell r="A1423" t="str">
            <v>BC0375-L</v>
          </cell>
          <cell r="B1423" t="str">
            <v>C375</v>
          </cell>
          <cell r="C1423" t="str">
            <v>เยื่อไผ่ แขนยาวขายาว ดอกไม้เหลือง พื้นเหลือง L</v>
          </cell>
        </row>
        <row r="1424">
          <cell r="A1424" t="str">
            <v>BC0375-M</v>
          </cell>
          <cell r="B1424" t="str">
            <v>C375</v>
          </cell>
          <cell r="C1424" t="str">
            <v>เยื่อไผ่ แขนยาวขายาว ดอกไม้เหลือง พื้นเหลือง M</v>
          </cell>
        </row>
        <row r="1425">
          <cell r="A1425" t="str">
            <v>BC0375-S</v>
          </cell>
          <cell r="B1425" t="str">
            <v>C375</v>
          </cell>
          <cell r="C1425" t="str">
            <v>เยื่อไผ่ แขนยาวขายาว ดอกไม้เหลือง พื้นเหลือง S</v>
          </cell>
        </row>
        <row r="1426">
          <cell r="A1426" t="str">
            <v>BC0375-XL</v>
          </cell>
          <cell r="B1426" t="str">
            <v>C375</v>
          </cell>
          <cell r="C1426" t="str">
            <v>เยื่อไผ่ แขนยาวขายาว ดอกไม้เหลือง พื้นเหลือง XL</v>
          </cell>
        </row>
        <row r="1427">
          <cell r="A1427" t="str">
            <v>BC0376-L</v>
          </cell>
          <cell r="B1427" t="str">
            <v>C376</v>
          </cell>
          <cell r="C1427" t="str">
            <v>เยื่อไผ่ แขนยาวขายาว ดอกบัว ลายเส้น L</v>
          </cell>
        </row>
        <row r="1428">
          <cell r="A1428" t="str">
            <v>BC0376-M</v>
          </cell>
          <cell r="B1428" t="str">
            <v>C376</v>
          </cell>
          <cell r="C1428" t="str">
            <v>เยื่อไผ่ แขนยาวขายาว ดอกบัว ลายเส้น M</v>
          </cell>
        </row>
        <row r="1429">
          <cell r="A1429" t="str">
            <v>BC0376-S</v>
          </cell>
          <cell r="B1429" t="str">
            <v>C376</v>
          </cell>
          <cell r="C1429" t="str">
            <v>เยื่อไผ่ แขนยาวขายาว ดอกบัว ลายเส้น S</v>
          </cell>
        </row>
        <row r="1430">
          <cell r="A1430" t="str">
            <v>BC0376-XL</v>
          </cell>
          <cell r="B1430" t="str">
            <v>BC376</v>
          </cell>
          <cell r="C1430" t="str">
            <v>เยื่อไผ่ แขนยาวขายาว ดอกบัว ลายเส้น XL</v>
          </cell>
        </row>
        <row r="1431">
          <cell r="A1431" t="str">
            <v>BC0377-L</v>
          </cell>
          <cell r="B1431" t="str">
            <v>BC377</v>
          </cell>
          <cell r="C1431" t="str">
            <v>เยื่อไผ่ แขนยาวขายาว ชาวบ้าน เสื้อเขียว L</v>
          </cell>
        </row>
        <row r="1432">
          <cell r="A1432" t="str">
            <v>BC0377-M</v>
          </cell>
          <cell r="B1432" t="str">
            <v>C377</v>
          </cell>
          <cell r="C1432" t="str">
            <v>เยื่อไผ่ แขนยาวขายาว ชาวบ้าน เสื้อเขียว M</v>
          </cell>
        </row>
        <row r="1433">
          <cell r="A1433" t="str">
            <v>BC0377-S</v>
          </cell>
          <cell r="B1433" t="str">
            <v>BC377</v>
          </cell>
          <cell r="C1433" t="str">
            <v>เยื่อไผ่ แขนยาวขายาว ชาวบ้าน เสื้อเขียว S</v>
          </cell>
        </row>
        <row r="1434">
          <cell r="A1434" t="str">
            <v>BC0377-XL</v>
          </cell>
          <cell r="B1434" t="str">
            <v>C377</v>
          </cell>
          <cell r="C1434" t="str">
            <v>เยื่อไผ่ แขนยาวขายาว ชาวบ้าน เสื้อเขียว XL</v>
          </cell>
        </row>
        <row r="1435">
          <cell r="A1435" t="str">
            <v>BC0378-L</v>
          </cell>
          <cell r="B1435" t="str">
            <v>C378</v>
          </cell>
          <cell r="C1435" t="str">
            <v>เยื่อไผ่ แขนยาวขายาว ทิวลิป ปกเขียว L</v>
          </cell>
        </row>
        <row r="1436">
          <cell r="A1436" t="str">
            <v>BC0378-M</v>
          </cell>
          <cell r="B1436" t="str">
            <v>C378</v>
          </cell>
          <cell r="C1436" t="str">
            <v>เยื่อไผ่ แขนยาวขายาว ทิวลิป ปกเขียว M</v>
          </cell>
        </row>
        <row r="1437">
          <cell r="A1437" t="str">
            <v>BC0378-S</v>
          </cell>
          <cell r="B1437" t="str">
            <v>C378</v>
          </cell>
          <cell r="C1437" t="str">
            <v>เยื่อไผ่ แขนยาวขายาว ทิวลิป ปกเขียว S</v>
          </cell>
        </row>
        <row r="1438">
          <cell r="A1438" t="str">
            <v>BC0378-XL</v>
          </cell>
          <cell r="B1438" t="str">
            <v>C378</v>
          </cell>
          <cell r="C1438" t="str">
            <v>เยื่อไผ่ แขนยาวขายาว ทิวลิป ปกเขียว XL</v>
          </cell>
        </row>
        <row r="1439">
          <cell r="A1439" t="str">
            <v>BC0379-L</v>
          </cell>
          <cell r="B1439" t="str">
            <v>C379</v>
          </cell>
          <cell r="C1439" t="str">
            <v>เยื่อไผ่ แขนยาวขายาว ทิวลิป ปกชมพู L</v>
          </cell>
        </row>
        <row r="1440">
          <cell r="A1440" t="str">
            <v>BC0379-M</v>
          </cell>
          <cell r="B1440" t="str">
            <v>C379</v>
          </cell>
          <cell r="C1440" t="str">
            <v>เยื่อไผ่ แขนยาวขายาว ทิวลิป ปกชมพู M</v>
          </cell>
        </row>
        <row r="1441">
          <cell r="A1441" t="str">
            <v>BC0379-S</v>
          </cell>
          <cell r="B1441" t="str">
            <v>BC379</v>
          </cell>
          <cell r="C1441" t="str">
            <v>เยื่อไผ่ แขนยาวขายาว ทิวลิป ปกชมพู S</v>
          </cell>
        </row>
        <row r="1442">
          <cell r="A1442" t="str">
            <v>BC0379-XL</v>
          </cell>
          <cell r="B1442" t="str">
            <v>C379</v>
          </cell>
          <cell r="C1442" t="str">
            <v>เยื่อไผ่ แขนยาวขายาว ทิวลิป ปกชมพู XL</v>
          </cell>
        </row>
        <row r="1443">
          <cell r="A1443" t="str">
            <v>BC0380-L</v>
          </cell>
          <cell r="B1443" t="str">
            <v>C380</v>
          </cell>
          <cell r="C1443" t="str">
            <v>เยื่อไผ่ แขนยาวขายาว ดอกอัญชัน พื้นครีม L</v>
          </cell>
        </row>
        <row r="1444">
          <cell r="A1444" t="str">
            <v>BC0380-M</v>
          </cell>
          <cell r="B1444" t="str">
            <v>C380</v>
          </cell>
          <cell r="C1444" t="str">
            <v>เยื่อไผ่ แขนยาวขายาว ดอกอัญชัน พื้นครีม M</v>
          </cell>
        </row>
        <row r="1445">
          <cell r="A1445" t="str">
            <v>BC0380-S</v>
          </cell>
          <cell r="B1445" t="str">
            <v>BC380</v>
          </cell>
          <cell r="C1445" t="str">
            <v>เยื่อไผ่ แขนยาวขายาว ดอกอัญชัน พื้นครีม S</v>
          </cell>
        </row>
        <row r="1446">
          <cell r="A1446" t="str">
            <v>BC0380-XL</v>
          </cell>
          <cell r="B1446" t="str">
            <v>C380</v>
          </cell>
          <cell r="C1446" t="str">
            <v>เยื่อไผ่ แขนยาวขายาว ดอกอัญชัน พื้นครีม XL</v>
          </cell>
        </row>
        <row r="1447">
          <cell r="A1447" t="str">
            <v>BC0383-L</v>
          </cell>
          <cell r="B1447" t="str">
            <v>C383</v>
          </cell>
          <cell r="C1447" t="str">
            <v>เยื่อไผ่ แขนยาวขายาว Alphabet พื้นครีม L</v>
          </cell>
        </row>
        <row r="1448">
          <cell r="A1448" t="str">
            <v>BC0383-M</v>
          </cell>
          <cell r="B1448" t="str">
            <v>C383</v>
          </cell>
          <cell r="C1448" t="str">
            <v>เยื่อไผ่ แขนยาวขายาว Alphabet พื้นครีม M</v>
          </cell>
        </row>
        <row r="1449">
          <cell r="A1449" t="str">
            <v>BC0383-XL</v>
          </cell>
          <cell r="B1449" t="str">
            <v>C383</v>
          </cell>
          <cell r="C1449" t="str">
            <v>เยื่อไผ่ แขนยาวขายาว Alphabet พื้นครีม XL</v>
          </cell>
        </row>
        <row r="1450">
          <cell r="A1450" t="str">
            <v>BC0384-L</v>
          </cell>
          <cell r="B1450" t="str">
            <v>C384</v>
          </cell>
          <cell r="C1450" t="str">
            <v>เยื่อไผ่ แขนยาวขายาว ลายทาง gloomy L</v>
          </cell>
        </row>
        <row r="1451">
          <cell r="A1451" t="str">
            <v>BC0384-M</v>
          </cell>
          <cell r="B1451" t="str">
            <v>C384</v>
          </cell>
          <cell r="C1451" t="str">
            <v>เยื่อไผ่ แขนยาวขายาว ลายทาง gloomy M</v>
          </cell>
        </row>
        <row r="1452">
          <cell r="A1452" t="str">
            <v>BD0001-F</v>
          </cell>
          <cell r="B1452" t="str">
            <v>D1</v>
          </cell>
          <cell r="C1452" t="str">
            <v>เยื่อไผ่ เดรส สีคราม Freesize</v>
          </cell>
        </row>
        <row r="1453">
          <cell r="A1453" t="str">
            <v>BD0002-F</v>
          </cell>
          <cell r="B1453" t="str">
            <v>D2</v>
          </cell>
          <cell r="C1453" t="str">
            <v>เยื่อไผ่ เดรส สีมิ้น Freesize</v>
          </cell>
        </row>
        <row r="1454">
          <cell r="A1454" t="str">
            <v>BD0003-F</v>
          </cell>
          <cell r="B1454" t="str">
            <v>D3</v>
          </cell>
          <cell r="C1454" t="str">
            <v>เยื่อไผ่ เดรส สีชมพู Freesize</v>
          </cell>
        </row>
        <row r="1455">
          <cell r="A1455" t="str">
            <v>BD0004-F</v>
          </cell>
          <cell r="B1455" t="str">
            <v>D4</v>
          </cell>
          <cell r="C1455" t="str">
            <v>เยื่อไผ่ เดรส สีขาว Freesize</v>
          </cell>
        </row>
        <row r="1456">
          <cell r="A1456" t="str">
            <v>BD0005-F</v>
          </cell>
          <cell r="B1456" t="str">
            <v>D5</v>
          </cell>
          <cell r="C1456" t="str">
            <v>เยื่อไผ่ เดรส ดอกไม้น้ำตาล พื้นฟ้า Freesize</v>
          </cell>
        </row>
        <row r="1457">
          <cell r="A1457" t="str">
            <v>BD0006-L</v>
          </cell>
          <cell r="B1457" t="str">
            <v>D6</v>
          </cell>
          <cell r="C1457" t="str">
            <v>เยื่อไผ่ เดรส สีโอรส ดอกไม้ม่วงเทา L</v>
          </cell>
        </row>
        <row r="1458">
          <cell r="A1458" t="str">
            <v>BD0006-M</v>
          </cell>
          <cell r="B1458" t="str">
            <v>D6</v>
          </cell>
          <cell r="C1458" t="str">
            <v>เยื่อไผ่ เดรส สีโอรส ดอกไม้ม่วงเทา M</v>
          </cell>
        </row>
        <row r="1459">
          <cell r="A1459" t="str">
            <v>BD0006-XL</v>
          </cell>
          <cell r="B1459" t="str">
            <v>D6</v>
          </cell>
          <cell r="C1459" t="str">
            <v>เยื่อไผ่ เดรส สีโอรส ดอกไม้ม่วงเทา XL</v>
          </cell>
        </row>
        <row r="1460">
          <cell r="A1460" t="str">
            <v>BD0007-L</v>
          </cell>
          <cell r="B1460" t="str">
            <v>D7</v>
          </cell>
          <cell r="C1460" t="str">
            <v>เยื่อไผ่ เดรสสายเดี่ยว เขียวจุด L</v>
          </cell>
        </row>
        <row r="1461">
          <cell r="A1461" t="str">
            <v>BD0007-M</v>
          </cell>
          <cell r="B1461" t="str">
            <v>D7</v>
          </cell>
          <cell r="C1461" t="str">
            <v>เยื่อไผ่ เดรสสายเดี่ยว เขียวจุด M</v>
          </cell>
        </row>
        <row r="1462">
          <cell r="A1462" t="str">
            <v>BD0007-S</v>
          </cell>
          <cell r="B1462" t="str">
            <v>D7</v>
          </cell>
          <cell r="C1462" t="str">
            <v>เยื่อไผ่ เดรสสายเดี่ยว เขียวจุด S</v>
          </cell>
        </row>
        <row r="1463">
          <cell r="A1463" t="str">
            <v>BD0008-L</v>
          </cell>
          <cell r="B1463" t="str">
            <v>D8</v>
          </cell>
          <cell r="C1463" t="str">
            <v>เยื่อไผ่ เดรสสายเดี่ยว แดงจุด L</v>
          </cell>
        </row>
        <row r="1464">
          <cell r="A1464" t="str">
            <v>BD0008-M</v>
          </cell>
          <cell r="B1464" t="str">
            <v>D8</v>
          </cell>
          <cell r="C1464" t="str">
            <v>เยื่อไผ่ เดรสสายเดี่ยว แดงจุด M</v>
          </cell>
        </row>
        <row r="1465">
          <cell r="A1465" t="str">
            <v>BD0008-S</v>
          </cell>
          <cell r="B1465" t="str">
            <v>D8</v>
          </cell>
          <cell r="C1465" t="str">
            <v>เยื่อไผ่ เดรสสายเดี่ยว แดงจุด S</v>
          </cell>
        </row>
        <row r="1466">
          <cell r="A1466" t="str">
            <v>BD0009-L</v>
          </cell>
          <cell r="B1466" t="str">
            <v>D9</v>
          </cell>
          <cell r="C1466" t="str">
            <v>เยื่อไผ่ เดรสสายเดี่ยว ม่วงจุด L</v>
          </cell>
        </row>
        <row r="1467">
          <cell r="A1467" t="str">
            <v>BD0009-M</v>
          </cell>
          <cell r="B1467" t="str">
            <v>D9</v>
          </cell>
          <cell r="C1467" t="str">
            <v>เยื่อไผ่ เดรสสายเดี่ยว ม่วงจุด M</v>
          </cell>
        </row>
        <row r="1468">
          <cell r="A1468" t="str">
            <v>BD0009-S</v>
          </cell>
          <cell r="B1468" t="str">
            <v>D9</v>
          </cell>
          <cell r="C1468" t="str">
            <v>เยื่อไผ่ เดรสสายเดี่ยว ม่วงจุด S</v>
          </cell>
        </row>
        <row r="1469">
          <cell r="A1469" t="str">
            <v>BD0010-L</v>
          </cell>
          <cell r="B1469" t="str">
            <v>D10</v>
          </cell>
          <cell r="C1469" t="str">
            <v>เยื่อไผ่ เดรสสายเดี่ยว ชมพูจุด L</v>
          </cell>
        </row>
        <row r="1470">
          <cell r="A1470" t="str">
            <v>BD0010-M</v>
          </cell>
          <cell r="B1470" t="str">
            <v>D10</v>
          </cell>
          <cell r="C1470" t="str">
            <v>เยื่อไผ่ เดรสสายเดี่ยว ชมพูจุด M</v>
          </cell>
        </row>
        <row r="1471">
          <cell r="A1471" t="str">
            <v>BD0010-S</v>
          </cell>
          <cell r="B1471" t="str">
            <v>D10</v>
          </cell>
          <cell r="C1471" t="str">
            <v>เยื่อไผ่ เดรสสายเดี่ยว ชมพูจุด S</v>
          </cell>
        </row>
        <row r="1472">
          <cell r="A1472" t="str">
            <v>BD0011-L</v>
          </cell>
          <cell r="B1472" t="str">
            <v>D11</v>
          </cell>
          <cell r="C1472" t="str">
            <v>เยื่อไผ่ เดรสสายเดี่ยว ขาวจุด L</v>
          </cell>
        </row>
        <row r="1473">
          <cell r="A1473" t="str">
            <v>BD0011-M</v>
          </cell>
          <cell r="B1473" t="str">
            <v>D11</v>
          </cell>
          <cell r="C1473" t="str">
            <v>เยื่อไผ่ เดรสสายเดี่ยว ขาวจุด M</v>
          </cell>
        </row>
        <row r="1474">
          <cell r="A1474" t="str">
            <v>BD0011-S</v>
          </cell>
          <cell r="B1474" t="str">
            <v>D11</v>
          </cell>
          <cell r="C1474" t="str">
            <v>เยื่อไผ่ เดรสสายเดี่ยว ขาวจุด S</v>
          </cell>
        </row>
        <row r="1475">
          <cell r="A1475" t="str">
            <v>BD0012-L</v>
          </cell>
          <cell r="B1475" t="str">
            <v>D12</v>
          </cell>
          <cell r="C1475" t="str">
            <v>เยื่อไผ่ เดรสแขนสั้น พื้นเขียว L</v>
          </cell>
        </row>
        <row r="1476">
          <cell r="A1476" t="str">
            <v>BD0012-M</v>
          </cell>
          <cell r="B1476" t="str">
            <v>D12</v>
          </cell>
          <cell r="C1476" t="str">
            <v>เยื่อไผ่ เดรสแขนสั้น พื้นเขียว M</v>
          </cell>
        </row>
        <row r="1477">
          <cell r="A1477" t="str">
            <v>BD0012-XL</v>
          </cell>
          <cell r="B1477" t="str">
            <v>D12</v>
          </cell>
          <cell r="C1477" t="str">
            <v>เยื่อไผ่ เดรสแขนสั้น พื้นเขียว XL</v>
          </cell>
        </row>
        <row r="1478">
          <cell r="A1478" t="str">
            <v>BD0013-L</v>
          </cell>
          <cell r="B1478" t="str">
            <v>D13</v>
          </cell>
          <cell r="C1478" t="str">
            <v>เยื่อไผ่ เดรสแขนสั้น พื้นชมพูอ่อน L</v>
          </cell>
        </row>
        <row r="1479">
          <cell r="A1479" t="str">
            <v>BD0013-M</v>
          </cell>
          <cell r="B1479" t="str">
            <v>D13</v>
          </cell>
          <cell r="C1479" t="str">
            <v>เยื่อไผ่ เดรสแขนสั้น พื้นชมพูอ่อน M</v>
          </cell>
        </row>
        <row r="1480">
          <cell r="A1480" t="str">
            <v>BD0013-XL</v>
          </cell>
          <cell r="B1480" t="str">
            <v>D13</v>
          </cell>
          <cell r="C1480" t="str">
            <v>เยื่อไผ่ เดรสแขนสั้น พื้นชมพูอ่อน XL</v>
          </cell>
        </row>
        <row r="1481">
          <cell r="A1481" t="str">
            <v>BD0015-L</v>
          </cell>
          <cell r="B1481" t="str">
            <v>D15</v>
          </cell>
          <cell r="C1481" t="str">
            <v>เยื่อไผ่ เดรสแขนสั้น ดอกชบา พื้นเขียวทะเล L</v>
          </cell>
        </row>
        <row r="1482">
          <cell r="A1482" t="str">
            <v>BD0015-M</v>
          </cell>
          <cell r="B1482" t="str">
            <v>D15</v>
          </cell>
          <cell r="C1482" t="str">
            <v>เยื่อไผ่ เดรสแขนสั้น ดอกชบา พื้นเขียวทะเล M</v>
          </cell>
        </row>
        <row r="1483">
          <cell r="A1483" t="str">
            <v>BD0015-XL</v>
          </cell>
          <cell r="B1483" t="str">
            <v>D15</v>
          </cell>
          <cell r="C1483" t="str">
            <v>เยื่อไผ่ เดรสแขนสั้น ดอกชบา พื้นเขียวทะเล XL</v>
          </cell>
        </row>
        <row r="1484">
          <cell r="A1484" t="str">
            <v>BD0017-L</v>
          </cell>
          <cell r="B1484" t="str">
            <v>D17</v>
          </cell>
          <cell r="C1484" t="str">
            <v>เยื่อไผ่ เดรสแขนสั้น สีกรม ดอกไม้ขาว L</v>
          </cell>
        </row>
        <row r="1485">
          <cell r="A1485" t="str">
            <v>BD0017-M</v>
          </cell>
          <cell r="B1485" t="str">
            <v>D17</v>
          </cell>
          <cell r="C1485" t="str">
            <v>เยื่อไผ่ เดรสแขนสั้น สีกรม ดอกไม้ขาว M</v>
          </cell>
        </row>
        <row r="1486">
          <cell r="A1486" t="str">
            <v>BD0018-L</v>
          </cell>
          <cell r="B1486" t="str">
            <v>D18</v>
          </cell>
          <cell r="C1486" t="str">
            <v>เยื่อไผ่ เดรสแขนสั้น ดอกไม้ชมพู พื้นฟ้าอ่อน L</v>
          </cell>
        </row>
        <row r="1487">
          <cell r="A1487" t="str">
            <v>BD0018-M</v>
          </cell>
          <cell r="B1487" t="str">
            <v>D18</v>
          </cell>
          <cell r="C1487" t="str">
            <v>เยื่อไผ่ เดรสแขนสั้น ดอกไม้ชมพู พื้นฟ้าอ่อน M</v>
          </cell>
        </row>
        <row r="1488">
          <cell r="A1488" t="str">
            <v>BD0018-XL</v>
          </cell>
          <cell r="B1488" t="str">
            <v>D18</v>
          </cell>
          <cell r="C1488" t="str">
            <v>เยื่อไผ่ เดรสแขนสั้น ดอกไม้ชมพู พื้นฟ้าอ่อน XL</v>
          </cell>
        </row>
        <row r="1489">
          <cell r="A1489" t="str">
            <v>BD0019-L</v>
          </cell>
          <cell r="B1489" t="str">
            <v>D19</v>
          </cell>
          <cell r="C1489" t="str">
            <v>เยื่อไผ่ เดรสแขนสั้น ดอกไม้ม่วง L</v>
          </cell>
        </row>
        <row r="1490">
          <cell r="A1490" t="str">
            <v>BD0019-M</v>
          </cell>
          <cell r="B1490" t="str">
            <v>D19</v>
          </cell>
          <cell r="C1490" t="str">
            <v>เยื่อไผ่ เดรสแขนสั้น ดอกไม้ม่วง M</v>
          </cell>
        </row>
        <row r="1491">
          <cell r="A1491" t="str">
            <v>BD0019-XL</v>
          </cell>
          <cell r="B1491" t="str">
            <v>D19</v>
          </cell>
          <cell r="C1491" t="str">
            <v>เยื่อไผ่ เดรสแขนสั้น ดอกไม้ม่วง XL</v>
          </cell>
        </row>
        <row r="1492">
          <cell r="A1492" t="str">
            <v>BD0020-L</v>
          </cell>
          <cell r="B1492" t="str">
            <v>D20</v>
          </cell>
          <cell r="C1492" t="str">
            <v>เยื่อไผ่ เดรสแขนสั้น ลายพีช L</v>
          </cell>
        </row>
        <row r="1493">
          <cell r="A1493" t="str">
            <v>BD0020-M</v>
          </cell>
          <cell r="B1493" t="str">
            <v>D20</v>
          </cell>
          <cell r="C1493" t="str">
            <v>เยื่อไผ่ เดรสแขนสั้น ลายพีช M</v>
          </cell>
        </row>
        <row r="1494">
          <cell r="A1494" t="str">
            <v>BD0020-XL</v>
          </cell>
          <cell r="B1494" t="str">
            <v>D20</v>
          </cell>
          <cell r="C1494" t="str">
            <v>เยื่อไผ่ เดรสแขนสั้น ลายพีช XL</v>
          </cell>
        </row>
        <row r="1495">
          <cell r="A1495" t="str">
            <v>BD0021-L</v>
          </cell>
          <cell r="B1495" t="str">
            <v>D21</v>
          </cell>
          <cell r="C1495" t="str">
            <v>เยื่อไผ่ เดรสแขนสั้น ลายจุด L</v>
          </cell>
        </row>
        <row r="1496">
          <cell r="A1496" t="str">
            <v>BD0021-M</v>
          </cell>
          <cell r="B1496" t="str">
            <v>D21</v>
          </cell>
          <cell r="C1496" t="str">
            <v>เยื่อไผ่ เดรสแขนสั้น ลายจุด M</v>
          </cell>
        </row>
        <row r="1497">
          <cell r="A1497" t="str">
            <v>BD0021-XL</v>
          </cell>
          <cell r="B1497" t="str">
            <v>D21</v>
          </cell>
          <cell r="C1497" t="str">
            <v>เดรสลายจุดแขนสั้น XL</v>
          </cell>
        </row>
        <row r="1498">
          <cell r="A1498" t="str">
            <v>BD0024-L</v>
          </cell>
          <cell r="B1498" t="str">
            <v>D24</v>
          </cell>
          <cell r="C1498" t="str">
            <v>เยื่อไผ่ เดรส แขนสั้น หมีการ์ตูน ชมพู L</v>
          </cell>
        </row>
        <row r="1499">
          <cell r="A1499" t="str">
            <v>BD0024-M</v>
          </cell>
          <cell r="B1499" t="str">
            <v>D24</v>
          </cell>
          <cell r="C1499" t="str">
            <v>เยื่อไผ่ เดรส แขนสั้น หมีการ์ตูน ชมพู M</v>
          </cell>
        </row>
        <row r="1500">
          <cell r="A1500" t="str">
            <v>BD0025-L</v>
          </cell>
          <cell r="B1500" t="str">
            <v>D25</v>
          </cell>
          <cell r="C1500" t="str">
            <v>เยื่อไผ่ เดรสแขนยาว ลายจุด L</v>
          </cell>
        </row>
        <row r="1501">
          <cell r="A1501" t="str">
            <v>BD0025-M</v>
          </cell>
          <cell r="B1501" t="str">
            <v>D25</v>
          </cell>
          <cell r="C1501" t="str">
            <v>เยื่อไผ่ เดรสแขนยาว ลายจุด M</v>
          </cell>
        </row>
        <row r="1502">
          <cell r="A1502" t="str">
            <v>BD0025-XL</v>
          </cell>
          <cell r="B1502" t="str">
            <v>D25</v>
          </cell>
          <cell r="C1502" t="str">
            <v>เยื่อไผ่ เดรสแขนยาว ลายจุด XL</v>
          </cell>
        </row>
        <row r="1503">
          <cell r="A1503" t="str">
            <v>BD0026-L</v>
          </cell>
          <cell r="B1503" t="str">
            <v>D26</v>
          </cell>
          <cell r="C1503" t="str">
            <v>เยื่อไผ่ เดรสแขนยาว ลายทางเทา น้องหมา L</v>
          </cell>
        </row>
        <row r="1504">
          <cell r="A1504" t="str">
            <v>BD0026-M</v>
          </cell>
          <cell r="B1504" t="str">
            <v>D26</v>
          </cell>
          <cell r="C1504" t="str">
            <v>เยื่อไผ่ เดรสแขนยาว ลายทางเทา น้องหมา M</v>
          </cell>
        </row>
        <row r="1505">
          <cell r="A1505" t="str">
            <v>BD0026-S</v>
          </cell>
          <cell r="B1505" t="str">
            <v>D26</v>
          </cell>
          <cell r="C1505" t="str">
            <v>เยื่อไผ่ เดรสแขนยาว ลายทางเทา น้องหมา S</v>
          </cell>
        </row>
        <row r="1506">
          <cell r="A1506" t="str">
            <v>BD0027-L</v>
          </cell>
          <cell r="B1506" t="str">
            <v>D27</v>
          </cell>
          <cell r="C1506" t="str">
            <v>เยื่อไผ่ เดรสแขนยาว ลายพีช L</v>
          </cell>
        </row>
        <row r="1507">
          <cell r="A1507" t="str">
            <v>BD0027-M</v>
          </cell>
          <cell r="B1507" t="str">
            <v>D27</v>
          </cell>
          <cell r="C1507" t="str">
            <v>เยื่อไผ่ เดรสแขนยาว ลายพีช M</v>
          </cell>
        </row>
        <row r="1508">
          <cell r="A1508" t="str">
            <v>BD0027-XL</v>
          </cell>
          <cell r="B1508" t="str">
            <v>D27</v>
          </cell>
          <cell r="C1508" t="str">
            <v>เดรสแขนยาวลายพีช XL</v>
          </cell>
        </row>
        <row r="1509">
          <cell r="A1509" t="str">
            <v>BD0028-L</v>
          </cell>
          <cell r="B1509" t="str">
            <v>D28</v>
          </cell>
          <cell r="C1509" t="str">
            <v>เยื่อไผ่ เดรสแขนยาว เขียวมิ้น มะพร้าว L</v>
          </cell>
        </row>
        <row r="1510">
          <cell r="A1510" t="str">
            <v>BD0028-M</v>
          </cell>
          <cell r="B1510" t="str">
            <v>D28</v>
          </cell>
          <cell r="C1510" t="str">
            <v>เยื่อไผ่ เดรสแขนยาว เขียวมิ้น มะพร้าว M</v>
          </cell>
        </row>
        <row r="1511">
          <cell r="A1511" t="str">
            <v>BD0029-L</v>
          </cell>
          <cell r="B1511" t="str">
            <v>D29</v>
          </cell>
          <cell r="C1511" t="str">
            <v>เยื่อไผ่ เดรสแขนยาว ลายทางพาสเทล L</v>
          </cell>
        </row>
        <row r="1512">
          <cell r="A1512" t="str">
            <v>BD0029-M</v>
          </cell>
          <cell r="B1512" t="str">
            <v>D29</v>
          </cell>
          <cell r="C1512" t="str">
            <v>เดรสลายทางพาสเทลแขนยาว M</v>
          </cell>
        </row>
        <row r="1513">
          <cell r="A1513" t="str">
            <v>BD0029-S</v>
          </cell>
          <cell r="B1513" t="str">
            <v>D29</v>
          </cell>
          <cell r="C1513" t="str">
            <v>เยื่อไผ่ เดรสแขนยาว ลายทางพาสเทล S</v>
          </cell>
        </row>
        <row r="1514">
          <cell r="A1514" t="str">
            <v>BD0030-L</v>
          </cell>
          <cell r="B1514" t="str">
            <v>JD30</v>
          </cell>
          <cell r="C1514" t="str">
            <v>เยื่อไผ่ เดรสแขนยาว ลายทางเขียว L ตัวโชว์</v>
          </cell>
        </row>
        <row r="1515">
          <cell r="A1515" t="str">
            <v>BD0030-M</v>
          </cell>
          <cell r="B1515" t="str">
            <v>JD30</v>
          </cell>
          <cell r="C1515" t="str">
            <v>เยื่อไผ่ เดรสแขนยาว ลายทางเขียว M ตัวโชว์</v>
          </cell>
        </row>
        <row r="1516">
          <cell r="A1516" t="str">
            <v>BD0030-S</v>
          </cell>
          <cell r="B1516" t="str">
            <v>JD30</v>
          </cell>
          <cell r="C1516" t="str">
            <v>เยื่อไผ่ เดรสแขนยาว ลายทางเขียว S ตัวโชว์</v>
          </cell>
        </row>
        <row r="1517">
          <cell r="A1517" t="str">
            <v>BD0031-L</v>
          </cell>
          <cell r="B1517" t="str">
            <v>D31</v>
          </cell>
          <cell r="C1517" t="str">
            <v>เยื่อไผ่ เดรสแขนสี่ส่วน สีชมพูอ่อน ลายจุด ขอบฟ้า</v>
          </cell>
        </row>
        <row r="1518">
          <cell r="A1518" t="str">
            <v>BD0031-M</v>
          </cell>
          <cell r="B1518" t="str">
            <v>D31</v>
          </cell>
          <cell r="C1518" t="str">
            <v>เยื่อไผ่ เดรสแขนสี่ส่วน สีชมพูอ่อน ลายจุด ขอบฟ้า M</v>
          </cell>
        </row>
        <row r="1519">
          <cell r="A1519" t="str">
            <v>BD0032-L</v>
          </cell>
          <cell r="B1519" t="str">
            <v>D32</v>
          </cell>
          <cell r="C1519" t="str">
            <v>เยื่อไผ่ เดรสแขนสี่ส่วน สีขาว ลายจุดโอโรส ขอบเขียว L</v>
          </cell>
        </row>
        <row r="1520">
          <cell r="A1520" t="str">
            <v>BD0032-M</v>
          </cell>
          <cell r="B1520" t="str">
            <v>D32</v>
          </cell>
          <cell r="C1520" t="str">
            <v>เยื่อไผ่ เดรสแขนสี่ส่วน สีขาว ลายจุดโอโรส ขอบเขียว M</v>
          </cell>
        </row>
        <row r="1521">
          <cell r="A1521" t="str">
            <v>BD0033-L</v>
          </cell>
          <cell r="B1521" t="str">
            <v>D33</v>
          </cell>
          <cell r="C1521" t="str">
            <v>เยื่อไผ่ เดรสคอวี สีชมพู ลายดอกไม้ L</v>
          </cell>
        </row>
        <row r="1522">
          <cell r="A1522" t="str">
            <v>BD0033-XL</v>
          </cell>
          <cell r="B1522" t="str">
            <v>D33</v>
          </cell>
          <cell r="C1522" t="str">
            <v>เยื่อไผ่ เดรสคอวี สีชมพู ลายดอกไม้ XL</v>
          </cell>
        </row>
        <row r="1523">
          <cell r="A1523" t="str">
            <v>BD0034-M</v>
          </cell>
          <cell r="B1523" t="str">
            <v>D34</v>
          </cell>
          <cell r="C1523" t="str">
            <v>เยื่อไผ่ สายเดี่ยว ชมพูจุด M</v>
          </cell>
        </row>
        <row r="1524">
          <cell r="A1524" t="str">
            <v>BD0034-S</v>
          </cell>
          <cell r="B1524" t="str">
            <v>D34</v>
          </cell>
          <cell r="C1524" t="str">
            <v>เยื่อไผ่ สายเดี่ยว ชมพูจุด S</v>
          </cell>
        </row>
        <row r="1525">
          <cell r="A1525" t="str">
            <v>BD0036-L</v>
          </cell>
          <cell r="B1525" t="str">
            <v>D36</v>
          </cell>
          <cell r="C1525" t="str">
            <v>เยื่อไผ่ เดรส แขนยาว ลายทางดำ น้องหมา L</v>
          </cell>
        </row>
        <row r="1526">
          <cell r="A1526" t="str">
            <v>BD0036-M</v>
          </cell>
          <cell r="B1526" t="str">
            <v>D36</v>
          </cell>
          <cell r="C1526" t="str">
            <v>เยื่อไผ่ เดรสแขนยาว ลายทางดำ น้องหมา M</v>
          </cell>
        </row>
        <row r="1527">
          <cell r="A1527" t="str">
            <v>BD0036-S</v>
          </cell>
          <cell r="B1527" t="str">
            <v>D36</v>
          </cell>
          <cell r="C1527" t="str">
            <v>เยื่อไผ่ เดรส แขนยาว ลายทางดำ น้องหมา S</v>
          </cell>
        </row>
        <row r="1528">
          <cell r="A1528" t="str">
            <v>BD0036-XL</v>
          </cell>
          <cell r="B1528" t="str">
            <v>D36</v>
          </cell>
          <cell r="C1528" t="str">
            <v>เยื่อไผ่ เดรส แขนยาว ลายทางดำ น้องหมา XL</v>
          </cell>
        </row>
        <row r="1529">
          <cell r="A1529" t="str">
            <v>BD0037-L</v>
          </cell>
          <cell r="B1529" t="str">
            <v>D37</v>
          </cell>
          <cell r="C1529" t="str">
            <v>เยื่อไผ่ เดรสแขนสั้น ลายตาราง มะนาว L</v>
          </cell>
        </row>
        <row r="1530">
          <cell r="A1530" t="str">
            <v>BD0037-M</v>
          </cell>
          <cell r="B1530" t="str">
            <v>D37</v>
          </cell>
          <cell r="C1530" t="str">
            <v>เยื่อไผ่ เดรสแขนสั้น ลายตาราง มะนาว M</v>
          </cell>
        </row>
        <row r="1531">
          <cell r="A1531" t="str">
            <v>BD0038-L</v>
          </cell>
          <cell r="B1531" t="str">
            <v>D38</v>
          </cell>
          <cell r="C1531" t="str">
            <v>เยื่อไผ่ เดรสแขนสั้น ส้มอิฐ ลายวิว L</v>
          </cell>
        </row>
        <row r="1532">
          <cell r="A1532" t="str">
            <v>BD0038-M</v>
          </cell>
          <cell r="B1532" t="str">
            <v>D38</v>
          </cell>
          <cell r="C1532" t="str">
            <v>เยื่อไผ่ เดรสแขนสั้น ส้มอิฐ ลายวิว M</v>
          </cell>
        </row>
        <row r="1533">
          <cell r="A1533" t="str">
            <v>BD0039-L</v>
          </cell>
          <cell r="B1533" t="str">
            <v>D39</v>
          </cell>
          <cell r="C1533" t="str">
            <v>เยื่อไผ่ เดรสแขนสั้นเหลือง ลายวิว L</v>
          </cell>
        </row>
        <row r="1534">
          <cell r="A1534" t="str">
            <v>BD0039-M</v>
          </cell>
          <cell r="B1534" t="str">
            <v>D39</v>
          </cell>
          <cell r="C1534" t="str">
            <v>เยื่อไผ่ เดรสแขนสั้นเหลือง ลายวิว M</v>
          </cell>
        </row>
        <row r="1535">
          <cell r="A1535" t="str">
            <v>BD0040-L</v>
          </cell>
          <cell r="B1535" t="str">
            <v>D40</v>
          </cell>
          <cell r="C1535" t="str">
            <v>เยื่อไผ่ เดรสแขนสั้น กราฟฟริก ขาวดำ L</v>
          </cell>
        </row>
        <row r="1536">
          <cell r="A1536" t="str">
            <v>BD0040-M</v>
          </cell>
          <cell r="B1536" t="str">
            <v>D40</v>
          </cell>
          <cell r="C1536" t="str">
            <v>เยื่อไผ่ เดรสแขนสั้น กราฟฟริก ขาวดำ M</v>
          </cell>
        </row>
        <row r="1537">
          <cell r="A1537" t="str">
            <v>BD0041-L</v>
          </cell>
          <cell r="B1537" t="str">
            <v>D41</v>
          </cell>
          <cell r="C1537" t="str">
            <v>เยื่อไผ่ เดรสแขนสั้น ลายทางดำ น้องหมา L</v>
          </cell>
        </row>
        <row r="1538">
          <cell r="A1538" t="str">
            <v>BD0041-S</v>
          </cell>
          <cell r="B1538" t="str">
            <v>D41</v>
          </cell>
          <cell r="C1538" t="str">
            <v>เยื่อไผ่ เดรสแขนสั้น ลายทางดำ น้องหมา S</v>
          </cell>
        </row>
        <row r="1539">
          <cell r="A1539" t="str">
            <v>BD0042-L</v>
          </cell>
          <cell r="B1539" t="str">
            <v>D42</v>
          </cell>
          <cell r="C1539" t="str">
            <v>เยื่อไผ่ เดรส แขนสั้น คอบัว สีโอรส L</v>
          </cell>
        </row>
        <row r="1540">
          <cell r="A1540" t="str">
            <v>BD0042-M</v>
          </cell>
          <cell r="B1540" t="str">
            <v>D42</v>
          </cell>
          <cell r="C1540" t="str">
            <v>เยื่อไผ่ เดรส แขนสั้น คอบัว สีโอรส M</v>
          </cell>
        </row>
        <row r="1541">
          <cell r="A1541" t="str">
            <v>BD0043-L</v>
          </cell>
          <cell r="B1541" t="str">
            <v>D43</v>
          </cell>
          <cell r="C1541" t="str">
            <v>เยื่อไผ่ เดรสแขนสั้น ดอกไม้เล็ก L</v>
          </cell>
        </row>
        <row r="1542">
          <cell r="A1542" t="str">
            <v>BD0043-M</v>
          </cell>
          <cell r="B1542" t="str">
            <v>D43</v>
          </cell>
          <cell r="C1542" t="str">
            <v>เยื่อไผ่ เดรสแขนสั้น ดอกไม้เล็ก M</v>
          </cell>
        </row>
        <row r="1543">
          <cell r="A1543" t="str">
            <v>BD0044-L</v>
          </cell>
          <cell r="B1543" t="str">
            <v>BD44</v>
          </cell>
          <cell r="C1543" t="str">
            <v>เยื่อไผ่ เดรสแขนสั้น ลายทางเทา น้องหมา L</v>
          </cell>
        </row>
        <row r="1544">
          <cell r="A1544" t="str">
            <v>BD0044-M</v>
          </cell>
          <cell r="B1544" t="str">
            <v>D44</v>
          </cell>
          <cell r="C1544" t="str">
            <v>เยื่อไผ่ เดรสแขนสั้น ลายทางเทา น้องหมา M</v>
          </cell>
        </row>
        <row r="1545">
          <cell r="A1545" t="str">
            <v>BD0044-S</v>
          </cell>
          <cell r="B1545" t="str">
            <v>D44</v>
          </cell>
          <cell r="C1545" t="str">
            <v>เยื่อไผ่ เดรสแขนสั้น ลายทางเทา น้องหมา S</v>
          </cell>
        </row>
        <row r="1546">
          <cell r="A1546" t="str">
            <v>BD0045-L</v>
          </cell>
          <cell r="B1546" t="str">
            <v>D45</v>
          </cell>
          <cell r="C1546" t="str">
            <v>เยื่อไผ่ เดรสแขนยาว พื้นชมพูอ่อน L</v>
          </cell>
        </row>
        <row r="1547">
          <cell r="A1547" t="str">
            <v>BD0045-XL</v>
          </cell>
          <cell r="B1547" t="str">
            <v>D45</v>
          </cell>
          <cell r="C1547" t="str">
            <v>เยื่อไผ่ เดรสแขนยาว พื้นชมพูอ่อน XL</v>
          </cell>
        </row>
        <row r="1548">
          <cell r="A1548" t="str">
            <v>BD0046-L</v>
          </cell>
          <cell r="B1548" t="str">
            <v>D46</v>
          </cell>
          <cell r="C1548" t="str">
            <v>เยื่อไผ่ เดรสแขนยาว พื้นเขียว L</v>
          </cell>
        </row>
        <row r="1549">
          <cell r="A1549" t="str">
            <v>BD0046-M</v>
          </cell>
          <cell r="B1549" t="str">
            <v>D46</v>
          </cell>
          <cell r="C1549" t="str">
            <v>เยื่อไผ่ เดรสแขนยาว พื้นเขียว M</v>
          </cell>
        </row>
        <row r="1550">
          <cell r="A1550" t="str">
            <v>BD0046-XL</v>
          </cell>
          <cell r="B1550" t="str">
            <v>D46</v>
          </cell>
          <cell r="C1550" t="str">
            <v>เยื่อไผ่ เดรสแขนยาว พื้นเขียว XL</v>
          </cell>
        </row>
        <row r="1551">
          <cell r="A1551" t="str">
            <v>BD0047-L</v>
          </cell>
          <cell r="B1551" t="str">
            <v>D47</v>
          </cell>
          <cell r="C1551" t="str">
            <v>เยื่อไผ่ เดรสแขนสั้น คอบัว ลายจุด L</v>
          </cell>
        </row>
        <row r="1552">
          <cell r="A1552" t="str">
            <v>BD0047-M</v>
          </cell>
          <cell r="B1552" t="str">
            <v>D47</v>
          </cell>
          <cell r="C1552" t="str">
            <v>เยื่อไผ่ เดรสแขนสั้น คอบัว ลายจุด M</v>
          </cell>
        </row>
        <row r="1553">
          <cell r="A1553" t="str">
            <v>BD0047-S</v>
          </cell>
          <cell r="B1553" t="str">
            <v>JD47</v>
          </cell>
          <cell r="C1553" t="str">
            <v>เยื่อไผ่ เดรสแขนสั้น คอบัว ลายจุด S ตัวโชว์</v>
          </cell>
        </row>
        <row r="1554">
          <cell r="A1554" t="str">
            <v>BD0048-L</v>
          </cell>
          <cell r="B1554" t="str">
            <v>D48</v>
          </cell>
          <cell r="C1554" t="str">
            <v>เยื่อไผ่ เดรสแขนยาว โบตั๋น โอรสพื้นเขียว L</v>
          </cell>
        </row>
        <row r="1555">
          <cell r="A1555" t="str">
            <v>BD0048-M</v>
          </cell>
          <cell r="B1555" t="str">
            <v>D48</v>
          </cell>
          <cell r="C1555" t="str">
            <v>เยื่อไผ่ เดรสแขนยาว โบตั๋น โอรสพื้นเขียว M</v>
          </cell>
        </row>
        <row r="1556">
          <cell r="A1556" t="str">
            <v>BD0048-S</v>
          </cell>
          <cell r="B1556" t="str">
            <v>D48</v>
          </cell>
          <cell r="C1556" t="str">
            <v>เยื่อไผ่ เดรสแขนยาว โบตั๋น โอรสพื้นเขียว S</v>
          </cell>
        </row>
        <row r="1557">
          <cell r="A1557" t="str">
            <v>BD0049-L</v>
          </cell>
          <cell r="B1557" t="str">
            <v>D49</v>
          </cell>
          <cell r="C1557" t="str">
            <v>เยื่อไผ่ เดรสแขนยาว คอบัว ลายจุด L</v>
          </cell>
        </row>
        <row r="1558">
          <cell r="A1558" t="str">
            <v>BD0049-M</v>
          </cell>
          <cell r="B1558" t="str">
            <v>D49</v>
          </cell>
          <cell r="C1558" t="str">
            <v>เยื่อไผ่ เดรสแขนยาว คอบัว ลายจุด M</v>
          </cell>
        </row>
        <row r="1559">
          <cell r="A1559" t="str">
            <v>BD0049-S</v>
          </cell>
          <cell r="B1559" t="str">
            <v>D49</v>
          </cell>
          <cell r="C1559" t="str">
            <v>เยื่อไผ่ เดรสแขนยาว คอบัว ลายจุด S</v>
          </cell>
        </row>
        <row r="1560">
          <cell r="A1560" t="str">
            <v>BD0050-L</v>
          </cell>
          <cell r="B1560" t="str">
            <v>D50</v>
          </cell>
          <cell r="C1560" t="str">
            <v>เยื่อไผ่ เดรสแขนยาว คอบัว ลายจุด พื้นโอรส L</v>
          </cell>
        </row>
        <row r="1561">
          <cell r="A1561" t="str">
            <v>BD0050-M</v>
          </cell>
          <cell r="B1561" t="str">
            <v>D50</v>
          </cell>
          <cell r="C1561" t="str">
            <v>เยื่อไผ่ เดรสแขนยาว คอบัว ลายจุด พื้นโอรส M</v>
          </cell>
        </row>
        <row r="1562">
          <cell r="A1562" t="str">
            <v>BD0050-S</v>
          </cell>
          <cell r="B1562" t="str">
            <v>D50</v>
          </cell>
          <cell r="C1562" t="str">
            <v>เยื่อไผ่ เดรสแขนยาว คอบัว ลายจุด พื้นโอรส S</v>
          </cell>
        </row>
        <row r="1563">
          <cell r="A1563" t="str">
            <v>BD0051-L</v>
          </cell>
          <cell r="B1563" t="str">
            <v>D51</v>
          </cell>
          <cell r="C1563" t="str">
            <v>เยื่อไผ่ เดรสแขนสั้น คอบัว พื้นชมพูอ่อน L</v>
          </cell>
        </row>
        <row r="1564">
          <cell r="A1564" t="str">
            <v>BD0051-M</v>
          </cell>
          <cell r="B1564" t="str">
            <v>D51</v>
          </cell>
          <cell r="C1564" t="str">
            <v>เยื่อไผ่ เดรสแขนสั้น คอบัว พื้นชมพูอ่อน M</v>
          </cell>
        </row>
        <row r="1565">
          <cell r="A1565" t="str">
            <v>BD0052-L</v>
          </cell>
          <cell r="B1565" t="str">
            <v>D52</v>
          </cell>
          <cell r="C1565" t="str">
            <v>เดรส เยื่อไผ่ แขนสั้น คอบัว ดอกไม้ สีโอรส L</v>
          </cell>
        </row>
        <row r="1566">
          <cell r="A1566" t="str">
            <v>BD0186-L</v>
          </cell>
          <cell r="B1566" t="str">
            <v>D186</v>
          </cell>
          <cell r="C1566" t="str">
            <v>เยื่อไผ่ เดรสแขนสั้น ตารางชมพู L</v>
          </cell>
        </row>
        <row r="1567">
          <cell r="A1567" t="str">
            <v>BD0186-M</v>
          </cell>
          <cell r="B1567" t="str">
            <v>D186</v>
          </cell>
          <cell r="C1567" t="str">
            <v>เยื่อไผ่ เดรสแขนสั้น ตารางชมพู M</v>
          </cell>
        </row>
        <row r="1568">
          <cell r="A1568" t="str">
            <v>BD0191-L</v>
          </cell>
          <cell r="B1568" t="str">
            <v>JD191</v>
          </cell>
          <cell r="C1568" t="str">
            <v>เยื่อไผ่ เดรสแขนสั้น โบตั๋น โอรสพื้นเขียว L ตัวโชว์</v>
          </cell>
        </row>
        <row r="1569">
          <cell r="A1569" t="str">
            <v>BD0191-M</v>
          </cell>
          <cell r="B1569" t="str">
            <v>JD191</v>
          </cell>
          <cell r="C1569" t="str">
            <v>เยื่อไผ่ เดรสแขนสั้น โบตั๋น โอรสพื้นเขียว M ตัวโชว์</v>
          </cell>
        </row>
        <row r="1570">
          <cell r="A1570" t="str">
            <v>BD0191-S</v>
          </cell>
          <cell r="B1570" t="str">
            <v>JD191</v>
          </cell>
          <cell r="C1570" t="str">
            <v>เยื่อไผ่ เดรสแขนสั้น โบตั๋น โอรสพื้นเขียว S ตัวโชว์</v>
          </cell>
        </row>
        <row r="1571">
          <cell r="A1571" t="str">
            <v>BD0192-L</v>
          </cell>
          <cell r="B1571" t="str">
            <v>D192</v>
          </cell>
          <cell r="C1571" t="str">
            <v>เยื่อไผ่ เดรส โอรส ขอบขาว L</v>
          </cell>
        </row>
        <row r="1572">
          <cell r="A1572" t="str">
            <v>BD0192-M</v>
          </cell>
          <cell r="B1572" t="str">
            <v>D192</v>
          </cell>
          <cell r="C1572" t="str">
            <v>เยื่อไผ่ เดรส โอรส ขอบขาว M</v>
          </cell>
        </row>
        <row r="1573">
          <cell r="A1573" t="str">
            <v>BD0193-L</v>
          </cell>
          <cell r="B1573" t="str">
            <v>D193</v>
          </cell>
          <cell r="C1573" t="str">
            <v>เยื่อไผ่ เดรสสายเดี่ยว+กางเกง แดงจุด L</v>
          </cell>
        </row>
        <row r="1574">
          <cell r="A1574" t="str">
            <v>BD0193-M</v>
          </cell>
          <cell r="B1574" t="str">
            <v>D193</v>
          </cell>
          <cell r="C1574" t="str">
            <v>เยื่อไผ่ เดรสสายเดี่ยว+กางเกง แดงจุด M</v>
          </cell>
        </row>
        <row r="1575">
          <cell r="A1575" t="str">
            <v>BD0193-S</v>
          </cell>
          <cell r="B1575" t="str">
            <v>D193</v>
          </cell>
          <cell r="C1575" t="str">
            <v>เยื่อไผ่ เดรสสายเดี่ยว+กางเกง แดงจุด S</v>
          </cell>
        </row>
        <row r="1576">
          <cell r="A1576" t="str">
            <v>BD0194-L</v>
          </cell>
          <cell r="B1576" t="str">
            <v>D194</v>
          </cell>
          <cell r="C1576" t="str">
            <v>เยื่อไผ่ เดรสสายเดี่ยว+กางเกง ม่วงจุด L</v>
          </cell>
        </row>
        <row r="1577">
          <cell r="A1577" t="str">
            <v>BD0194-M</v>
          </cell>
          <cell r="B1577" t="str">
            <v>D194</v>
          </cell>
          <cell r="C1577" t="str">
            <v>เยื่อไผ่ เดรสสายเดี่ยว+กางเกง ม่วงจุด M</v>
          </cell>
        </row>
        <row r="1578">
          <cell r="A1578" t="str">
            <v>BD0194-S</v>
          </cell>
          <cell r="B1578" t="str">
            <v>D194</v>
          </cell>
          <cell r="C1578" t="str">
            <v>เยื่อไผ่ เดรสสายเดี่ยว+กางเกง ม่วงจุด S</v>
          </cell>
        </row>
        <row r="1579">
          <cell r="A1579" t="str">
            <v>BD0195-L</v>
          </cell>
          <cell r="B1579" t="str">
            <v>D195</v>
          </cell>
          <cell r="C1579" t="str">
            <v>เยื่อไผ่ เดรสสายเดี่ยว+กางเกง ชมพูจุด L</v>
          </cell>
        </row>
        <row r="1580">
          <cell r="A1580" t="str">
            <v>BD0195-M</v>
          </cell>
          <cell r="B1580" t="str">
            <v>D195</v>
          </cell>
          <cell r="C1580" t="str">
            <v>เยื่อไผ่ เดรสสายเดี่ยว+กางเกง ชมพูจุด M</v>
          </cell>
        </row>
        <row r="1581">
          <cell r="A1581" t="str">
            <v>BD0195-S</v>
          </cell>
          <cell r="B1581" t="str">
            <v>D195</v>
          </cell>
          <cell r="C1581" t="str">
            <v>เยื่อไผ่ เดรสสายเดี่ยว+กางเกง ชมพูอ่อนจุด S</v>
          </cell>
        </row>
        <row r="1582">
          <cell r="A1582" t="str">
            <v>BD0196-L</v>
          </cell>
          <cell r="B1582" t="str">
            <v>D196</v>
          </cell>
          <cell r="C1582" t="str">
            <v>เยื่อไผ่ สายเดี่ยว จุดครีม พื้นโอรส L</v>
          </cell>
        </row>
        <row r="1583">
          <cell r="A1583" t="str">
            <v>BD0196-M</v>
          </cell>
          <cell r="B1583" t="str">
            <v>D196</v>
          </cell>
          <cell r="C1583" t="str">
            <v>เยื่อไผ่ สายเดี่ยว จุดครีม พื้นโอรส M</v>
          </cell>
        </row>
        <row r="1584">
          <cell r="A1584" t="str">
            <v>BD0196-XL</v>
          </cell>
          <cell r="B1584" t="str">
            <v>D196</v>
          </cell>
          <cell r="C1584" t="str">
            <v>เยื่อไผ่ สายเดี่ยว จุดครีม พื้นโอรส XL</v>
          </cell>
        </row>
        <row r="1585">
          <cell r="A1585" t="str">
            <v>BD0197-L</v>
          </cell>
          <cell r="B1585" t="str">
            <v>D197</v>
          </cell>
          <cell r="C1585" t="str">
            <v>เยื่อไผ่ สายเดี่ยว จุดโอรส พื้นครีม L</v>
          </cell>
        </row>
        <row r="1586">
          <cell r="A1586" t="str">
            <v>BD0197-M</v>
          </cell>
          <cell r="B1586" t="str">
            <v>D197</v>
          </cell>
          <cell r="C1586" t="str">
            <v>เยื่อไผ่ สายเดี่ยว จุดโอรส พื้นครีม M</v>
          </cell>
        </row>
        <row r="1587">
          <cell r="A1587" t="str">
            <v>BD0197-XL</v>
          </cell>
          <cell r="B1587" t="str">
            <v>D197</v>
          </cell>
          <cell r="C1587" t="str">
            <v>เยื่อไผ่ สายเดี่ยว จุดโอรส พื้นครีม XL</v>
          </cell>
        </row>
        <row r="1588">
          <cell r="A1588" t="str">
            <v>BD0198-L</v>
          </cell>
          <cell r="B1588" t="str">
            <v>D198</v>
          </cell>
          <cell r="C1588" t="str">
            <v>เยื่อไผ่ สายเดี่ยว ดอกไม้เหลือง L</v>
          </cell>
        </row>
        <row r="1589">
          <cell r="A1589" t="str">
            <v>BD0198-M</v>
          </cell>
          <cell r="B1589" t="str">
            <v>D198</v>
          </cell>
          <cell r="C1589" t="str">
            <v>เยื่อไผ่ สายเดี่ยว ดอกไม้เหลือง M</v>
          </cell>
        </row>
        <row r="1590">
          <cell r="A1590" t="str">
            <v>BD0198-XL</v>
          </cell>
          <cell r="B1590" t="str">
            <v>D198</v>
          </cell>
          <cell r="C1590" t="str">
            <v>เยื่อไผ่ สายเดี่ยว ดอกไม้เหลือง XL</v>
          </cell>
        </row>
        <row r="1591">
          <cell r="A1591" t="str">
            <v>BD0199-L</v>
          </cell>
          <cell r="B1591" t="str">
            <v>D199</v>
          </cell>
          <cell r="C1591" t="str">
            <v>เยื่อไผ่ สายเดี่ยว ดอกไม้โอรส พื้นฟ้า L</v>
          </cell>
        </row>
        <row r="1592">
          <cell r="A1592" t="str">
            <v>BD0199-M</v>
          </cell>
          <cell r="B1592" t="str">
            <v>D199</v>
          </cell>
          <cell r="C1592" t="str">
            <v>เยื่อไผ่ สายเดี่ยว ดอกไม้โอรส พื้นฟ้า M</v>
          </cell>
        </row>
        <row r="1593">
          <cell r="A1593" t="str">
            <v>BD0199-XL</v>
          </cell>
          <cell r="B1593" t="str">
            <v>D199</v>
          </cell>
          <cell r="C1593" t="str">
            <v>เยื่อไผ่ สายเดี่ยวแดอกไม้โอรส พื้นฟ้า XL</v>
          </cell>
        </row>
        <row r="1594">
          <cell r="A1594" t="str">
            <v>BD0200-L</v>
          </cell>
          <cell r="B1594" t="str">
            <v>D200</v>
          </cell>
          <cell r="C1594" t="str">
            <v>เยื่อไผ่ สายเดี่ยว+กางเกง เขียวจุด  L</v>
          </cell>
        </row>
        <row r="1595">
          <cell r="A1595" t="str">
            <v>BD0200-M</v>
          </cell>
          <cell r="B1595" t="str">
            <v>D200</v>
          </cell>
          <cell r="C1595" t="str">
            <v>เยื่อไผ่ สายเดี่ยว+กางเกง เขียวจุด  M</v>
          </cell>
        </row>
        <row r="1596">
          <cell r="A1596" t="str">
            <v>BD0200-S</v>
          </cell>
          <cell r="B1596" t="str">
            <v>D200</v>
          </cell>
          <cell r="C1596" t="str">
            <v>เยื่อไผ่ สายเดี่ยว+กางเกง เขียวจุด  S</v>
          </cell>
        </row>
        <row r="1597">
          <cell r="A1597" t="str">
            <v>BD0201-M</v>
          </cell>
          <cell r="B1597" t="str">
            <v>D201</v>
          </cell>
          <cell r="C1597" t="str">
            <v>เยื่อไผ่ สายเดี่ยว ดอกไม้แดงเล็ก พื้นขาว M</v>
          </cell>
        </row>
        <row r="1598">
          <cell r="A1598" t="str">
            <v>BD0201-XL</v>
          </cell>
          <cell r="B1598" t="str">
            <v>D201</v>
          </cell>
          <cell r="C1598" t="str">
            <v>เยื่อไผ่ สายเดี่ยว ดอกไม้แดงเล็ก พื้นขาว XL</v>
          </cell>
        </row>
        <row r="1599">
          <cell r="A1599" t="str">
            <v>BD0202-L</v>
          </cell>
          <cell r="B1599" t="str">
            <v>D202</v>
          </cell>
          <cell r="C1599" t="str">
            <v>เยื่อไผ่ สายเดี่ยว+กางเกง ขาวจุด L</v>
          </cell>
        </row>
        <row r="1600">
          <cell r="A1600" t="str">
            <v>BD0202-M</v>
          </cell>
          <cell r="B1600" t="str">
            <v>D202</v>
          </cell>
          <cell r="C1600" t="str">
            <v>เยื่อไผ่ สายเดี่ยว+กางเกง ขาวจุด M</v>
          </cell>
        </row>
        <row r="1601">
          <cell r="A1601" t="str">
            <v>BD0203-L</v>
          </cell>
          <cell r="B1601" t="str">
            <v>D203</v>
          </cell>
          <cell r="C1601" t="str">
            <v>เยื่อไผ่ เดรสแขนห้าส่วน ดอกไม้เล็ก ชมพู พื้นฟ้า L</v>
          </cell>
        </row>
        <row r="1602">
          <cell r="A1602" t="str">
            <v>BD0203-M</v>
          </cell>
          <cell r="B1602" t="str">
            <v>D203</v>
          </cell>
          <cell r="C1602" t="str">
            <v>เยื่อไผ่ เดรสแขนห้าส่วน ดอกไม้เล็ก ชมพู พื้นฟ้า M</v>
          </cell>
        </row>
        <row r="1603">
          <cell r="A1603" t="str">
            <v>BD0203-XL</v>
          </cell>
          <cell r="B1603" t="str">
            <v>D203</v>
          </cell>
          <cell r="C1603" t="str">
            <v>เยื่อไผ่ เดรสแขนห้าส่วน ดอกไม้เล็ก ชมพู พื้นฟ้า XL</v>
          </cell>
        </row>
        <row r="1604">
          <cell r="A1604" t="str">
            <v>BD0204-L</v>
          </cell>
          <cell r="B1604" t="str">
            <v>D204</v>
          </cell>
          <cell r="C1604" t="str">
            <v>เยื่อไผ่ เดรส แขนสั้น ดอกไม้เล็ก พื้นขาว คอปก L</v>
          </cell>
        </row>
        <row r="1605">
          <cell r="A1605" t="str">
            <v>BD0204-M</v>
          </cell>
          <cell r="B1605" t="str">
            <v>D204</v>
          </cell>
          <cell r="C1605" t="str">
            <v>เยื่อไผ่ เดรส แขนสั้น ดอกไม้เล็ก พื้นขาว คอปก M</v>
          </cell>
        </row>
        <row r="1606">
          <cell r="A1606" t="str">
            <v>BD0204-XL</v>
          </cell>
          <cell r="B1606" t="str">
            <v>D204</v>
          </cell>
          <cell r="C1606" t="str">
            <v>เยื่อไผ่ เดรส แขนสั้น ดอกไม้เล็ก พื้นขาว คอปก XL</v>
          </cell>
        </row>
        <row r="1607">
          <cell r="A1607" t="str">
            <v>BD0205-L</v>
          </cell>
          <cell r="B1607" t="str">
            <v>D205</v>
          </cell>
          <cell r="C1607" t="str">
            <v>เยื่อไผ่ เดรส แขนสั้น Wall Flower L</v>
          </cell>
        </row>
        <row r="1608">
          <cell r="A1608" t="str">
            <v>BD0205-M</v>
          </cell>
          <cell r="B1608" t="str">
            <v>D205</v>
          </cell>
          <cell r="C1608" t="str">
            <v>เยื่อไผ่ เดรส แขนสั้น Wall Flower M</v>
          </cell>
        </row>
        <row r="1609">
          <cell r="A1609" t="str">
            <v>BD0205-XL</v>
          </cell>
          <cell r="B1609" t="str">
            <v>D205</v>
          </cell>
          <cell r="C1609" t="str">
            <v>เยื่อไผ่ เดรส แขนสั้น Wall Flower XL</v>
          </cell>
        </row>
        <row r="1610">
          <cell r="A1610" t="str">
            <v>BD0206-2XL</v>
          </cell>
          <cell r="B1610" t="str">
            <v>D206</v>
          </cell>
          <cell r="C1610" t="str">
            <v>เยื่อไผ่ เดรส สายเดี่ยว ตาราง ครีมดำ 2XL</v>
          </cell>
        </row>
        <row r="1611">
          <cell r="A1611" t="str">
            <v>BD0206-L</v>
          </cell>
          <cell r="B1611" t="str">
            <v>D206</v>
          </cell>
          <cell r="C1611" t="str">
            <v>เยื่อไผ่ เดรส สายเดี่ยว ตาราง ครีมดำ L</v>
          </cell>
        </row>
        <row r="1612">
          <cell r="A1612" t="str">
            <v>BD0206-M</v>
          </cell>
          <cell r="B1612" t="str">
            <v>D206</v>
          </cell>
          <cell r="C1612" t="str">
            <v>เยื่อไผ่ เดรส สายเดี่ยว ตาราง ครีมดำ M</v>
          </cell>
        </row>
        <row r="1613">
          <cell r="A1613" t="str">
            <v>BD0206-XL</v>
          </cell>
          <cell r="B1613" t="str">
            <v>D206</v>
          </cell>
          <cell r="C1613" t="str">
            <v>เยื่อไผ่ เดรส สายเดี่ยว ตาราง ครีมดำ XL</v>
          </cell>
        </row>
        <row r="1614">
          <cell r="A1614" t="str">
            <v>BD0207-2XL</v>
          </cell>
          <cell r="B1614" t="str">
            <v>D207</v>
          </cell>
          <cell r="C1614" t="str">
            <v>เยื่อไผ่ เดรส สายเดี่ยว ตาราง ครีมแดง 2XL</v>
          </cell>
        </row>
        <row r="1615">
          <cell r="A1615" t="str">
            <v>BD0207-L</v>
          </cell>
          <cell r="B1615" t="str">
            <v>D207</v>
          </cell>
          <cell r="C1615" t="str">
            <v>เยื่อไผ่ เดรส สายเดี่ยว ตาราง ครีมแดง L</v>
          </cell>
        </row>
        <row r="1616">
          <cell r="A1616" t="str">
            <v>BD0207-M</v>
          </cell>
          <cell r="B1616" t="str">
            <v>D207</v>
          </cell>
          <cell r="C1616" t="str">
            <v>เยื่อไผ่ เดรส สายเดี่ยว ตาราง ครีมแดง M</v>
          </cell>
        </row>
        <row r="1617">
          <cell r="A1617" t="str">
            <v>BD0207-XL</v>
          </cell>
          <cell r="B1617" t="str">
            <v>D207</v>
          </cell>
          <cell r="C1617" t="str">
            <v>เยื่อไผ่ เดรส สายเดี่ยว ตาราง ครีมแดง XL</v>
          </cell>
        </row>
        <row r="1618">
          <cell r="A1618" t="str">
            <v>BD0208-2XL</v>
          </cell>
          <cell r="B1618" t="str">
            <v>D208</v>
          </cell>
          <cell r="C1618" t="str">
            <v>เยื่อไผ่ เดรส สายเดี่ยว ตาราง ครีมน้ำตาล 2XL</v>
          </cell>
        </row>
        <row r="1619">
          <cell r="A1619" t="str">
            <v>BD0208-L</v>
          </cell>
          <cell r="B1619" t="str">
            <v>D208</v>
          </cell>
          <cell r="C1619" t="str">
            <v>เยื่อไผ่ เดรส สายเดี่ยว ตาราง ครีมน้ำตาล L</v>
          </cell>
        </row>
        <row r="1620">
          <cell r="A1620" t="str">
            <v>BD0208-M</v>
          </cell>
          <cell r="B1620" t="str">
            <v>D208</v>
          </cell>
          <cell r="C1620" t="str">
            <v>เยื่อไผ่ เดรส สายเดี่ยว ตาราง ครีมน้ำตาล M</v>
          </cell>
        </row>
        <row r="1621">
          <cell r="A1621" t="str">
            <v>BD0208-XL</v>
          </cell>
          <cell r="B1621" t="str">
            <v>D208</v>
          </cell>
          <cell r="C1621" t="str">
            <v>เยื่อไผ่ เดรส สายเดี่ยว ตาราง ครีมน้ำตาล XL</v>
          </cell>
        </row>
        <row r="1622">
          <cell r="A1622" t="str">
            <v>BD0209-L</v>
          </cell>
          <cell r="B1622" t="str">
            <v>D209</v>
          </cell>
          <cell r="C1622" t="str">
            <v>เยื่อไผ่ เดรส ดอกไม้เล็กชมพู L</v>
          </cell>
        </row>
        <row r="1623">
          <cell r="A1623" t="str">
            <v>BD0209-M</v>
          </cell>
          <cell r="B1623" t="str">
            <v>D209</v>
          </cell>
          <cell r="C1623" t="str">
            <v>เยื่อไผ่ เดรส ดอกไม้เล็กชมพู M</v>
          </cell>
        </row>
        <row r="1624">
          <cell r="A1624" t="str">
            <v>BD0209-XL</v>
          </cell>
          <cell r="B1624" t="str">
            <v>D209</v>
          </cell>
          <cell r="C1624" t="str">
            <v>เยื่อไผ่ เดรส ดอกไม้เล็กชมพู XL</v>
          </cell>
        </row>
        <row r="1625">
          <cell r="A1625" t="str">
            <v>BD0210-L</v>
          </cell>
          <cell r="B1625" t="str">
            <v>JD210</v>
          </cell>
          <cell r="C1625" t="str">
            <v>เยื่อไผ่ เดรส ดอกไม้ขาว พื้นฟ้า L ตัวโชว์</v>
          </cell>
        </row>
        <row r="1626">
          <cell r="A1626" t="str">
            <v>BD0210-M</v>
          </cell>
          <cell r="B1626" t="str">
            <v>JD210</v>
          </cell>
          <cell r="C1626" t="str">
            <v>เยื่อไผ่ เดรส ดอกไม้ขาว พื้นฟ้า M ตัวโชว์</v>
          </cell>
        </row>
        <row r="1627">
          <cell r="A1627" t="str">
            <v>BD0210-XL</v>
          </cell>
          <cell r="B1627" t="str">
            <v>JD210</v>
          </cell>
          <cell r="C1627" t="str">
            <v>เยื่อไผ่ เดรส ดอกไม้ขาว พื้นฟ้า XL ตัวโชว์</v>
          </cell>
        </row>
        <row r="1628">
          <cell r="A1628" t="str">
            <v>BD0211-L</v>
          </cell>
          <cell r="B1628" t="str">
            <v>D211</v>
          </cell>
          <cell r="C1628" t="str">
            <v>เยื่อไผ่ เดรสแขนยาว พื้นขาว ดอกไม้เล็ก เขียวชมพู L</v>
          </cell>
        </row>
        <row r="1629">
          <cell r="A1629" t="str">
            <v>BD0211-M</v>
          </cell>
          <cell r="B1629" t="str">
            <v>D211</v>
          </cell>
          <cell r="C1629" t="str">
            <v>เยื่อไผ่ เดรสแขนยาว พื้นขาว ดอกไม้เล็ก เขียวชมพู M</v>
          </cell>
        </row>
        <row r="1630">
          <cell r="A1630" t="str">
            <v>BD0211-S</v>
          </cell>
          <cell r="B1630" t="str">
            <v>D211</v>
          </cell>
          <cell r="C1630" t="str">
            <v>เยื่อไผ่ เดรสแขนยาว พื้นขาว ดอกไม้เล็ก เขียวชมพู S</v>
          </cell>
        </row>
        <row r="1631">
          <cell r="A1631" t="str">
            <v>BD0212-L</v>
          </cell>
          <cell r="B1631" t="str">
            <v>BD212</v>
          </cell>
          <cell r="C1631" t="str">
            <v>เยื่อไผ่ เสื้อกล้าม ขาสั้น ดอกไม้ส้ม L</v>
          </cell>
        </row>
        <row r="1632">
          <cell r="A1632" t="str">
            <v>BD0212-M</v>
          </cell>
          <cell r="B1632" t="str">
            <v>JD212</v>
          </cell>
          <cell r="C1632" t="str">
            <v>เยื่อไผ่ เสื้อกล้าม ขาสั้น ดอกไม้ส้ม M ตัวโชว์</v>
          </cell>
        </row>
        <row r="1633">
          <cell r="A1633" t="str">
            <v>BD0213-M</v>
          </cell>
          <cell r="B1633" t="str">
            <v>D213</v>
          </cell>
          <cell r="C1633" t="str">
            <v>เยื่อไผ่ เดรส สายเดี่ยว ดอกไม้ชบาชมพู M</v>
          </cell>
        </row>
        <row r="1634">
          <cell r="A1634" t="str">
            <v>BD0213-S</v>
          </cell>
          <cell r="B1634" t="str">
            <v>D213</v>
          </cell>
          <cell r="C1634" t="str">
            <v>เยื่อไผ่ เดรส สายเดี่ยว ดอกไม้ชบาชมพู S</v>
          </cell>
        </row>
        <row r="1635">
          <cell r="A1635" t="str">
            <v>BD0213-XL</v>
          </cell>
          <cell r="B1635" t="str">
            <v>D213</v>
          </cell>
          <cell r="C1635" t="str">
            <v>เยื่อไผ่ เดรส สายเดี่ยว ดอกไม้ชบาชมพู XL</v>
          </cell>
        </row>
        <row r="1636">
          <cell r="A1636" t="str">
            <v>BD0214-L</v>
          </cell>
          <cell r="B1636" t="str">
            <v>D214</v>
          </cell>
          <cell r="C1636" t="str">
            <v>เยื่อไผ่ เดรสแขนสี่ส่วน พื้นสีขาว ดอกไม้ชมพู ก้านสีเขียว L</v>
          </cell>
        </row>
        <row r="1637">
          <cell r="A1637" t="str">
            <v>BD0214-M</v>
          </cell>
          <cell r="B1637" t="str">
            <v>D214</v>
          </cell>
          <cell r="C1637" t="str">
            <v>เยื่อไผ่ เดรสแขนสี่ส่วน พื้นสีขาว ดอกไม้ชมพู ก้านสีเขียว M</v>
          </cell>
        </row>
        <row r="1638">
          <cell r="A1638" t="str">
            <v>BD0215-L</v>
          </cell>
          <cell r="B1638" t="str">
            <v>D215</v>
          </cell>
          <cell r="C1638" t="str">
            <v>เยื่อไผ่ เดรสแขนสี่ส่วน พื้นขาว แตงโม L</v>
          </cell>
        </row>
        <row r="1639">
          <cell r="A1639" t="str">
            <v>BD0215-M</v>
          </cell>
          <cell r="B1639" t="str">
            <v>D215</v>
          </cell>
          <cell r="C1639" t="str">
            <v>เยื่อไผ่ เดรสแขนสี่ส่วน พื้นขาว แตงโม M</v>
          </cell>
        </row>
        <row r="1640">
          <cell r="A1640" t="str">
            <v>BD0216-L</v>
          </cell>
          <cell r="B1640" t="str">
            <v>D216</v>
          </cell>
          <cell r="C1640" t="str">
            <v>เยื่อไผ่ เดรสแขนกุด พื้นสีขาว ลายลูกไม้ L</v>
          </cell>
        </row>
        <row r="1641">
          <cell r="A1641" t="str">
            <v>BD0216-M</v>
          </cell>
          <cell r="B1641" t="str">
            <v>D216</v>
          </cell>
          <cell r="C1641" t="str">
            <v>เยื่อไผ่ เดรสแขนกุด พื้นสีขาว ลายลูกไม้ M</v>
          </cell>
        </row>
        <row r="1642">
          <cell r="A1642" t="str">
            <v>BD0216-S</v>
          </cell>
          <cell r="B1642" t="str">
            <v>D216</v>
          </cell>
          <cell r="C1642" t="str">
            <v>เยื่อไผ่ เดรสแขนกุด พื้นสีขาว ลายลูกไม้ S</v>
          </cell>
        </row>
        <row r="1643">
          <cell r="A1643" t="str">
            <v>BD0217-L</v>
          </cell>
          <cell r="B1643" t="str">
            <v>D217</v>
          </cell>
          <cell r="C1643" t="str">
            <v>เยื่อไผ่ เดรส สายเดี่ยว ขาสั้น พื้นขาว ดอกไม้ สดใส L</v>
          </cell>
        </row>
        <row r="1644">
          <cell r="A1644" t="str">
            <v>BD0217-M</v>
          </cell>
          <cell r="B1644" t="str">
            <v>D217</v>
          </cell>
          <cell r="C1644" t="str">
            <v>เยื่อไผ่ เดรส สายเดี่ยว ขาสั้น พื้นขาว ดอกไม้ สดใส M</v>
          </cell>
        </row>
        <row r="1645">
          <cell r="A1645" t="str">
            <v>BD0217-S</v>
          </cell>
          <cell r="B1645" t="str">
            <v>D217</v>
          </cell>
          <cell r="C1645" t="str">
            <v>เยื่อไผ่ เดรส สายเดี่ยว ขาสั้น พื้นขาว ดอกไม้ สดใส S</v>
          </cell>
        </row>
        <row r="1646">
          <cell r="A1646" t="str">
            <v>BD0218-L</v>
          </cell>
          <cell r="B1646" t="str">
            <v>D218</v>
          </cell>
          <cell r="C1646" t="str">
            <v>เยื่อไผ่ เดรส สายเดี่ยว ขาสั้น พืนเหลือง L</v>
          </cell>
        </row>
        <row r="1647">
          <cell r="A1647" t="str">
            <v>BD0218-M</v>
          </cell>
          <cell r="B1647" t="str">
            <v>D218</v>
          </cell>
          <cell r="C1647" t="str">
            <v>เยื่อไผ่ เดรส สายเดี่ยว ขาสั้น พืนเหลือง M</v>
          </cell>
        </row>
        <row r="1648">
          <cell r="A1648" t="str">
            <v>BD0218-S</v>
          </cell>
          <cell r="B1648" t="str">
            <v>D218</v>
          </cell>
          <cell r="C1648" t="str">
            <v>เยื่อไผ่ เดรส สายเดี่ยว ขาสั้น พืนเหลือง S</v>
          </cell>
        </row>
        <row r="1649">
          <cell r="A1649" t="str">
            <v>BD0220-L</v>
          </cell>
          <cell r="B1649" t="str">
            <v>BD220</v>
          </cell>
          <cell r="C1649" t="str">
            <v>เยื่อไผ่ เดรส แขนสั้น ดอกไม้จิ๋ว พื้นครีม L</v>
          </cell>
        </row>
        <row r="1650">
          <cell r="A1650" t="str">
            <v>BD0220-M</v>
          </cell>
          <cell r="B1650" t="str">
            <v>D220</v>
          </cell>
          <cell r="C1650" t="str">
            <v>เยื่อไผ่ เดรส แขนสั้น ดอกไม้จิ๋ว พื้นครีม M</v>
          </cell>
        </row>
        <row r="1651">
          <cell r="A1651" t="str">
            <v>BD0222-L</v>
          </cell>
          <cell r="B1651" t="str">
            <v>D222</v>
          </cell>
          <cell r="C1651" t="str">
            <v>เยื่อไผ่ เดรส แขนสั้น พื้นชมพู ดอกไม้เหลือง L</v>
          </cell>
        </row>
        <row r="1652">
          <cell r="A1652" t="str">
            <v>BD0222-M</v>
          </cell>
          <cell r="B1652" t="str">
            <v>D222</v>
          </cell>
          <cell r="C1652" t="str">
            <v>เยื่อไผ่ เดรส แขนสั้น พื้นชมพู ดอกไม้เหลือง M</v>
          </cell>
        </row>
        <row r="1653">
          <cell r="A1653" t="str">
            <v>BD0223-L</v>
          </cell>
          <cell r="B1653" t="str">
            <v>D223</v>
          </cell>
          <cell r="C1653" t="str">
            <v>เยื่อไผ่ เดรส แขนยาว ดอกมะลิ พื้นชมพู L</v>
          </cell>
        </row>
        <row r="1654">
          <cell r="A1654" t="str">
            <v>BD0223-M</v>
          </cell>
          <cell r="B1654" t="str">
            <v>D223</v>
          </cell>
          <cell r="C1654" t="str">
            <v>เยื่อไผ่ เดรส แขนยาว ดอกมะลิ พื้นชมพู M</v>
          </cell>
        </row>
        <row r="1655">
          <cell r="A1655" t="str">
            <v>BD0223-XL</v>
          </cell>
          <cell r="B1655" t="str">
            <v>D223</v>
          </cell>
          <cell r="C1655" t="str">
            <v>เยื่อไผ่ เดรส แขนยาว ดอกมะลิ พื้นชมพู XL</v>
          </cell>
        </row>
        <row r="1656">
          <cell r="A1656" t="str">
            <v>BD0224-L</v>
          </cell>
          <cell r="B1656" t="str">
            <v>D224</v>
          </cell>
          <cell r="C1656" t="str">
            <v>เยื่อไผ่ เดรส แขนยาว ใบไม้เขียว พื้นครีม L</v>
          </cell>
        </row>
        <row r="1657">
          <cell r="A1657" t="str">
            <v>BD0224-M</v>
          </cell>
          <cell r="B1657" t="str">
            <v>D224</v>
          </cell>
          <cell r="C1657" t="str">
            <v>เยื่อไผ่ เดรส แขนยาว ใบไม้เขียว พื้นครีม M</v>
          </cell>
        </row>
        <row r="1658">
          <cell r="A1658" t="str">
            <v>BD0224-XL</v>
          </cell>
          <cell r="B1658" t="str">
            <v>D224</v>
          </cell>
          <cell r="C1658" t="str">
            <v>เยื่อไผ่ เดรส แขนยาว ใบไม้เขียว พื้นครีม XL</v>
          </cell>
        </row>
        <row r="1659">
          <cell r="A1659" t="str">
            <v>BD0225-L</v>
          </cell>
          <cell r="B1659" t="str">
            <v>D225</v>
          </cell>
          <cell r="C1659" t="str">
            <v>เยื่อไผ่ เดรส แขนยาว กล้วยไม้ขาว พื้นฟ้า L</v>
          </cell>
        </row>
        <row r="1660">
          <cell r="A1660" t="str">
            <v>BD0225-M</v>
          </cell>
          <cell r="B1660" t="str">
            <v>D225</v>
          </cell>
          <cell r="C1660" t="str">
            <v>เยื่อไผ่ เดรส แขนยาว กล้วยไม้ขาว พื้นฟ้า M</v>
          </cell>
        </row>
        <row r="1661">
          <cell r="A1661" t="str">
            <v>BD0225-XL</v>
          </cell>
          <cell r="B1661" t="str">
            <v>D225</v>
          </cell>
          <cell r="C1661" t="str">
            <v>เยื่อไผ่ เดรส แขนยาว กล้วยไม้ขาว พื้นฟ้า XL</v>
          </cell>
        </row>
        <row r="1662">
          <cell r="A1662" t="str">
            <v>BD0346-L</v>
          </cell>
          <cell r="B1662" t="str">
            <v>D346</v>
          </cell>
          <cell r="C1662" t="str">
            <v>เยื่อไผ่ เดรส แขนยาว ไทเกอร์ แอนด์ โคอะล่า L</v>
          </cell>
        </row>
        <row r="1663">
          <cell r="A1663" t="str">
            <v>BD0346-M</v>
          </cell>
          <cell r="B1663" t="str">
            <v>D346</v>
          </cell>
          <cell r="C1663" t="str">
            <v>เยื่อไผ่ เดรส แขนยาว ไทเกอร์ แอนด์ โคอะล่า M</v>
          </cell>
        </row>
        <row r="1664">
          <cell r="A1664" t="str">
            <v>BD0346-XL</v>
          </cell>
          <cell r="B1664" t="str">
            <v>D346</v>
          </cell>
          <cell r="C1664" t="str">
            <v>เยื่อไผ่ เดรส แขนยาว ไทเกอร์ แอนด์ โคอะล่า XL</v>
          </cell>
        </row>
        <row r="1665">
          <cell r="A1665" t="str">
            <v>BE0002-L</v>
          </cell>
          <cell r="B1665" t="str">
            <v>E2</v>
          </cell>
          <cell r="C1665" t="str">
            <v>เยื่อไผ่ สี่ส่วน ผีเสื้อ สีนู้ด L</v>
          </cell>
        </row>
        <row r="1666">
          <cell r="A1666" t="str">
            <v>BE0002-M</v>
          </cell>
          <cell r="B1666" t="str">
            <v>E2</v>
          </cell>
          <cell r="C1666" t="str">
            <v>เยื่อไผ่ สี่ส่วน ผีเสื้อ สีนู้ด M</v>
          </cell>
        </row>
        <row r="1667">
          <cell r="A1667" t="str">
            <v>BE0002-XL</v>
          </cell>
          <cell r="B1667" t="str">
            <v>E2</v>
          </cell>
          <cell r="C1667" t="str">
            <v>เยื่อไผ่ สี่ส่วน ผีเสื้อ สีนู้ด XL</v>
          </cell>
        </row>
        <row r="1668">
          <cell r="A1668" t="str">
            <v>BE0005-L</v>
          </cell>
          <cell r="B1668" t="str">
            <v>E5</v>
          </cell>
          <cell r="C1668" t="str">
            <v>เยื่อไผ่ สี่ส่วน นกนู้ด L</v>
          </cell>
        </row>
        <row r="1669">
          <cell r="A1669" t="str">
            <v>BE0005-M</v>
          </cell>
          <cell r="B1669" t="str">
            <v>E5</v>
          </cell>
          <cell r="C1669" t="str">
            <v>เยื่อไผ่ สี่ส่วน นกนู้ด M</v>
          </cell>
        </row>
        <row r="1670">
          <cell r="A1670" t="str">
            <v>BE0005-XL</v>
          </cell>
          <cell r="B1670" t="str">
            <v>E5</v>
          </cell>
          <cell r="C1670" t="str">
            <v>เยื่อไผ่ สี่ส่วน นก นู้ด XL</v>
          </cell>
        </row>
        <row r="1671">
          <cell r="A1671" t="str">
            <v>BE0006-L</v>
          </cell>
          <cell r="B1671" t="str">
            <v>E6</v>
          </cell>
          <cell r="C1671" t="str">
            <v>เยื่อไผ่ สี่ส่วน นกครีม L</v>
          </cell>
        </row>
        <row r="1672">
          <cell r="A1672" t="str">
            <v>BE0006-M</v>
          </cell>
          <cell r="B1672" t="str">
            <v>E6</v>
          </cell>
          <cell r="C1672" t="str">
            <v>เยื่อไผ่ สี่ส่วน นกครีม M</v>
          </cell>
        </row>
        <row r="1673">
          <cell r="A1673" t="str">
            <v>BE0006-XL</v>
          </cell>
          <cell r="B1673" t="str">
            <v>E6</v>
          </cell>
          <cell r="C1673" t="str">
            <v>เยื่อไผ่ สี่ส่วน นกครีม XL</v>
          </cell>
        </row>
        <row r="1674">
          <cell r="A1674" t="str">
            <v>BE0007-L</v>
          </cell>
          <cell r="B1674" t="str">
            <v>E7</v>
          </cell>
          <cell r="C1674" t="str">
            <v>เยื่อไผ่ สี่ส่วน นกชมพู L</v>
          </cell>
        </row>
        <row r="1675">
          <cell r="A1675" t="str">
            <v>BE0007-M</v>
          </cell>
          <cell r="B1675" t="str">
            <v>E7</v>
          </cell>
          <cell r="C1675" t="str">
            <v>เยื่อไผ่ สี่ส่วน นกชมพู M</v>
          </cell>
        </row>
        <row r="1676">
          <cell r="A1676" t="str">
            <v>BE0007-XL</v>
          </cell>
          <cell r="B1676" t="str">
            <v>E7</v>
          </cell>
          <cell r="C1676" t="str">
            <v>เยื่อไผ่ สี่ส่วน นกชมพู XL</v>
          </cell>
        </row>
        <row r="1677">
          <cell r="A1677" t="str">
            <v>BE0016-L</v>
          </cell>
          <cell r="B1677" t="str">
            <v>E16</v>
          </cell>
          <cell r="C1677" t="str">
            <v>เยื่อไผ่ สี่ส่วน กวาง พื้นกรม L</v>
          </cell>
        </row>
        <row r="1678">
          <cell r="A1678" t="str">
            <v>BE0016-M</v>
          </cell>
          <cell r="B1678" t="str">
            <v>E16</v>
          </cell>
          <cell r="C1678" t="str">
            <v>เยื่อไผ่ สี่ส่วน กวาง พื้นกรม M</v>
          </cell>
        </row>
        <row r="1679">
          <cell r="A1679" t="str">
            <v>BE0016-XL</v>
          </cell>
          <cell r="B1679" t="str">
            <v>E16</v>
          </cell>
          <cell r="C1679" t="str">
            <v>เยื่อไผ่ สี่ส่วน กวาง พื้นกรม XL</v>
          </cell>
        </row>
        <row r="1680">
          <cell r="A1680" t="str">
            <v>BE0017-L</v>
          </cell>
          <cell r="B1680" t="str">
            <v>E17</v>
          </cell>
          <cell r="C1680" t="str">
            <v>เยื่อไผ่ สี่ส่วน กวาง พื้นฟ้า L</v>
          </cell>
        </row>
        <row r="1681">
          <cell r="A1681" t="str">
            <v>BE0017-M</v>
          </cell>
          <cell r="B1681" t="str">
            <v>E17</v>
          </cell>
          <cell r="C1681" t="str">
            <v>เยื่อไผ่ สี่ส่วน กวาง พื้นฟ้า M</v>
          </cell>
        </row>
        <row r="1682">
          <cell r="A1682" t="str">
            <v>BE0017-XL</v>
          </cell>
          <cell r="B1682" t="str">
            <v>E17</v>
          </cell>
          <cell r="C1682" t="str">
            <v>เยื่อไผ่ สี่ส่วน กวาง พื้นฟ้า XL</v>
          </cell>
        </row>
        <row r="1683">
          <cell r="A1683" t="str">
            <v>BE0018-L</v>
          </cell>
          <cell r="B1683" t="str">
            <v>E18</v>
          </cell>
          <cell r="C1683" t="str">
            <v>เยื่อไผ่ สี่ส่วน กวาง พื้นชมพู L</v>
          </cell>
        </row>
        <row r="1684">
          <cell r="A1684" t="str">
            <v>BE0018-M</v>
          </cell>
          <cell r="B1684" t="str">
            <v>E18</v>
          </cell>
          <cell r="C1684" t="str">
            <v>เยื่อไผ่ สี่ส่วน กวาง พื้นชมพู M</v>
          </cell>
        </row>
        <row r="1685">
          <cell r="A1685" t="str">
            <v>BE0018-XL</v>
          </cell>
          <cell r="B1685" t="str">
            <v>E18</v>
          </cell>
          <cell r="C1685" t="str">
            <v>เยื่อไผ่ สี่ส่วน กวาง พื้นชมพู XL</v>
          </cell>
        </row>
        <row r="1686">
          <cell r="A1686" t="str">
            <v>BE0019-L</v>
          </cell>
          <cell r="B1686" t="str">
            <v>E19</v>
          </cell>
          <cell r="C1686" t="str">
            <v>เยื่อไผ่ สี่ส่วน TropicaL ใบไม้เขียว L</v>
          </cell>
        </row>
        <row r="1687">
          <cell r="A1687" t="str">
            <v>BE0019-M</v>
          </cell>
          <cell r="B1687" t="str">
            <v>E19</v>
          </cell>
          <cell r="C1687" t="str">
            <v>เยื่อไผ่ สี่ส่วน TropicaL ใบไม้เขียว M</v>
          </cell>
        </row>
        <row r="1688">
          <cell r="A1688" t="str">
            <v>BE0019-XL</v>
          </cell>
          <cell r="B1688" t="str">
            <v>E19</v>
          </cell>
          <cell r="C1688" t="str">
            <v>เยื่อไผ่ สี่ส่วน TropicaL ใบไม้เขียว XL</v>
          </cell>
        </row>
        <row r="1689">
          <cell r="A1689" t="str">
            <v>BE0027-L</v>
          </cell>
          <cell r="B1689" t="str">
            <v>E27</v>
          </cell>
          <cell r="C1689" t="str">
            <v>เยื่อไผ่ สี่ส่วน ใบไม้ส้ม พื้นฟ้า L</v>
          </cell>
        </row>
        <row r="1690">
          <cell r="A1690" t="str">
            <v>BE0027-M</v>
          </cell>
          <cell r="B1690" t="str">
            <v>E27</v>
          </cell>
          <cell r="C1690" t="str">
            <v>เยื่อไผ่ สี่ส่วน ใบไม้ส้ม พื้นฟ้า M</v>
          </cell>
        </row>
        <row r="1691">
          <cell r="A1691" t="str">
            <v>BE0027-XL</v>
          </cell>
          <cell r="B1691" t="str">
            <v>E27</v>
          </cell>
          <cell r="C1691" t="str">
            <v>เยื่อไผ่ สี่ส่วน ใบไม้ส้ม พื้นฟ้า XL</v>
          </cell>
        </row>
        <row r="1692">
          <cell r="A1692" t="str">
            <v>BE0029-L</v>
          </cell>
          <cell r="B1692" t="str">
            <v>E29</v>
          </cell>
          <cell r="C1692" t="str">
            <v>เยื่อไผ่ สี่ส่วน สีเขียวน้ำทะเล L</v>
          </cell>
        </row>
        <row r="1693">
          <cell r="A1693" t="str">
            <v>BE0029-M</v>
          </cell>
          <cell r="B1693" t="str">
            <v>E29</v>
          </cell>
          <cell r="C1693" t="str">
            <v>เยื่อไผ่ สี่ส่วน สีเขียวน้ำทะเล M</v>
          </cell>
        </row>
        <row r="1694">
          <cell r="A1694" t="str">
            <v>BE0029-XL</v>
          </cell>
          <cell r="B1694" t="str">
            <v>E29</v>
          </cell>
          <cell r="C1694" t="str">
            <v>เยื่อไผ่ สี่ส่วน สีเขียวน้ำทะเล XL</v>
          </cell>
        </row>
        <row r="1695">
          <cell r="A1695" t="str">
            <v>BE0033-L</v>
          </cell>
          <cell r="B1695" t="str">
            <v>E33</v>
          </cell>
          <cell r="C1695" t="str">
            <v>เยื่อไผ่ สี่ส่วน ฮาวาย เหลือง L</v>
          </cell>
        </row>
        <row r="1696">
          <cell r="A1696" t="str">
            <v>BE0033-M</v>
          </cell>
          <cell r="B1696" t="str">
            <v>E33</v>
          </cell>
          <cell r="C1696" t="str">
            <v>เยื่อไผ่ สี่ส่วน ฮาวาย เหลือง M</v>
          </cell>
        </row>
        <row r="1697">
          <cell r="A1697" t="str">
            <v>BE0033-XL</v>
          </cell>
          <cell r="B1697" t="str">
            <v>E33</v>
          </cell>
          <cell r="C1697" t="str">
            <v>เยื่อไผ่ สี่ส่วน ฮาวาย เหลือง XL</v>
          </cell>
        </row>
        <row r="1698">
          <cell r="A1698" t="str">
            <v>BE0036-L</v>
          </cell>
          <cell r="B1698" t="str">
            <v>E36</v>
          </cell>
          <cell r="C1698" t="str">
            <v>เยื่อไผ่ สี่ส่วน ดอกไม้ขาวใหญ่ พื้นเขียว L</v>
          </cell>
        </row>
        <row r="1699">
          <cell r="A1699" t="str">
            <v>BE0036-M</v>
          </cell>
          <cell r="B1699" t="str">
            <v>E36</v>
          </cell>
          <cell r="C1699" t="str">
            <v>เยื่อไผ่ สี่ส่วน ดอกไม้ขาวใหญ่ พื้นเขียว M</v>
          </cell>
        </row>
        <row r="1700">
          <cell r="A1700" t="str">
            <v>BE0036-XL</v>
          </cell>
          <cell r="B1700" t="str">
            <v>E36</v>
          </cell>
          <cell r="C1700" t="str">
            <v>เยื่อไผ่ สี่ส่วน ดอกไม้ขาวใหญ่ พื้นเขียว XL</v>
          </cell>
        </row>
        <row r="1701">
          <cell r="A1701" t="str">
            <v>BE0037-L</v>
          </cell>
          <cell r="B1701" t="str">
            <v>E37</v>
          </cell>
          <cell r="C1701" t="str">
            <v>เยื่อไผ่ สี่ส่วน สีกรม ดอกไม้ขาว L</v>
          </cell>
        </row>
        <row r="1702">
          <cell r="A1702" t="str">
            <v>BE0037-M</v>
          </cell>
          <cell r="B1702" t="str">
            <v>E37</v>
          </cell>
          <cell r="C1702" t="str">
            <v>เยื่อไผ่ สี่ส่วน สีกรม ดอกไม้ขาว M</v>
          </cell>
        </row>
        <row r="1703">
          <cell r="A1703" t="str">
            <v>BE0037-XL</v>
          </cell>
          <cell r="B1703" t="str">
            <v>E37</v>
          </cell>
          <cell r="C1703" t="str">
            <v>เยื่อไผ่ สี่ส่วน สีกรม ดอกไม้ขาว XL</v>
          </cell>
        </row>
        <row r="1704">
          <cell r="A1704" t="str">
            <v>BE0040-L</v>
          </cell>
          <cell r="B1704" t="str">
            <v>E40</v>
          </cell>
          <cell r="C1704" t="str">
            <v>เยื่อไผ่ สี่ส่วน สีน้ำเงิน ดอกไม้ขาว L</v>
          </cell>
        </row>
        <row r="1705">
          <cell r="A1705" t="str">
            <v>BE0040-M</v>
          </cell>
          <cell r="B1705" t="str">
            <v>E40</v>
          </cell>
          <cell r="C1705" t="str">
            <v>เยื่อไผ่ สี่ส่วน สีน้ำเงิน ดอกไม้ขาว M</v>
          </cell>
        </row>
        <row r="1706">
          <cell r="A1706" t="str">
            <v>BE0040-XL</v>
          </cell>
          <cell r="B1706" t="str">
            <v>E40</v>
          </cell>
          <cell r="C1706" t="str">
            <v>เยื่อไผ่ สี่ส่วน สีน้ำเงิน ดอกไม้ขาว XL</v>
          </cell>
        </row>
        <row r="1707">
          <cell r="A1707" t="str">
            <v>BE0041-L</v>
          </cell>
          <cell r="B1707" t="str">
            <v>E41</v>
          </cell>
          <cell r="C1707" t="str">
            <v>เยื่อไผ่ สี่ส่วน ดอกไม้ขาว พื้นเทาอ่อน L</v>
          </cell>
        </row>
        <row r="1708">
          <cell r="A1708" t="str">
            <v>BE0041-M</v>
          </cell>
          <cell r="B1708" t="str">
            <v>E41</v>
          </cell>
          <cell r="C1708" t="str">
            <v>เยื่อไผ่ สี่ส่วน ดอกไม้ขาว พื้นเทาอ่อน M</v>
          </cell>
        </row>
        <row r="1709">
          <cell r="A1709" t="str">
            <v>BE0041-XL</v>
          </cell>
          <cell r="B1709" t="str">
            <v>E41</v>
          </cell>
          <cell r="C1709" t="str">
            <v>เยื่อไผ่ สี่ส่วน ดอกไม้ขาว พื้นเทาอ่อน XL</v>
          </cell>
        </row>
        <row r="1710">
          <cell r="A1710" t="str">
            <v>BE0042-L</v>
          </cell>
          <cell r="B1710" t="str">
            <v>E42</v>
          </cell>
          <cell r="C1710" t="str">
            <v>เยื่อไผ่ สี่ส่วน ดอกไม้ขาว พื้นกรม L</v>
          </cell>
        </row>
        <row r="1711">
          <cell r="A1711" t="str">
            <v>BE0042-M</v>
          </cell>
          <cell r="B1711" t="str">
            <v>E42</v>
          </cell>
          <cell r="C1711" t="str">
            <v>เยื่อไผ่ สี่ส่วน ดอกไม้ขาว พื้นกรม M</v>
          </cell>
        </row>
        <row r="1712">
          <cell r="A1712" t="str">
            <v>BE0042-XL</v>
          </cell>
          <cell r="B1712" t="str">
            <v>E42</v>
          </cell>
          <cell r="C1712" t="str">
            <v>เยื่อไผ่ สี่ส่วน ดอกไม้ขาว พื้นกรม XL</v>
          </cell>
        </row>
        <row r="1713">
          <cell r="A1713" t="str">
            <v>BE0052-L</v>
          </cell>
          <cell r="B1713" t="str">
            <v>E52</v>
          </cell>
          <cell r="C1713" t="str">
            <v>เยื่อไผ่ สี่ส่วน ดอกไม้แดง สีกรม L</v>
          </cell>
        </row>
        <row r="1714">
          <cell r="A1714" t="str">
            <v>BE0052-M</v>
          </cell>
          <cell r="B1714" t="str">
            <v>E52</v>
          </cell>
          <cell r="C1714" t="str">
            <v>เยื่อไผ่ สี่ส่วน ดอกไม้แดง สีกรม M</v>
          </cell>
        </row>
        <row r="1715">
          <cell r="A1715" t="str">
            <v>BE0052-XL</v>
          </cell>
          <cell r="B1715" t="str">
            <v>E52</v>
          </cell>
          <cell r="C1715" t="str">
            <v>เยื่อไผ่ สี่ส่วน ดอกไม้แดง สีกรม XL</v>
          </cell>
        </row>
        <row r="1716">
          <cell r="A1716" t="str">
            <v>BE0053-L</v>
          </cell>
          <cell r="B1716" t="str">
            <v>E53</v>
          </cell>
          <cell r="C1716" t="str">
            <v>เยื่อไผ่ สี่ส่วน เทาเข้ม ดอกไม้แดง L</v>
          </cell>
        </row>
        <row r="1717">
          <cell r="A1717" t="str">
            <v>BE0053-M</v>
          </cell>
          <cell r="B1717" t="str">
            <v>E53</v>
          </cell>
          <cell r="C1717" t="str">
            <v>เยื่อไผ่ สี่ส่วน เทาเข้ม ดอกไม้แดง M</v>
          </cell>
        </row>
        <row r="1718">
          <cell r="A1718" t="str">
            <v>BE0053-XL</v>
          </cell>
          <cell r="B1718" t="str">
            <v>E53</v>
          </cell>
          <cell r="C1718" t="str">
            <v>เยื่อไผ่ สี่ส่วน เทาเข้ม ดอกไม้แดง XL</v>
          </cell>
        </row>
        <row r="1719">
          <cell r="A1719" t="str">
            <v>BE0058-L</v>
          </cell>
          <cell r="B1719" t="str">
            <v>E58</v>
          </cell>
          <cell r="C1719" t="str">
            <v>เยื่อไผ่ สี่ส่วน ดอกไม้กรม ชมพู พื้นครีม L</v>
          </cell>
        </row>
        <row r="1720">
          <cell r="A1720" t="str">
            <v>BE0058-M</v>
          </cell>
          <cell r="B1720" t="str">
            <v>E58</v>
          </cell>
          <cell r="C1720" t="str">
            <v>เยื่อไผ่ สี่ส่วน ดอกไม้กรม ชมพู พื้นครีม M</v>
          </cell>
        </row>
        <row r="1721">
          <cell r="A1721" t="str">
            <v>BE0058-XL</v>
          </cell>
          <cell r="B1721" t="str">
            <v>E58</v>
          </cell>
          <cell r="C1721" t="str">
            <v>เยื่อไผ่ สี่ส่วน ดอกไม้กรม ชมพู พื้นครีม XL</v>
          </cell>
        </row>
        <row r="1722">
          <cell r="A1722" t="str">
            <v>BE0059-L</v>
          </cell>
          <cell r="B1722" t="str">
            <v>E59</v>
          </cell>
          <cell r="C1722" t="str">
            <v>เยื่อไผ่ สี่ส่วน ดอกไม้ กรมชมพู พื้นครีม L</v>
          </cell>
        </row>
        <row r="1723">
          <cell r="A1723" t="str">
            <v>BE0059-M</v>
          </cell>
          <cell r="B1723" t="str">
            <v>E59</v>
          </cell>
          <cell r="C1723" t="str">
            <v>เยื่อไผ่ สี่ส่วน ดอกไม้ กรมชมพู พื้นครีม M</v>
          </cell>
        </row>
        <row r="1724">
          <cell r="A1724" t="str">
            <v>BE0059-XL</v>
          </cell>
          <cell r="B1724" t="str">
            <v>E59</v>
          </cell>
          <cell r="C1724" t="str">
            <v>เยื่อไผ่ สี่ส่วน ดอกไม้ กรมชมพู พื้นครีม XL</v>
          </cell>
        </row>
        <row r="1725">
          <cell r="A1725" t="str">
            <v>BE0060-L</v>
          </cell>
          <cell r="B1725" t="str">
            <v>E60</v>
          </cell>
          <cell r="C1725" t="str">
            <v>เยื่อไผ่ สี่ส่วน ดอกไม้ชมพู L</v>
          </cell>
        </row>
        <row r="1726">
          <cell r="A1726" t="str">
            <v>BE0060-M</v>
          </cell>
          <cell r="B1726" t="str">
            <v>E60</v>
          </cell>
          <cell r="C1726" t="str">
            <v>เยื่อไผ่ สี่ส่วน ดอกไม้ชมพู M</v>
          </cell>
        </row>
        <row r="1727">
          <cell r="A1727" t="str">
            <v>BE0060-XL</v>
          </cell>
          <cell r="B1727" t="str">
            <v>E60</v>
          </cell>
          <cell r="C1727" t="str">
            <v>เยื่อไผ่ สี่ส่วน ดอกไม้ชมพู XL</v>
          </cell>
        </row>
        <row r="1728">
          <cell r="A1728" t="str">
            <v>BE0061-L</v>
          </cell>
          <cell r="B1728" t="str">
            <v>E61</v>
          </cell>
          <cell r="C1728" t="str">
            <v>เยื่อไผ่ สี่ส่วน ดอกไม้ชมพู นู้ด New L</v>
          </cell>
        </row>
        <row r="1729">
          <cell r="A1729" t="str">
            <v>BE0061-M</v>
          </cell>
          <cell r="B1729" t="str">
            <v>E61</v>
          </cell>
          <cell r="C1729" t="str">
            <v>เยื่อไผ่ สี่ส่วน ดอกไม้ชมพู นู้ด New M</v>
          </cell>
        </row>
        <row r="1730">
          <cell r="A1730" t="str">
            <v>BE0061-XL</v>
          </cell>
          <cell r="B1730" t="str">
            <v>E61</v>
          </cell>
          <cell r="C1730" t="str">
            <v>เยื่อไผ่ สี่ส่วน ดอกไม้ชมพู นู้ด New XL</v>
          </cell>
        </row>
        <row r="1731">
          <cell r="A1731" t="str">
            <v>BE0062-L</v>
          </cell>
          <cell r="B1731" t="str">
            <v>E62</v>
          </cell>
          <cell r="C1731" t="str">
            <v>เยื่อไผ่ สี่ส่วน ดอกไม้ชมพู พื้นกรม L</v>
          </cell>
        </row>
        <row r="1732">
          <cell r="A1732" t="str">
            <v>BE0062-M</v>
          </cell>
          <cell r="B1732" t="str">
            <v>E62</v>
          </cell>
          <cell r="C1732" t="str">
            <v>เยื่อไผ่ สี่ส่วน ดอกไม้ชมพู พื้นกรม M</v>
          </cell>
        </row>
        <row r="1733">
          <cell r="A1733" t="str">
            <v>BE0062-XL</v>
          </cell>
          <cell r="B1733" t="str">
            <v>E62</v>
          </cell>
          <cell r="C1733" t="str">
            <v>เยื่อไผ่ สี่ส่วน ดอกไม้ชมพู พื้นกรม XL</v>
          </cell>
        </row>
        <row r="1734">
          <cell r="A1734" t="str">
            <v>BE0063-L</v>
          </cell>
          <cell r="B1734" t="str">
            <v>E63</v>
          </cell>
          <cell r="C1734" t="str">
            <v>เยื่อไผ่ สี่ส่วน ดอกไม้ชมพู น้ำเงิน L</v>
          </cell>
        </row>
        <row r="1735">
          <cell r="A1735" t="str">
            <v>BE0063-M</v>
          </cell>
          <cell r="B1735" t="str">
            <v>E63</v>
          </cell>
          <cell r="C1735" t="str">
            <v>เยื่อไผ่ สี่ส่วน ดอกไม้ชมพู น้ำเงิน M</v>
          </cell>
        </row>
        <row r="1736">
          <cell r="A1736" t="str">
            <v>BE0063-XL</v>
          </cell>
          <cell r="B1736" t="str">
            <v>E63</v>
          </cell>
          <cell r="C1736" t="str">
            <v>เยื่อไผ่ สี่ส่วน ดอกไม้ชมพู น้ำเงิน XL</v>
          </cell>
        </row>
        <row r="1737">
          <cell r="A1737" t="str">
            <v>BE0064-L</v>
          </cell>
          <cell r="B1737" t="str">
            <v>E64</v>
          </cell>
          <cell r="C1737" t="str">
            <v>เยื่อไผ่ สี่ส่วน พื้นกรม ดอกชมพูใหญ่ L</v>
          </cell>
        </row>
        <row r="1738">
          <cell r="A1738" t="str">
            <v>BE0064-M</v>
          </cell>
          <cell r="B1738" t="str">
            <v>E64</v>
          </cell>
          <cell r="C1738" t="str">
            <v>เยื่อไผ่ สี่ส่วน พื้นกรม ดอกชมพูใหญ่ M</v>
          </cell>
        </row>
        <row r="1739">
          <cell r="A1739" t="str">
            <v>BE0064-XL</v>
          </cell>
          <cell r="B1739" t="str">
            <v>E64</v>
          </cell>
          <cell r="C1739" t="str">
            <v>เยื่อไผ่ สี่ส่วน พื้นกรม ดอกชมพูใหญ่ XL</v>
          </cell>
        </row>
        <row r="1740">
          <cell r="A1740" t="str">
            <v>BE0070-L</v>
          </cell>
          <cell r="B1740" t="str">
            <v>E70</v>
          </cell>
          <cell r="C1740" t="str">
            <v>เยื่อไผ่ สี่ส่วน ดอกไม้ม่วง L</v>
          </cell>
        </row>
        <row r="1741">
          <cell r="A1741" t="str">
            <v>BE0070-M</v>
          </cell>
          <cell r="B1741" t="str">
            <v>E70</v>
          </cell>
          <cell r="C1741" t="str">
            <v>เยื่อไผ่ สี่ส่วน ดอกไม้ม่วง M</v>
          </cell>
        </row>
        <row r="1742">
          <cell r="A1742" t="str">
            <v>BE0070-XL</v>
          </cell>
          <cell r="B1742" t="str">
            <v>E70</v>
          </cell>
          <cell r="C1742" t="str">
            <v>เยื่อไผ่ สี่ส่วน ดอกไม้ม่วง XL</v>
          </cell>
        </row>
        <row r="1743">
          <cell r="A1743" t="str">
            <v>BE0079-L</v>
          </cell>
          <cell r="B1743" t="str">
            <v>E79</v>
          </cell>
          <cell r="C1743" t="str">
            <v>เยื่อไผ่ สี่ส่วน ดอกไม้เทา L</v>
          </cell>
        </row>
        <row r="1744">
          <cell r="A1744" t="str">
            <v>BE0079-M</v>
          </cell>
          <cell r="B1744" t="str">
            <v>E79</v>
          </cell>
          <cell r="C1744" t="str">
            <v>เยื่อไผ่ สี่ส่วน ดอกไม้เทา M</v>
          </cell>
        </row>
        <row r="1745">
          <cell r="A1745" t="str">
            <v>BE0079-XL</v>
          </cell>
          <cell r="B1745" t="str">
            <v>E79</v>
          </cell>
          <cell r="C1745" t="str">
            <v>เยื่อไผ่ สี่ส่วน ดอกไม้เทา XL</v>
          </cell>
        </row>
        <row r="1746">
          <cell r="A1746" t="str">
            <v>BE0081-L</v>
          </cell>
          <cell r="B1746" t="str">
            <v>E81</v>
          </cell>
          <cell r="C1746" t="str">
            <v>เยื่อไผ่ สี่ส่วน ดอกไม้เงิน พื้นชมพู L</v>
          </cell>
        </row>
        <row r="1747">
          <cell r="A1747" t="str">
            <v>BE0081-M</v>
          </cell>
          <cell r="B1747" t="str">
            <v>E81</v>
          </cell>
          <cell r="C1747" t="str">
            <v>เยื่อไผ่ สี่ส่วน ดอกไม้เงิน พื้นชมพู M</v>
          </cell>
        </row>
        <row r="1748">
          <cell r="A1748" t="str">
            <v>BE0081-XL</v>
          </cell>
          <cell r="B1748" t="str">
            <v>E81</v>
          </cell>
          <cell r="C1748" t="str">
            <v>เยื่อไผ่ สี่ส่วน ดอกไม้เงิน พื้นชมพู XL</v>
          </cell>
        </row>
        <row r="1749">
          <cell r="A1749" t="str">
            <v>BE0082-L</v>
          </cell>
          <cell r="B1749" t="str">
            <v>E82</v>
          </cell>
          <cell r="C1749" t="str">
            <v>เยื่อไผ่ สี่ส่วน ดอกไม้เงิน พื้นกรม L</v>
          </cell>
        </row>
        <row r="1750">
          <cell r="A1750" t="str">
            <v>BE0082-M</v>
          </cell>
          <cell r="B1750" t="str">
            <v>E82</v>
          </cell>
          <cell r="C1750" t="str">
            <v>เยื่อไผ่ สี่ส่วน ดอกไม้เงิน พื้นกรม M</v>
          </cell>
        </row>
        <row r="1751">
          <cell r="A1751" t="str">
            <v>BE0082-XL</v>
          </cell>
          <cell r="B1751" t="str">
            <v>E82</v>
          </cell>
          <cell r="C1751" t="str">
            <v>เยื่อไผ่ สี่ส่วน ดอกไม้เงิน พื้นกรม XL</v>
          </cell>
        </row>
        <row r="1752">
          <cell r="A1752" t="str">
            <v>BE0083-L</v>
          </cell>
          <cell r="B1752" t="str">
            <v>E83</v>
          </cell>
          <cell r="C1752" t="str">
            <v>เยื่อไผ่ สี่ส่วน สีฟ้า ดอกไม้ L</v>
          </cell>
        </row>
        <row r="1753">
          <cell r="A1753" t="str">
            <v>BE0083-M</v>
          </cell>
          <cell r="B1753" t="str">
            <v>E83</v>
          </cell>
          <cell r="C1753" t="str">
            <v>เยื่อไผ่ สี่ส่วน สีฟ้า ดอกไม้ M</v>
          </cell>
        </row>
        <row r="1754">
          <cell r="A1754" t="str">
            <v>BE0083-XL</v>
          </cell>
          <cell r="B1754" t="str">
            <v>E83</v>
          </cell>
          <cell r="C1754" t="str">
            <v>เยื่อไผ่ สี่ส่วน สีฟ้า ดอกไม้ XL</v>
          </cell>
        </row>
        <row r="1755">
          <cell r="A1755" t="str">
            <v>BE0084-L</v>
          </cell>
          <cell r="B1755" t="str">
            <v>E84</v>
          </cell>
          <cell r="C1755" t="str">
            <v>เยื่อไผ่ สี่ส่วน ดอกไม้ สีฟ้าอ่อน L</v>
          </cell>
        </row>
        <row r="1756">
          <cell r="A1756" t="str">
            <v>BE0084-M</v>
          </cell>
          <cell r="B1756" t="str">
            <v>E84</v>
          </cell>
          <cell r="C1756" t="str">
            <v>เยื่อไผ่ สี่ส่วน ดอกไม้ สีฟ้าอ่อน M</v>
          </cell>
        </row>
        <row r="1757">
          <cell r="A1757" t="str">
            <v>BE0084-XL</v>
          </cell>
          <cell r="B1757" t="str">
            <v>E84</v>
          </cell>
          <cell r="C1757" t="str">
            <v>เยื่อไผ่ สี่ส่วน ดอกไม้ สีฟ้าอ่อน XL</v>
          </cell>
        </row>
        <row r="1758">
          <cell r="A1758" t="str">
            <v>BE0085-L</v>
          </cell>
          <cell r="B1758" t="str">
            <v>E85</v>
          </cell>
          <cell r="C1758" t="str">
            <v>เยื่อไผ่ สี่ส่วน ดอกไม้ พื้นฟ้า L</v>
          </cell>
        </row>
        <row r="1759">
          <cell r="A1759" t="str">
            <v>BE0085-M</v>
          </cell>
          <cell r="B1759" t="str">
            <v>E85</v>
          </cell>
          <cell r="C1759" t="str">
            <v>เยื่อไผ่ สี่ส่วน ดอกไม้ พื้นฟ้า M</v>
          </cell>
        </row>
        <row r="1760">
          <cell r="A1760" t="str">
            <v>BE0085-XL</v>
          </cell>
          <cell r="B1760" t="str">
            <v>E85</v>
          </cell>
          <cell r="C1760" t="str">
            <v>เยื่อไผ่ สี่ส่วน ดอกไม้ พื้นฟ้า XL</v>
          </cell>
        </row>
        <row r="1761">
          <cell r="A1761" t="str">
            <v>BE0099-L</v>
          </cell>
          <cell r="B1761" t="str">
            <v>E99</v>
          </cell>
          <cell r="C1761" t="str">
            <v>เยื่อไผ่ สี่ส่วน โบตั่น สีฟ้า L</v>
          </cell>
        </row>
        <row r="1762">
          <cell r="A1762" t="str">
            <v>BE0099-M</v>
          </cell>
          <cell r="B1762" t="str">
            <v>E99</v>
          </cell>
          <cell r="C1762" t="str">
            <v>เยื่อไผ่ สี่ส่วน โบตั่น สีฟ้า M</v>
          </cell>
        </row>
        <row r="1763">
          <cell r="A1763" t="str">
            <v>BE0099-XL</v>
          </cell>
          <cell r="B1763" t="str">
            <v>E99</v>
          </cell>
          <cell r="C1763" t="str">
            <v>เยื่อไผ่ สี่ส่วน โบตั่น สีฟ้า XL</v>
          </cell>
        </row>
        <row r="1764">
          <cell r="A1764" t="str">
            <v>BE0100-L</v>
          </cell>
          <cell r="B1764" t="str">
            <v>E100</v>
          </cell>
          <cell r="C1764" t="str">
            <v>เยื่อไผ่ สี่ส่วน โบตั๋น สีมิ้น L</v>
          </cell>
        </row>
        <row r="1765">
          <cell r="A1765" t="str">
            <v>BE0100-M</v>
          </cell>
          <cell r="B1765" t="str">
            <v>E100</v>
          </cell>
          <cell r="C1765" t="str">
            <v>เยื่อไผ่ สี่ส่วน โบตั๋น สีมิ้น M</v>
          </cell>
        </row>
        <row r="1766">
          <cell r="A1766" t="str">
            <v>BE0100-XL</v>
          </cell>
          <cell r="B1766" t="str">
            <v>E100</v>
          </cell>
          <cell r="C1766" t="str">
            <v>เยื่อไผ่ สี่ส่วน โบตั๋น สีมิ้น XL</v>
          </cell>
        </row>
        <row r="1767">
          <cell r="A1767" t="str">
            <v>BE0101-L</v>
          </cell>
          <cell r="B1767" t="str">
            <v>E101</v>
          </cell>
          <cell r="C1767" t="str">
            <v>เยื่อไผ่ สี่ส่วน โบตั๋น สีเหลือง-L</v>
          </cell>
        </row>
        <row r="1768">
          <cell r="A1768" t="str">
            <v>BE0101-M</v>
          </cell>
          <cell r="B1768" t="str">
            <v>E101</v>
          </cell>
          <cell r="C1768" t="str">
            <v>เยื่อไผ่ สี่ส่วน โบตั๋น สีเหลือง-M</v>
          </cell>
        </row>
        <row r="1769">
          <cell r="A1769" t="str">
            <v>BE0101-XL</v>
          </cell>
          <cell r="B1769" t="str">
            <v>E101</v>
          </cell>
          <cell r="C1769" t="str">
            <v>เยื่อไผ่ สี่ส่วน โบตั๋น สีเหลือง-XL</v>
          </cell>
        </row>
        <row r="1770">
          <cell r="A1770" t="str">
            <v>BE0102-L</v>
          </cell>
          <cell r="B1770" t="str">
            <v>E102</v>
          </cell>
          <cell r="C1770" t="str">
            <v>เยื่อไผ่ สี่ส่วน โบตั๋น สีชมพู L</v>
          </cell>
        </row>
        <row r="1771">
          <cell r="A1771" t="str">
            <v>BE0102-M</v>
          </cell>
          <cell r="B1771" t="str">
            <v>E102</v>
          </cell>
          <cell r="C1771" t="str">
            <v>เยื่อไผ่ สี่ส่วน โบตั๋น สีชมพู M</v>
          </cell>
        </row>
        <row r="1772">
          <cell r="A1772" t="str">
            <v>BE0102-XL</v>
          </cell>
          <cell r="B1772" t="str">
            <v>E102</v>
          </cell>
          <cell r="C1772" t="str">
            <v>เยื่อไผ่ สี่ส่วน โบตั๋น สีชมพู XL</v>
          </cell>
        </row>
        <row r="1773">
          <cell r="A1773" t="str">
            <v>BE0104-L</v>
          </cell>
          <cell r="B1773" t="str">
            <v>E104</v>
          </cell>
          <cell r="C1773" t="str">
            <v>เยื่อไผ่ สี่ส่วน ดอกกุหลาบ พื้นครีม L</v>
          </cell>
        </row>
        <row r="1774">
          <cell r="A1774" t="str">
            <v>BE0104-M</v>
          </cell>
          <cell r="B1774" t="str">
            <v>E104</v>
          </cell>
          <cell r="C1774" t="str">
            <v>เยื่อไผ่ สี่ส่วน ดอกกุหลาบ พื้นครีม M</v>
          </cell>
        </row>
        <row r="1775">
          <cell r="A1775" t="str">
            <v>BE0104-XL</v>
          </cell>
          <cell r="B1775" t="str">
            <v>E104</v>
          </cell>
          <cell r="C1775" t="str">
            <v>เยื่อไผ่ สี่ส่วน ดอกกุหลาบ พื้นครีม XL</v>
          </cell>
        </row>
        <row r="1776">
          <cell r="A1776" t="str">
            <v>BE0106-L</v>
          </cell>
          <cell r="B1776" t="str">
            <v>E106</v>
          </cell>
          <cell r="C1776" t="str">
            <v>เยื่อไผ่ สี่ส่วน ลูกพีช L</v>
          </cell>
        </row>
        <row r="1777">
          <cell r="A1777" t="str">
            <v>BE0106-M</v>
          </cell>
          <cell r="B1777" t="str">
            <v>E106</v>
          </cell>
          <cell r="C1777" t="str">
            <v>เยื่อไผ่ สี่ส่วน ลูกพีช M</v>
          </cell>
        </row>
        <row r="1778">
          <cell r="A1778" t="str">
            <v>BE0106-XL</v>
          </cell>
          <cell r="B1778" t="str">
            <v>E106</v>
          </cell>
          <cell r="C1778" t="str">
            <v>เยื่อไผ่ สี่ส่วน ลูกพีช XL</v>
          </cell>
        </row>
        <row r="1779">
          <cell r="A1779" t="str">
            <v>BE0128-L</v>
          </cell>
          <cell r="B1779" t="str">
            <v>E128</v>
          </cell>
          <cell r="C1779" t="str">
            <v>เยื่อไผ่ สี่ส่วน จุดน้ำเงินเหลือง พื้นครีม L</v>
          </cell>
        </row>
        <row r="1780">
          <cell r="A1780" t="str">
            <v>BE0128-M</v>
          </cell>
          <cell r="B1780" t="str">
            <v>E128</v>
          </cell>
          <cell r="C1780" t="str">
            <v>เยื่อไผ่ สี่ส่วน จุดน้ำเงินเหลือง พื้นครีม  M</v>
          </cell>
        </row>
        <row r="1781">
          <cell r="A1781" t="str">
            <v>BE0128-XL</v>
          </cell>
          <cell r="B1781" t="str">
            <v>E128</v>
          </cell>
          <cell r="C1781" t="str">
            <v>เยื่อไผ่ สี่ส่วน จุดน้ำเงินเหลือง พื้นครีม  XL</v>
          </cell>
        </row>
        <row r="1782">
          <cell r="A1782" t="str">
            <v>BE0138-L</v>
          </cell>
          <cell r="B1782" t="str">
            <v>E138</v>
          </cell>
          <cell r="C1782" t="str">
            <v>เยื่อไผ่ สี่ส่วน ต้นสน สีฟ้า L</v>
          </cell>
        </row>
        <row r="1783">
          <cell r="A1783" t="str">
            <v>BE0138-M</v>
          </cell>
          <cell r="B1783" t="str">
            <v>E138</v>
          </cell>
          <cell r="C1783" t="str">
            <v>เยื่อไผ่ สี่ส่วน ต้นสน สีฟ้า M</v>
          </cell>
        </row>
        <row r="1784">
          <cell r="A1784" t="str">
            <v>BE0138-XL</v>
          </cell>
          <cell r="B1784" t="str">
            <v>E138</v>
          </cell>
          <cell r="C1784" t="str">
            <v>เยื่อไผ่ สี่ส่วน ต้นสน สีฟ้า XL</v>
          </cell>
        </row>
        <row r="1785">
          <cell r="A1785" t="str">
            <v>BE0200-L</v>
          </cell>
          <cell r="B1785" t="str">
            <v>E200</v>
          </cell>
          <cell r="C1785" t="str">
            <v>เยื่อไผ่ สี่ส่วน ใบไม้ทอง พื้นเขียว L</v>
          </cell>
        </row>
        <row r="1786">
          <cell r="A1786" t="str">
            <v>BE0200-M</v>
          </cell>
          <cell r="B1786" t="str">
            <v>E200</v>
          </cell>
          <cell r="C1786" t="str">
            <v>เยื่อไผ่ สี่ส่วน ใบไม้ทอง พื้นเขียว M</v>
          </cell>
        </row>
        <row r="1787">
          <cell r="A1787" t="str">
            <v>BE0200-XL</v>
          </cell>
          <cell r="B1787" t="str">
            <v>E200</v>
          </cell>
          <cell r="C1787" t="str">
            <v>เยื่อไผ่ สี่ส่วน ใบไม้ทอง พื้นเขียว XL</v>
          </cell>
        </row>
        <row r="1788">
          <cell r="A1788" t="str">
            <v>BE0201-L</v>
          </cell>
          <cell r="B1788" t="str">
            <v>E201</v>
          </cell>
          <cell r="C1788" t="str">
            <v>เยื่อไผ่ สี่ส่วน ดอกไม้ฟ้า พื้นครีม L</v>
          </cell>
        </row>
        <row r="1789">
          <cell r="A1789" t="str">
            <v>BE0201-M</v>
          </cell>
          <cell r="B1789" t="str">
            <v>E201</v>
          </cell>
          <cell r="C1789" t="str">
            <v>เยื่อไผ่ สี่ส่วน ดอกไม้ฟ้า พื้นครีม M</v>
          </cell>
        </row>
        <row r="1790">
          <cell r="A1790" t="str">
            <v>BE0201-XL</v>
          </cell>
          <cell r="B1790" t="str">
            <v>E201</v>
          </cell>
          <cell r="C1790" t="str">
            <v>เยื่อไผ่ สี่ส่วน ดอกไม้ฟ้า พื้นครีม XL</v>
          </cell>
        </row>
        <row r="1791">
          <cell r="A1791" t="str">
            <v>BE0202-L</v>
          </cell>
          <cell r="B1791" t="str">
            <v>E202</v>
          </cell>
          <cell r="C1791" t="str">
            <v>เยื่อไผ่ สี่ส่วน กล้วย L</v>
          </cell>
        </row>
        <row r="1792">
          <cell r="A1792" t="str">
            <v>BE0202-M</v>
          </cell>
          <cell r="B1792" t="str">
            <v>E202</v>
          </cell>
          <cell r="C1792" t="str">
            <v>เยื่อไผ่ สี่ส่วน กล้วย M</v>
          </cell>
        </row>
        <row r="1793">
          <cell r="A1793" t="str">
            <v>BE0202-XL</v>
          </cell>
          <cell r="B1793" t="str">
            <v>E202</v>
          </cell>
          <cell r="C1793" t="str">
            <v>เยื่อไผ่ สี่ส่วน กล้วย XL</v>
          </cell>
        </row>
        <row r="1794">
          <cell r="A1794" t="str">
            <v>BE0203-L</v>
          </cell>
          <cell r="B1794" t="str">
            <v>E203</v>
          </cell>
          <cell r="C1794" t="str">
            <v>เยื่อไผ่ สี่ส่วน ดอกไม้ ดอกไม้ พื้นเทา L</v>
          </cell>
        </row>
        <row r="1795">
          <cell r="A1795" t="str">
            <v>BE0203-M</v>
          </cell>
          <cell r="B1795" t="str">
            <v>E203</v>
          </cell>
          <cell r="C1795" t="str">
            <v>เยื่อไผ่ สี่ส่วน ดอกไม้ ดอกไม้ พื้นเทา M</v>
          </cell>
        </row>
        <row r="1796">
          <cell r="A1796" t="str">
            <v>BE0203-XL</v>
          </cell>
          <cell r="B1796" t="str">
            <v>E203</v>
          </cell>
          <cell r="C1796" t="str">
            <v>เยื่อไผ่ สี่ส่วน ดอกไม้ ดอกไม้ พื้นเทา XL</v>
          </cell>
        </row>
        <row r="1797">
          <cell r="A1797" t="str">
            <v>BE0204-L</v>
          </cell>
          <cell r="B1797" t="str">
            <v>E204</v>
          </cell>
          <cell r="C1797" t="str">
            <v>เยื่อไผ่ สี่ส่วน ดอกไม้ส้ม พื้นฟ้า L</v>
          </cell>
        </row>
        <row r="1798">
          <cell r="A1798" t="str">
            <v>BE0204-M</v>
          </cell>
          <cell r="B1798" t="str">
            <v>E204</v>
          </cell>
          <cell r="C1798" t="str">
            <v>เยื่อไผ่ สี่ส่วน ดอกไม้ส้ม พื้นฟ้า M</v>
          </cell>
        </row>
        <row r="1799">
          <cell r="A1799" t="str">
            <v>BE0204-XL</v>
          </cell>
          <cell r="B1799" t="str">
            <v>E204</v>
          </cell>
          <cell r="C1799" t="str">
            <v>เยื่อไผ่ สี่ส่วน ดอกไม้ส้ม พื้นฟ้า XL</v>
          </cell>
        </row>
        <row r="1800">
          <cell r="A1800" t="str">
            <v>BE0205-L</v>
          </cell>
          <cell r="B1800" t="str">
            <v>E205</v>
          </cell>
          <cell r="C1800" t="str">
            <v>เยื่อไผ่ สี่ส่วน จุดน้ำเงิน ส้ม ขาว พื้นครีม L</v>
          </cell>
        </row>
        <row r="1801">
          <cell r="A1801" t="str">
            <v>BE0205-M</v>
          </cell>
          <cell r="B1801" t="str">
            <v>E205</v>
          </cell>
          <cell r="C1801" t="str">
            <v>เยื่อไผ่ สี่ส่วน จุดน้ำเงิน ส้ม ขาว พื้นครีม M</v>
          </cell>
        </row>
        <row r="1802">
          <cell r="A1802" t="str">
            <v>BE0205-XL</v>
          </cell>
          <cell r="B1802" t="str">
            <v>E205</v>
          </cell>
          <cell r="C1802" t="str">
            <v>เยื่อไผ่ สี่ส่วน จุดน้ำเงิน ส้ม ขาว พื้นครีม XL</v>
          </cell>
        </row>
        <row r="1803">
          <cell r="A1803" t="str">
            <v>BE0259-L</v>
          </cell>
          <cell r="B1803" t="str">
            <v>E259</v>
          </cell>
          <cell r="C1803" t="str">
            <v>เยื่อไผ่ สี่ส่วน ช้างน้อยพ่นน้ำ L</v>
          </cell>
        </row>
        <row r="1804">
          <cell r="A1804" t="str">
            <v>BE0259-M</v>
          </cell>
          <cell r="B1804" t="str">
            <v>E259</v>
          </cell>
          <cell r="C1804" t="str">
            <v>เยื่อไผ่ สี่ส่วน ช้างน้อยพ่นน้ำ M</v>
          </cell>
        </row>
        <row r="1805">
          <cell r="A1805" t="str">
            <v>BE0259-XL</v>
          </cell>
          <cell r="B1805" t="str">
            <v>E259</v>
          </cell>
          <cell r="C1805" t="str">
            <v>เยื่อไผ่ สี่ส่วน ช้างน้อยพ่นน้ำ XL</v>
          </cell>
        </row>
        <row r="1806">
          <cell r="A1806" t="str">
            <v>BE0274-L</v>
          </cell>
          <cell r="B1806" t="str">
            <v>E274</v>
          </cell>
          <cell r="C1806" t="str">
            <v>เยื่อไผ่ สี่ส่วน เสือส้มดำ พื้นเขียว L</v>
          </cell>
        </row>
        <row r="1807">
          <cell r="A1807" t="str">
            <v>BE0274-M</v>
          </cell>
          <cell r="B1807" t="str">
            <v>E274</v>
          </cell>
          <cell r="C1807" t="str">
            <v>เยื่อไผ่ สี่ส่วน เสือส้มดำ พื้นเขียว M</v>
          </cell>
        </row>
        <row r="1808">
          <cell r="A1808" t="str">
            <v>BE0274-XL</v>
          </cell>
          <cell r="B1808" t="str">
            <v>E274</v>
          </cell>
          <cell r="C1808" t="str">
            <v>เยื่อไผ่ สี่ส่วน เสือส้มดำ พื้นเขียว XL</v>
          </cell>
        </row>
        <row r="1809">
          <cell r="A1809" t="str">
            <v>BE0275-L</v>
          </cell>
          <cell r="B1809" t="str">
            <v>E275</v>
          </cell>
          <cell r="C1809" t="str">
            <v>เยื่อไผ่ สี่ส่วน เสือน้ำตาลดำ พื้นขาว L</v>
          </cell>
        </row>
        <row r="1810">
          <cell r="A1810" t="str">
            <v>BE0275-M</v>
          </cell>
          <cell r="B1810" t="str">
            <v>E275</v>
          </cell>
          <cell r="C1810" t="str">
            <v>เยื่อไผ่ สี่ส่วน เสือน้ำตาลดำ พื้นขาว M</v>
          </cell>
        </row>
        <row r="1811">
          <cell r="A1811" t="str">
            <v>BE0275-XL</v>
          </cell>
          <cell r="B1811" t="str">
            <v>E275</v>
          </cell>
          <cell r="C1811" t="str">
            <v>เยื่อไผ่ สี่ส่วน เสือน้ำตาลดำ พื้นขาว XL</v>
          </cell>
        </row>
        <row r="1812">
          <cell r="A1812" t="str">
            <v>BE0276-L</v>
          </cell>
          <cell r="B1812" t="str">
            <v>E276</v>
          </cell>
          <cell r="C1812" t="str">
            <v>เยื่อไผ่ สี่ส่วน ดอกไม้ดำ พื้นน้ำตาล L</v>
          </cell>
        </row>
        <row r="1813">
          <cell r="A1813" t="str">
            <v>BE0276-M</v>
          </cell>
          <cell r="B1813" t="str">
            <v>E276</v>
          </cell>
          <cell r="C1813" t="str">
            <v>เยื่อไผ่ สี่ส่วน ดอกไม้ดำ พื้นน้ำตาล M</v>
          </cell>
        </row>
        <row r="1814">
          <cell r="A1814" t="str">
            <v>BE0276-XL</v>
          </cell>
          <cell r="B1814" t="str">
            <v>E276</v>
          </cell>
          <cell r="C1814" t="str">
            <v>เยื่อไผ่ สี่ส่วน ดอกไม้ดำ พื้นน้ำตาล XL</v>
          </cell>
        </row>
        <row r="1815">
          <cell r="A1815" t="str">
            <v>BE0277-L</v>
          </cell>
          <cell r="B1815" t="str">
            <v>E277</v>
          </cell>
          <cell r="C1815" t="str">
            <v>เยื่อไผ่ สี่ส่วน ดอกลิลลี่แดง ชมพู พื้นเขียว L</v>
          </cell>
        </row>
        <row r="1816">
          <cell r="A1816" t="str">
            <v>BE0277-M</v>
          </cell>
          <cell r="B1816" t="str">
            <v>E277</v>
          </cell>
          <cell r="C1816" t="str">
            <v>เยื่อไผ่ สี่ส่วน ดอกลิลลี่แดง ชมพู พื้นเขียว M</v>
          </cell>
        </row>
        <row r="1817">
          <cell r="A1817" t="str">
            <v>BE0277-XL</v>
          </cell>
          <cell r="B1817" t="str">
            <v>E277</v>
          </cell>
          <cell r="C1817" t="str">
            <v>เยื่อไผ่ สี่ส่วน ดอกลิลลี่แดง ชมพู พื้นเขียว XL</v>
          </cell>
        </row>
        <row r="1818">
          <cell r="A1818" t="str">
            <v>BE0278-L</v>
          </cell>
          <cell r="B1818" t="str">
            <v>E278</v>
          </cell>
          <cell r="C1818" t="str">
            <v>เยื่อไผ่ สี่ส่วน ลายทางดำ ขาว ครีม แดง L</v>
          </cell>
        </row>
        <row r="1819">
          <cell r="A1819" t="str">
            <v>BE0278-M</v>
          </cell>
          <cell r="B1819" t="str">
            <v>E278</v>
          </cell>
          <cell r="C1819" t="str">
            <v>เยื่อไผ่ สี่ส่วน ลายทางดำ ขาว ครีม แดงM</v>
          </cell>
        </row>
        <row r="1820">
          <cell r="A1820" t="str">
            <v>BE0278-XL</v>
          </cell>
          <cell r="B1820" t="str">
            <v>E278</v>
          </cell>
          <cell r="C1820" t="str">
            <v>เยื่อไผ่ สี่ส่วน ลายทางดำ ขาว ครีม แดง XL</v>
          </cell>
        </row>
        <row r="1821">
          <cell r="A1821" t="str">
            <v>BE0279-L</v>
          </cell>
          <cell r="B1821" t="str">
            <v>E279</v>
          </cell>
          <cell r="C1821" t="str">
            <v>เยื่อไผ่ สี่ส่วน ชบาชมพู พื้นเขียวL</v>
          </cell>
        </row>
        <row r="1822">
          <cell r="A1822" t="str">
            <v>BE0279-M</v>
          </cell>
          <cell r="B1822" t="str">
            <v>E279</v>
          </cell>
          <cell r="C1822" t="str">
            <v>เยื่อไผ่ สี่ส่วน ชบาชมพู พื้นเขียวM</v>
          </cell>
        </row>
        <row r="1823">
          <cell r="A1823" t="str">
            <v>BE0279-XL</v>
          </cell>
          <cell r="B1823" t="str">
            <v>E279</v>
          </cell>
          <cell r="C1823" t="str">
            <v>เยื่อไผ่ สี่ส่วน ชบาชมพู พื้นเขียวXL</v>
          </cell>
        </row>
        <row r="1824">
          <cell r="A1824" t="str">
            <v>BG0001-L</v>
          </cell>
          <cell r="B1824" t="str">
            <v>G1</v>
          </cell>
          <cell r="C1824" t="str">
            <v>เยื่อไผ่ แขนสั้นขายาว ผีเสื้อ L</v>
          </cell>
        </row>
        <row r="1825">
          <cell r="A1825" t="str">
            <v>BG0001-M</v>
          </cell>
          <cell r="B1825" t="str">
            <v>G1</v>
          </cell>
          <cell r="C1825" t="str">
            <v>เยื่อไผ่ แขนสั้นขายาว ผีเสื้อ M</v>
          </cell>
        </row>
        <row r="1826">
          <cell r="A1826" t="str">
            <v>BG0001-S</v>
          </cell>
          <cell r="B1826" t="str">
            <v>G1</v>
          </cell>
          <cell r="C1826" t="str">
            <v>เยื่อไผ่ แขนสั้นขายาว ผีเสื้อ S</v>
          </cell>
        </row>
        <row r="1827">
          <cell r="A1827" t="str">
            <v>BG0013-L</v>
          </cell>
          <cell r="B1827" t="str">
            <v>G13</v>
          </cell>
          <cell r="C1827" t="str">
            <v>เยื่อไผ่ ห้าส่วน แมว ฟ้า L</v>
          </cell>
        </row>
        <row r="1828">
          <cell r="A1828" t="str">
            <v>BG0013-M</v>
          </cell>
          <cell r="B1828" t="str">
            <v>G13</v>
          </cell>
          <cell r="C1828" t="str">
            <v>เยื่อไผ่ ห้าส่วน แมว ฟ้า M</v>
          </cell>
        </row>
        <row r="1829">
          <cell r="A1829" t="str">
            <v>BG0013-S</v>
          </cell>
          <cell r="B1829" t="str">
            <v>G13</v>
          </cell>
          <cell r="C1829" t="str">
            <v>เยื่อไผ่ ห้าส่วน แมว ฟ้า S</v>
          </cell>
        </row>
        <row r="1830">
          <cell r="A1830" t="str">
            <v>BG0020-L</v>
          </cell>
          <cell r="B1830" t="str">
            <v>G20</v>
          </cell>
          <cell r="C1830" t="str">
            <v>เยื่อไผ่ แขนสั้นขายาว ใบไม้เขียว NEW L Oversize</v>
          </cell>
        </row>
        <row r="1831">
          <cell r="A1831" t="str">
            <v>BG0020-M</v>
          </cell>
          <cell r="B1831" t="str">
            <v>G20</v>
          </cell>
          <cell r="C1831" t="str">
            <v>เยื่อไผ่ แขนสั้นขายาว ใบไม้เขียว NEW M Oversize</v>
          </cell>
        </row>
        <row r="1832">
          <cell r="A1832" t="str">
            <v>BG0020-S</v>
          </cell>
          <cell r="B1832" t="str">
            <v>G20</v>
          </cell>
          <cell r="C1832" t="str">
            <v>เยื่อไผ่ แขนสั้นขายาว ใบไม้เขียว NEW S Oversize</v>
          </cell>
        </row>
        <row r="1833">
          <cell r="A1833" t="str">
            <v>BG0023-L</v>
          </cell>
          <cell r="B1833" t="str">
            <v>G23</v>
          </cell>
          <cell r="C1833" t="str">
            <v>เยื่อไผ่ แขนสั้นขายาว TropicaL ใบไม้เหลือง OverSize L</v>
          </cell>
        </row>
        <row r="1834">
          <cell r="A1834" t="str">
            <v>BG0023-M</v>
          </cell>
          <cell r="B1834" t="str">
            <v>G23</v>
          </cell>
          <cell r="C1834" t="str">
            <v>เยื่อไผ่ แขนสั้นขายาว TropicaL ใบไม้เหลือง OverSize M</v>
          </cell>
        </row>
        <row r="1835">
          <cell r="A1835" t="str">
            <v>BG0023-S</v>
          </cell>
          <cell r="B1835" t="str">
            <v>G23</v>
          </cell>
          <cell r="C1835" t="str">
            <v>เยื่อไผ่ แขนสั้นขายาว TropicaL ใบไม้เหลือง OverSize S</v>
          </cell>
        </row>
        <row r="1836">
          <cell r="A1836" t="str">
            <v>BG0034-L</v>
          </cell>
          <cell r="B1836" t="str">
            <v>G34</v>
          </cell>
          <cell r="C1836" t="str">
            <v>เยื่อไผ่ ห้าส่วน ใบบัวน้ำตาล พื้นม่วง L</v>
          </cell>
        </row>
        <row r="1837">
          <cell r="A1837" t="str">
            <v>BG0034-M</v>
          </cell>
          <cell r="B1837" t="str">
            <v>G34</v>
          </cell>
          <cell r="C1837" t="str">
            <v>เยื่อไผ่ ห้าส่วน ใบบัวน้ำตาล พื้นม่วง M</v>
          </cell>
        </row>
        <row r="1838">
          <cell r="A1838" t="str">
            <v>BG0034-S</v>
          </cell>
          <cell r="B1838" t="str">
            <v>G34</v>
          </cell>
          <cell r="C1838" t="str">
            <v>เยื่อไผ่ ห้าส่วน ใบบัวน้ำตาล พื้นม่วง S</v>
          </cell>
        </row>
        <row r="1839">
          <cell r="A1839" t="str">
            <v>BG0057-L</v>
          </cell>
          <cell r="B1839" t="str">
            <v>G57</v>
          </cell>
          <cell r="C1839" t="str">
            <v>เยื่อไผ่ ห้าส่วน ดอกไม้ พื้นครีม Oversize L</v>
          </cell>
        </row>
        <row r="1840">
          <cell r="A1840" t="str">
            <v>BG0057-M</v>
          </cell>
          <cell r="B1840" t="str">
            <v>G57</v>
          </cell>
          <cell r="C1840" t="str">
            <v>เยื่อไผ่ ห้าส่วน ดอกไม้ พื้นครีม Oversize M</v>
          </cell>
        </row>
        <row r="1841">
          <cell r="A1841" t="str">
            <v>BG0057-S</v>
          </cell>
          <cell r="B1841" t="str">
            <v>G57</v>
          </cell>
          <cell r="C1841" t="str">
            <v>เยื่อไผ่ ห้าส่วน ดอกไม้ พื้นครีม Oversize S</v>
          </cell>
        </row>
        <row r="1842">
          <cell r="A1842" t="str">
            <v>BG0076-L</v>
          </cell>
          <cell r="B1842" t="str">
            <v>G76</v>
          </cell>
          <cell r="C1842" t="str">
            <v>เยื่อไผ่ ห้าส่วน ดอกไม้ พื้นม่วง L</v>
          </cell>
        </row>
        <row r="1843">
          <cell r="A1843" t="str">
            <v>BG0076-M</v>
          </cell>
          <cell r="B1843" t="str">
            <v>G76</v>
          </cell>
          <cell r="C1843" t="str">
            <v>เยื่อไผ่ ห้าส่วน ดอกไม้ พื้นม่วง M</v>
          </cell>
        </row>
        <row r="1844">
          <cell r="A1844" t="str">
            <v>BG0076-S</v>
          </cell>
          <cell r="B1844" t="str">
            <v>G76</v>
          </cell>
          <cell r="C1844" t="str">
            <v>เยื่อไผ่ ห้าส่วน ดอกไม้ พื้นม่วง S</v>
          </cell>
        </row>
        <row r="1845">
          <cell r="A1845" t="str">
            <v>BG0090-L</v>
          </cell>
          <cell r="B1845" t="str">
            <v>G90</v>
          </cell>
          <cell r="C1845" t="str">
            <v>เยื่อไผ่ ห้าส่วน ดอกไม้ ซีเครท L</v>
          </cell>
        </row>
        <row r="1846">
          <cell r="A1846" t="str">
            <v>BG0090-M</v>
          </cell>
          <cell r="B1846" t="str">
            <v>JG90</v>
          </cell>
          <cell r="C1846" t="str">
            <v>เยื่อไผ่ ห้าส่วน ดอกไม้ ซีเครท M ตัวโชว์</v>
          </cell>
        </row>
        <row r="1847">
          <cell r="A1847" t="str">
            <v>BG0090-S</v>
          </cell>
          <cell r="B1847" t="str">
            <v>G90</v>
          </cell>
          <cell r="C1847" t="str">
            <v>เยื่อไผ่ ห้าส่วน ดอกไม้ ซีเครท S</v>
          </cell>
        </row>
        <row r="1848">
          <cell r="A1848" t="str">
            <v>BG0108-L</v>
          </cell>
          <cell r="B1848" t="str">
            <v>G108</v>
          </cell>
          <cell r="C1848" t="str">
            <v>เยื่อไผ่ ห้าส่วน พีชใหญ่ พื้นชมพู L OverSize</v>
          </cell>
        </row>
        <row r="1849">
          <cell r="A1849" t="str">
            <v>BG0108-M</v>
          </cell>
          <cell r="B1849" t="str">
            <v>G108</v>
          </cell>
          <cell r="C1849" t="str">
            <v>เยื่อไผ่ ห้าส่วน พีชใหญ่ พื้นชมพู M OverSize</v>
          </cell>
        </row>
        <row r="1850">
          <cell r="A1850" t="str">
            <v>BG0108-S</v>
          </cell>
          <cell r="B1850" t="str">
            <v>G108</v>
          </cell>
          <cell r="C1850" t="str">
            <v>เยื่อไผ่ ห้าส่วน พีชใหญ่ พื้นชมพู S OverSize</v>
          </cell>
        </row>
        <row r="1851">
          <cell r="A1851" t="str">
            <v>BG0110-L</v>
          </cell>
          <cell r="B1851" t="str">
            <v>G110</v>
          </cell>
          <cell r="C1851" t="str">
            <v>เยื่อไผ่ ห้าส่วน ลายเลมอน L</v>
          </cell>
        </row>
        <row r="1852">
          <cell r="A1852" t="str">
            <v>BG0110-M</v>
          </cell>
          <cell r="B1852" t="str">
            <v>G110</v>
          </cell>
          <cell r="C1852" t="str">
            <v>เยื่อไผ่ ห้าส่วน ลายเลมอน M</v>
          </cell>
        </row>
        <row r="1853">
          <cell r="A1853" t="str">
            <v>BG0110-S</v>
          </cell>
          <cell r="B1853" t="str">
            <v>G110</v>
          </cell>
          <cell r="C1853" t="str">
            <v>เยื่อไผ่ ห้าส่วน ลายเลมอน  S</v>
          </cell>
        </row>
        <row r="1854">
          <cell r="A1854" t="str">
            <v>BG0111-L</v>
          </cell>
          <cell r="B1854" t="str">
            <v>G111</v>
          </cell>
          <cell r="C1854" t="str">
            <v>เยื่อไผ่ ห้าส่วน สัปปะรด พื้นเหลือง L</v>
          </cell>
        </row>
        <row r="1855">
          <cell r="A1855" t="str">
            <v>BG0111-M</v>
          </cell>
          <cell r="B1855" t="str">
            <v>G111</v>
          </cell>
          <cell r="C1855" t="str">
            <v>เยื่อไผ่ ห้าส่วน สัปปะรด พื้นเหลือง M</v>
          </cell>
        </row>
        <row r="1856">
          <cell r="A1856" t="str">
            <v>BG0111-S</v>
          </cell>
          <cell r="B1856" t="str">
            <v>G111</v>
          </cell>
          <cell r="C1856" t="str">
            <v>เยื่อไผ่ ห้าส่วน สัปปะรด พื้นเหลือง S</v>
          </cell>
        </row>
        <row r="1857">
          <cell r="A1857" t="str">
            <v>BG0130-L</v>
          </cell>
          <cell r="B1857" t="str">
            <v>G130</v>
          </cell>
          <cell r="C1857" t="str">
            <v>เยื่อไผ่ ห้าส่วน Map OverSize L</v>
          </cell>
        </row>
        <row r="1858">
          <cell r="A1858" t="str">
            <v>BG0130-M</v>
          </cell>
          <cell r="B1858" t="str">
            <v>G130</v>
          </cell>
          <cell r="C1858" t="str">
            <v>เยื่อไผ่ ห้าส่วน Map OverSize M</v>
          </cell>
        </row>
        <row r="1859">
          <cell r="A1859" t="str">
            <v>BG0130-S</v>
          </cell>
          <cell r="B1859" t="str">
            <v>G130</v>
          </cell>
          <cell r="C1859" t="str">
            <v>เยื่อไผ่ แขนสั้นขายาว Map S</v>
          </cell>
        </row>
        <row r="1860">
          <cell r="A1860" t="str">
            <v>BG0130-XL</v>
          </cell>
          <cell r="B1860" t="str">
            <v>G130</v>
          </cell>
          <cell r="C1860" t="str">
            <v>เยื่อไผ่ ห้าส่วน Map OverSize XL</v>
          </cell>
        </row>
        <row r="1861">
          <cell r="A1861" t="str">
            <v>BG0194-L</v>
          </cell>
          <cell r="B1861" t="str">
            <v>G194</v>
          </cell>
          <cell r="C1861" t="str">
            <v>เยื่อไผ่ แขนสั้นขายาว ดาว สีฟ้า oversize L</v>
          </cell>
        </row>
        <row r="1862">
          <cell r="A1862" t="str">
            <v>BG0194-M</v>
          </cell>
          <cell r="B1862" t="str">
            <v>G194</v>
          </cell>
          <cell r="C1862" t="str">
            <v>เยื่อไผ่ แขนสั้นขายาว ดาว สีฟ้า oversize M</v>
          </cell>
        </row>
        <row r="1863">
          <cell r="A1863" t="str">
            <v>BG0194-S</v>
          </cell>
          <cell r="B1863" t="str">
            <v>G194</v>
          </cell>
          <cell r="C1863" t="str">
            <v>เยื่อไผ่ แขนสั้นขายาว ดาว สีฟ้า oversize S</v>
          </cell>
        </row>
        <row r="1864">
          <cell r="A1864" t="str">
            <v>BG0196-L</v>
          </cell>
          <cell r="B1864" t="str">
            <v>G196</v>
          </cell>
          <cell r="C1864" t="str">
            <v>เยื่อไผ่ แขนสั้นขายาว ใบไม้น้ำตาล พื้นแดง oversize L</v>
          </cell>
        </row>
        <row r="1865">
          <cell r="A1865" t="str">
            <v>BG0196-M</v>
          </cell>
          <cell r="B1865" t="str">
            <v>G196</v>
          </cell>
          <cell r="C1865" t="str">
            <v>เยื่อไผ่ แขนสั้นขายาว ใบไม้น้ำตาล พื้นแดง oversize M</v>
          </cell>
        </row>
        <row r="1866">
          <cell r="A1866" t="str">
            <v>BG0196-S</v>
          </cell>
          <cell r="B1866" t="str">
            <v>G196</v>
          </cell>
          <cell r="C1866" t="str">
            <v>เยื่อไผ่ แขนสั้นขายาว ใบไม้น้ำตาล พื้นแดง OverSize S</v>
          </cell>
        </row>
        <row r="1867">
          <cell r="A1867" t="str">
            <v>BG0225-L</v>
          </cell>
          <cell r="B1867" t="str">
            <v>G225</v>
          </cell>
          <cell r="C1867" t="str">
            <v>เยื่อไผ่ แขนสั้นขายาว ฮาวายเขียว L Oversize</v>
          </cell>
        </row>
        <row r="1868">
          <cell r="A1868" t="str">
            <v>BG0225-M</v>
          </cell>
          <cell r="B1868" t="str">
            <v>G225</v>
          </cell>
          <cell r="C1868" t="str">
            <v>เยื่อไผ่ แขนสั้นขายาว ฮาวายเขียว M Oversize</v>
          </cell>
        </row>
        <row r="1869">
          <cell r="A1869" t="str">
            <v>BG0225-S</v>
          </cell>
          <cell r="B1869" t="str">
            <v>G225</v>
          </cell>
          <cell r="C1869" t="str">
            <v>เยื่อไผ่ แขนสั้นขายาว ฮาวายเขียว S Oversize</v>
          </cell>
        </row>
        <row r="1870">
          <cell r="A1870" t="str">
            <v>BG0226-L</v>
          </cell>
          <cell r="B1870" t="str">
            <v>G226</v>
          </cell>
          <cell r="C1870" t="str">
            <v>เยื่อไผ่ แขนสั้นขายาว ฮาวายเหลือง L Oversize</v>
          </cell>
        </row>
        <row r="1871">
          <cell r="A1871" t="str">
            <v>BG0226-M</v>
          </cell>
          <cell r="B1871" t="str">
            <v>G226</v>
          </cell>
          <cell r="C1871" t="str">
            <v>เยื่อไผ่ แขนสั้นขายาว ฮาวายเหลือง M Oversize</v>
          </cell>
        </row>
        <row r="1872">
          <cell r="A1872" t="str">
            <v>BG0226-S</v>
          </cell>
          <cell r="B1872" t="str">
            <v>G226</v>
          </cell>
          <cell r="C1872" t="str">
            <v>เยื่อไผ่ แขนสั้นขายาว ฮาวายเหลือง S Oversize</v>
          </cell>
        </row>
        <row r="1873">
          <cell r="A1873" t="str">
            <v>BG0256-L</v>
          </cell>
          <cell r="B1873" t="str">
            <v>G256</v>
          </cell>
          <cell r="C1873" t="str">
            <v>เยื่อไผ่ แขนสั้นขายาว Brand new พื้นกรม L</v>
          </cell>
        </row>
        <row r="1874">
          <cell r="A1874" t="str">
            <v>BG0256-M</v>
          </cell>
          <cell r="B1874" t="str">
            <v>G256</v>
          </cell>
          <cell r="C1874" t="str">
            <v>เยื่อไผ่ แขนสั้นขายาว Brand new พื้นกรม M</v>
          </cell>
        </row>
        <row r="1875">
          <cell r="A1875" t="str">
            <v>BG0256-S</v>
          </cell>
          <cell r="B1875" t="str">
            <v>G256</v>
          </cell>
          <cell r="C1875" t="str">
            <v>เยื่อไผ่ แขนสั้นขายาว Brand new พื้นกรม S</v>
          </cell>
        </row>
        <row r="1876">
          <cell r="A1876" t="str">
            <v>BG0257-L</v>
          </cell>
          <cell r="B1876" t="str">
            <v>G257</v>
          </cell>
          <cell r="C1876" t="str">
            <v>เยื่อไผ่ แขนสั้นขายาว Brand new พื้นเขียว L</v>
          </cell>
        </row>
        <row r="1877">
          <cell r="A1877" t="str">
            <v>BG0257-M</v>
          </cell>
          <cell r="B1877" t="str">
            <v>G257</v>
          </cell>
          <cell r="C1877" t="str">
            <v>เยื่อไผ่ แขนสั้นขายาว Brand new พื้นเขียว M</v>
          </cell>
        </row>
        <row r="1878">
          <cell r="A1878" t="str">
            <v>BG0257-S</v>
          </cell>
          <cell r="B1878" t="str">
            <v>G257</v>
          </cell>
          <cell r="C1878" t="str">
            <v>เยื่อไผ่ แขนสั้นขายาว Brand new พื้นเขียว S</v>
          </cell>
        </row>
        <row r="1879">
          <cell r="A1879" t="str">
            <v>BG0258-L</v>
          </cell>
          <cell r="B1879" t="str">
            <v>G258</v>
          </cell>
          <cell r="C1879" t="str">
            <v>เยื่อไผ่ แขนสั้นขายาว LOVE DRAlMLh พื้นชมพู L</v>
          </cell>
        </row>
        <row r="1880">
          <cell r="A1880" t="str">
            <v>BG0258-M</v>
          </cell>
          <cell r="B1880" t="str">
            <v>G258</v>
          </cell>
          <cell r="C1880" t="str">
            <v>เยื่อไผ่ แขนสั้นขายาว LOVE DRAlMLh พื้นชมพู M</v>
          </cell>
        </row>
        <row r="1881">
          <cell r="A1881" t="str">
            <v>BG0258-S</v>
          </cell>
          <cell r="B1881" t="str">
            <v>G258</v>
          </cell>
          <cell r="C1881" t="str">
            <v>เยื่อไผ่ แขนสั้นขายาว LOVE DRAlMLh พื้นชมพู S</v>
          </cell>
        </row>
        <row r="1882">
          <cell r="A1882" t="str">
            <v>BG0259-L</v>
          </cell>
          <cell r="B1882" t="str">
            <v>G259</v>
          </cell>
          <cell r="C1882" t="str">
            <v>เยื่อไผ่ แขนสั้นขายาว ช้างน้อยพ่นน้ำ L</v>
          </cell>
        </row>
        <row r="1883">
          <cell r="A1883" t="str">
            <v>BG0259-M</v>
          </cell>
          <cell r="B1883" t="str">
            <v>G259</v>
          </cell>
          <cell r="C1883" t="str">
            <v>เยื่อไผ่ แขนสั้นขายาว ช้างน้อยพ่นน้ำ M</v>
          </cell>
        </row>
        <row r="1884">
          <cell r="A1884" t="str">
            <v>BG0259-S</v>
          </cell>
          <cell r="B1884" t="str">
            <v>G259</v>
          </cell>
          <cell r="C1884" t="str">
            <v>เยื่อไผ่ แขนสั้นขายาว ช้างน้อยพ่นน้ำ S</v>
          </cell>
        </row>
        <row r="1885">
          <cell r="A1885" t="str">
            <v>BG0260-L</v>
          </cell>
          <cell r="B1885" t="str">
            <v>G260</v>
          </cell>
          <cell r="C1885" t="str">
            <v>เยื่อไผ่ แขนสั้นขายาว ใบไม้หลากสี พื้นชมพู L</v>
          </cell>
        </row>
        <row r="1886">
          <cell r="A1886" t="str">
            <v>BG0260-M</v>
          </cell>
          <cell r="B1886" t="str">
            <v>G260</v>
          </cell>
          <cell r="C1886" t="str">
            <v>เยื่อไผ่ แขนสั้นขายาว ใบไม้หลากสี พื้นชมพู M</v>
          </cell>
        </row>
        <row r="1887">
          <cell r="A1887" t="str">
            <v>BG0260-S</v>
          </cell>
          <cell r="B1887" t="str">
            <v>G260</v>
          </cell>
          <cell r="C1887" t="str">
            <v>เยื่อไผ่ แขนสั้นขายาว ใบไม้หลากสี พื้นชมพู S</v>
          </cell>
        </row>
        <row r="1888">
          <cell r="A1888" t="str">
            <v>BG0261-L</v>
          </cell>
          <cell r="B1888" t="str">
            <v>G261</v>
          </cell>
          <cell r="C1888" t="str">
            <v>เยื่อไผ่ แขนสั้นขายาว เสือน้ำตาล พื้นขาว L</v>
          </cell>
        </row>
        <row r="1889">
          <cell r="A1889" t="str">
            <v>BG0261-M</v>
          </cell>
          <cell r="B1889" t="str">
            <v>G261</v>
          </cell>
          <cell r="C1889" t="str">
            <v>เยื่อไผ่ แขนสั้นขายาว เสือน้ำตาล พื้นขาว M</v>
          </cell>
        </row>
        <row r="1890">
          <cell r="A1890" t="str">
            <v>BG0261-S</v>
          </cell>
          <cell r="B1890" t="str">
            <v>G261</v>
          </cell>
          <cell r="C1890" t="str">
            <v>เยื่อไผ่ แขนสั้นขายาว เสือน้ำตาล พื้นขาว S</v>
          </cell>
        </row>
        <row r="1891">
          <cell r="A1891" t="str">
            <v>BG0262-L</v>
          </cell>
          <cell r="B1891" t="str">
            <v>G262</v>
          </cell>
          <cell r="C1891" t="str">
            <v>เยื่อไผ่ แขนสั้นขายาว เสือขาว พื้นดำ L</v>
          </cell>
        </row>
        <row r="1892">
          <cell r="A1892" t="str">
            <v>BG0262-M</v>
          </cell>
          <cell r="B1892" t="str">
            <v>G262</v>
          </cell>
          <cell r="C1892" t="str">
            <v>เยื่อไผ่ แขนสั้นขายาว เสือขาว พื้นดำ M</v>
          </cell>
        </row>
        <row r="1893">
          <cell r="A1893" t="str">
            <v>BG0262-S</v>
          </cell>
          <cell r="B1893" t="str">
            <v>G262</v>
          </cell>
          <cell r="C1893" t="str">
            <v>เยื่อไผ่ แขนสั้นขายาว เสือขาว พื้นดำ S</v>
          </cell>
        </row>
        <row r="1894">
          <cell r="A1894" t="str">
            <v>BG0263-L</v>
          </cell>
          <cell r="B1894" t="str">
            <v>G263</v>
          </cell>
          <cell r="C1894" t="str">
            <v>เยื่อไผ่ แขนสั้นขายาว ยีราฟ นก ลิง พื้นขาว L</v>
          </cell>
        </row>
        <row r="1895">
          <cell r="A1895" t="str">
            <v>BG0263-M</v>
          </cell>
          <cell r="B1895" t="str">
            <v>G263</v>
          </cell>
          <cell r="C1895" t="str">
            <v>เยื่อไผ่ แขนสั้นขายาว ยีราฟ นก ลิง พื้นขาว M</v>
          </cell>
        </row>
        <row r="1896">
          <cell r="A1896" t="str">
            <v>BG0263-S</v>
          </cell>
          <cell r="B1896" t="str">
            <v>G263</v>
          </cell>
          <cell r="C1896" t="str">
            <v>เยื่อไผ่ แขนสั้นขายาว ยีราฟ นก ลิง พื้นขาว S</v>
          </cell>
        </row>
        <row r="1897">
          <cell r="A1897" t="str">
            <v>BG0264-L</v>
          </cell>
          <cell r="B1897" t="str">
            <v>G264</v>
          </cell>
          <cell r="C1897" t="str">
            <v>เยื่อไผ่ แขนสั้นขายาว จุดชมพู จุดเขียว จุดเหลือง พื้นกรม L</v>
          </cell>
        </row>
        <row r="1898">
          <cell r="A1898" t="str">
            <v>BG0264-M</v>
          </cell>
          <cell r="B1898" t="str">
            <v>G264</v>
          </cell>
          <cell r="C1898" t="str">
            <v>เยื่อไผ่ แขนสั้นขายาว จุดชมพู จุดเขียว จุดเหลือง พื้นกรม M</v>
          </cell>
        </row>
        <row r="1899">
          <cell r="A1899" t="str">
            <v>BG0264-S</v>
          </cell>
          <cell r="B1899" t="str">
            <v>G264</v>
          </cell>
          <cell r="C1899" t="str">
            <v>เยื่อไผ่ แขนสั้นขายาว จุดชมพู จุดเขียว จุดเหลือง พื้นกรม S</v>
          </cell>
        </row>
        <row r="1900">
          <cell r="A1900" t="str">
            <v>BG0265-L</v>
          </cell>
          <cell r="B1900" t="str">
            <v>G265</v>
          </cell>
          <cell r="C1900" t="str">
            <v>เยื่อไผ่ แขนสั้นขายาว กาฟิว พื้นกรม L</v>
          </cell>
        </row>
        <row r="1901">
          <cell r="A1901" t="str">
            <v>BG0265-M</v>
          </cell>
          <cell r="B1901" t="str">
            <v>G265</v>
          </cell>
          <cell r="C1901" t="str">
            <v>เยื่อไผ่ แขนสั้นขายาว กาฟิว พื้นกรม M</v>
          </cell>
        </row>
        <row r="1902">
          <cell r="A1902" t="str">
            <v>BG0265-S</v>
          </cell>
          <cell r="B1902" t="str">
            <v>G265</v>
          </cell>
          <cell r="C1902" t="str">
            <v>เยื่อไผ่ แขนสั้นขายาว กาฟิว พื้นกรม S</v>
          </cell>
        </row>
        <row r="1903">
          <cell r="A1903" t="str">
            <v>BG0286-L</v>
          </cell>
          <cell r="B1903" t="str">
            <v>G286</v>
          </cell>
          <cell r="C1903" t="str">
            <v>เยื่อไผ่ ห้าส่วน แมว แฟชั่น พื้นชมพู L</v>
          </cell>
        </row>
        <row r="1904">
          <cell r="A1904" t="str">
            <v>BG0286-M</v>
          </cell>
          <cell r="B1904" t="str">
            <v>G286</v>
          </cell>
          <cell r="C1904" t="str">
            <v>เยื่อไผ่ ห้าส่วน แมว แฟชั่น พื้นชมพู M</v>
          </cell>
        </row>
        <row r="1905">
          <cell r="A1905" t="str">
            <v>BG0286-S</v>
          </cell>
          <cell r="B1905" t="str">
            <v>G286</v>
          </cell>
          <cell r="C1905" t="str">
            <v>เยื่อไผ่ ห้าส่วน แมว แฟชั่น พื้นชมพู S</v>
          </cell>
        </row>
        <row r="1906">
          <cell r="A1906" t="str">
            <v>BG0287-L</v>
          </cell>
          <cell r="B1906" t="str">
            <v>G287</v>
          </cell>
          <cell r="C1906" t="str">
            <v>เยื่อไผ่ ห้าส่วน Splash Gray OVERSIZE L</v>
          </cell>
        </row>
        <row r="1907">
          <cell r="A1907" t="str">
            <v>BG0287-M</v>
          </cell>
          <cell r="B1907" t="str">
            <v>G287</v>
          </cell>
          <cell r="C1907" t="str">
            <v>เยื่อไผ่ ห้าส่วน Splash Gray OVERSIZE M</v>
          </cell>
        </row>
        <row r="1908">
          <cell r="A1908" t="str">
            <v>BG0287-S</v>
          </cell>
          <cell r="B1908" t="str">
            <v>G287</v>
          </cell>
          <cell r="C1908" t="str">
            <v>เยื่อไผ่ ห้าส่วน Splash Gray OVERSIZE S</v>
          </cell>
        </row>
        <row r="1909">
          <cell r="A1909" t="str">
            <v>BG0288-L</v>
          </cell>
          <cell r="B1909" t="str">
            <v>G288</v>
          </cell>
          <cell r="C1909" t="str">
            <v>เยื่อไผ่ ห้าส่วน Ocean colors OVERSIZE L</v>
          </cell>
        </row>
        <row r="1910">
          <cell r="A1910" t="str">
            <v>BG0288-M</v>
          </cell>
          <cell r="B1910" t="str">
            <v>G288</v>
          </cell>
          <cell r="C1910" t="str">
            <v>เยื่อไผ่ ห้าส่วน Ocean colors OVERSIZE M</v>
          </cell>
        </row>
        <row r="1911">
          <cell r="A1911" t="str">
            <v>BG0288-S</v>
          </cell>
          <cell r="B1911" t="str">
            <v>G288</v>
          </cell>
          <cell r="C1911" t="str">
            <v>เยื่อไผ่ ห้าส่วน Ocean colors OVERSIZE S</v>
          </cell>
        </row>
        <row r="1912">
          <cell r="A1912" t="str">
            <v>BG0289-L</v>
          </cell>
          <cell r="B1912" t="str">
            <v>G289</v>
          </cell>
          <cell r="C1912" t="str">
            <v>เยื่อไผ่ ห้าส่วน Snowwhite ส้ม OVERSIZE L</v>
          </cell>
        </row>
        <row r="1913">
          <cell r="A1913" t="str">
            <v>BG0289-M</v>
          </cell>
          <cell r="B1913" t="str">
            <v>G289</v>
          </cell>
          <cell r="C1913" t="str">
            <v>เยื่อไผ่ ห้าส่วน Snowwhite ส้ม OVERSIZE M</v>
          </cell>
        </row>
        <row r="1914">
          <cell r="A1914" t="str">
            <v>BG0289-S</v>
          </cell>
          <cell r="B1914" t="str">
            <v>G289</v>
          </cell>
          <cell r="C1914" t="str">
            <v>เยื่อไผ่ ห้าส่วน Snowwhite ส้ม OVERSIZE S</v>
          </cell>
        </row>
        <row r="1915">
          <cell r="A1915" t="str">
            <v>BG0290-L</v>
          </cell>
          <cell r="B1915" t="str">
            <v>G290</v>
          </cell>
          <cell r="C1915" t="str">
            <v>เยื่อไผ่ ห้าส่วน Snowwhite เขียว OVERSIZE L</v>
          </cell>
        </row>
        <row r="1916">
          <cell r="A1916" t="str">
            <v>BG0290-M</v>
          </cell>
          <cell r="B1916" t="str">
            <v>G290</v>
          </cell>
          <cell r="C1916" t="str">
            <v>เยื่อไผ่ ห้าส่วน Snowwhite เขียว OVERSIZE M</v>
          </cell>
        </row>
        <row r="1917">
          <cell r="A1917" t="str">
            <v>BG0290-S</v>
          </cell>
          <cell r="B1917" t="str">
            <v>G290</v>
          </cell>
          <cell r="C1917" t="str">
            <v>เยื่อไผ่ ห้าส่วน Snowwhite เขียว OVERSIZE S</v>
          </cell>
        </row>
        <row r="1918">
          <cell r="A1918" t="str">
            <v>BG0291-L</v>
          </cell>
          <cell r="B1918" t="str">
            <v>G291</v>
          </cell>
          <cell r="C1918" t="str">
            <v>เยื่อไผ่ ห้าส่วน มัดย้อม OVERSIZE L</v>
          </cell>
        </row>
        <row r="1919">
          <cell r="A1919" t="str">
            <v>BG0291-M</v>
          </cell>
          <cell r="B1919" t="str">
            <v>G291</v>
          </cell>
          <cell r="C1919" t="str">
            <v>เยื่อไผ่ ห้าส่วน มัดย้อม OVERSIZE M</v>
          </cell>
        </row>
        <row r="1920">
          <cell r="A1920" t="str">
            <v>BG0291-S</v>
          </cell>
          <cell r="B1920" t="str">
            <v>G291</v>
          </cell>
          <cell r="C1920" t="str">
            <v>เยื่อไผ่ ห้าส่วน มัดย้อม OVERSIZE S</v>
          </cell>
        </row>
        <row r="1921">
          <cell r="A1921" t="str">
            <v>BG0304-L</v>
          </cell>
          <cell r="B1921" t="str">
            <v>G304</v>
          </cell>
          <cell r="C1921" t="str">
            <v>เยื่อไผ่ ห้าส่วน หน้ายิ้ม OverSize L</v>
          </cell>
        </row>
        <row r="1922">
          <cell r="A1922" t="str">
            <v>BG0304-M</v>
          </cell>
          <cell r="B1922" t="str">
            <v>G304</v>
          </cell>
          <cell r="C1922" t="str">
            <v>เยื่อไผ่ ห้าส่วน หน้ายิ้ม OverSize M</v>
          </cell>
        </row>
        <row r="1923">
          <cell r="A1923" t="str">
            <v>BG0304-S</v>
          </cell>
          <cell r="B1923" t="str">
            <v>G304</v>
          </cell>
          <cell r="C1923" t="str">
            <v>เยื่อไผ่ ห้าส่วน หน้ายิ้ม OverSize S</v>
          </cell>
        </row>
        <row r="1924">
          <cell r="A1924" t="str">
            <v>BG0305-L</v>
          </cell>
          <cell r="B1924" t="str">
            <v>G305</v>
          </cell>
          <cell r="C1924" t="str">
            <v>เยื่อไผ่ แขนสั้นขายาว แพลงตอน เขียว ส้ม L</v>
          </cell>
        </row>
        <row r="1925">
          <cell r="A1925" t="str">
            <v>BG0305-M</v>
          </cell>
          <cell r="B1925" t="str">
            <v>G305</v>
          </cell>
          <cell r="C1925" t="str">
            <v>เยื่อไผ่ แขนสั้นขายาว แพลงตอน เขียว ส้ม M</v>
          </cell>
        </row>
        <row r="1926">
          <cell r="A1926" t="str">
            <v>BG0305-S</v>
          </cell>
          <cell r="B1926" t="str">
            <v>G305</v>
          </cell>
          <cell r="C1926" t="str">
            <v>เยื่อไผ่ แขนสั้นขายาว แพลงตอน เขียว ส้ม S</v>
          </cell>
        </row>
        <row r="1927">
          <cell r="A1927" t="str">
            <v>BG0306-L</v>
          </cell>
          <cell r="B1927" t="str">
            <v>G306</v>
          </cell>
          <cell r="C1927" t="str">
            <v>เยื้อไผ้ แขนสั้นขายาว แพลงตอน น้ำเงิน ม่วง L</v>
          </cell>
        </row>
        <row r="1928">
          <cell r="A1928" t="str">
            <v>BG0306-M</v>
          </cell>
          <cell r="B1928" t="str">
            <v>G306</v>
          </cell>
          <cell r="C1928" t="str">
            <v>เยื้อไผ้ แขนสั้นขายาว แพลงตอน น้ำเงิน ม่วง M</v>
          </cell>
        </row>
        <row r="1929">
          <cell r="A1929" t="str">
            <v>BG0306-S</v>
          </cell>
          <cell r="B1929" t="str">
            <v>G306</v>
          </cell>
          <cell r="C1929" t="str">
            <v>เยื้อไผ้ แขนสั้นขายาว แพลงตอน น้ำเงิน ม่วง S</v>
          </cell>
        </row>
        <row r="1930">
          <cell r="A1930" t="str">
            <v>BG0307-L</v>
          </cell>
          <cell r="B1930" t="str">
            <v>G307</v>
          </cell>
          <cell r="C1930" t="str">
            <v>เยื่อไผ่ แขนสั้นขายาว Oversize แพลงตอน แดง L</v>
          </cell>
        </row>
        <row r="1931">
          <cell r="A1931" t="str">
            <v>BG0307-M</v>
          </cell>
          <cell r="B1931" t="str">
            <v>G307</v>
          </cell>
          <cell r="C1931" t="str">
            <v>เยื่อไผ่ แขนสั้นขายาว Oversize แพลงตอน แดง M</v>
          </cell>
        </row>
        <row r="1932">
          <cell r="A1932" t="str">
            <v>BG0307-S</v>
          </cell>
          <cell r="B1932" t="str">
            <v>G307</v>
          </cell>
          <cell r="C1932" t="str">
            <v>เยื่อไผ่ แขนสั้นขายาว Oversize แพลงตอน แดง S</v>
          </cell>
        </row>
        <row r="1933">
          <cell r="A1933" t="str">
            <v>BG0308-L</v>
          </cell>
          <cell r="B1933" t="str">
            <v>G308</v>
          </cell>
          <cell r="C1933" t="str">
            <v>เยื่อไผ่ แขนสั้นขายาว Oversize แพนด้า ส้มโอ L</v>
          </cell>
        </row>
        <row r="1934">
          <cell r="A1934" t="str">
            <v>BG0308-M</v>
          </cell>
          <cell r="B1934" t="str">
            <v>G308</v>
          </cell>
          <cell r="C1934" t="str">
            <v>เยื่อไผ่ แขนสั้นขายาว Oversize แพนด้า ส้มโอ M</v>
          </cell>
        </row>
        <row r="1935">
          <cell r="A1935" t="str">
            <v>BG0308-S</v>
          </cell>
          <cell r="B1935" t="str">
            <v>G308</v>
          </cell>
          <cell r="C1935" t="str">
            <v>เยื่อไผ่ แขนสั้นขายาว Oversize แพนด้า ส้มโอ S</v>
          </cell>
        </row>
        <row r="1936">
          <cell r="A1936" t="str">
            <v>BG0309-L</v>
          </cell>
          <cell r="B1936" t="str">
            <v>G309</v>
          </cell>
          <cell r="C1936" t="str">
            <v>เยื่อไผ่ แขนสั้นขายาว Oversize ดอกบ๋วยชมพู พื้นขาว L</v>
          </cell>
        </row>
        <row r="1937">
          <cell r="A1937" t="str">
            <v>BG0309-M</v>
          </cell>
          <cell r="B1937" t="str">
            <v>G309</v>
          </cell>
          <cell r="C1937" t="str">
            <v>เยื่อไผ่ แขนสั้นขายาว Oversize ดอกบ๋วยชมพู พื้นขาว M</v>
          </cell>
        </row>
        <row r="1938">
          <cell r="A1938" t="str">
            <v>BG0309-S</v>
          </cell>
          <cell r="B1938" t="str">
            <v>G309</v>
          </cell>
          <cell r="C1938" t="str">
            <v>เยื่อไผ่ แขนสั้นขายาว Oversize ดอกบ๋วยชมพู พื้นขาว S</v>
          </cell>
        </row>
        <row r="1939">
          <cell r="A1939" t="str">
            <v>BG0328-L</v>
          </cell>
          <cell r="B1939" t="str">
            <v>G328</v>
          </cell>
          <cell r="C1939" t="str">
            <v>เยื่อไผ่ ห้าส่วน Cat Party OverSiz L</v>
          </cell>
        </row>
        <row r="1940">
          <cell r="A1940" t="str">
            <v>BG0328-M</v>
          </cell>
          <cell r="B1940" t="str">
            <v>G328</v>
          </cell>
          <cell r="C1940" t="str">
            <v>เยื่อไผ่ ห้าส่วน Cat Party OverSiz M</v>
          </cell>
        </row>
        <row r="1941">
          <cell r="A1941" t="str">
            <v>BG0328-S</v>
          </cell>
          <cell r="B1941" t="str">
            <v>G328</v>
          </cell>
          <cell r="C1941" t="str">
            <v>เยื่อไผ่ ห้าส่วน Cat Party OverSize S</v>
          </cell>
        </row>
        <row r="1942">
          <cell r="A1942" t="str">
            <v>BG0329-L</v>
          </cell>
          <cell r="B1942" t="str">
            <v>G329</v>
          </cell>
          <cell r="C1942" t="str">
            <v>เยื่อไผ่ ห้าส่วน ช้างน้อยพ่นน้ำ พื้นชมพู OverSize L</v>
          </cell>
        </row>
        <row r="1943">
          <cell r="A1943" t="str">
            <v>BG0329-M</v>
          </cell>
          <cell r="B1943" t="str">
            <v>G329</v>
          </cell>
          <cell r="C1943" t="str">
            <v>เยื่อไผ่ ห้าส่วน ช้างน้อยพ่นน้ำ พื้นชมพู OverSize M</v>
          </cell>
        </row>
        <row r="1944">
          <cell r="A1944" t="str">
            <v>BG0330-L</v>
          </cell>
          <cell r="B1944" t="str">
            <v>G330</v>
          </cell>
          <cell r="C1944" t="str">
            <v>เยื่อไผ่ ห้าส่วน ซากุระ ไทเกอร์ พื้นชมพู L</v>
          </cell>
        </row>
        <row r="1945">
          <cell r="A1945" t="str">
            <v>BG0330-M</v>
          </cell>
          <cell r="B1945" t="str">
            <v>G330</v>
          </cell>
          <cell r="C1945" t="str">
            <v>เยื่อไผ่ ห้าส่วน ซากุระ ไทเกอร์ พื้นชมพู M</v>
          </cell>
        </row>
        <row r="1946">
          <cell r="A1946" t="str">
            <v>BG0330-S</v>
          </cell>
          <cell r="B1946" t="str">
            <v>G330</v>
          </cell>
          <cell r="C1946" t="str">
            <v>เยื่อไผ่ ห้าส่วน ซากุระ ไทเกอร์ พื้นชมพู S</v>
          </cell>
        </row>
        <row r="1947">
          <cell r="A1947" t="str">
            <v>BG0331-L</v>
          </cell>
          <cell r="B1947" t="str">
            <v>G331</v>
          </cell>
          <cell r="C1947" t="str">
            <v>เยื่อไผ่ ห้าส่วน สวนสัตว์ พื้นดำ L</v>
          </cell>
        </row>
        <row r="1948">
          <cell r="A1948" t="str">
            <v>BG0331-M</v>
          </cell>
          <cell r="B1948" t="str">
            <v>G331</v>
          </cell>
          <cell r="C1948" t="str">
            <v>เยื่อไผ่ ห้าส่วน สวนสัตว์ พื้นดำ M</v>
          </cell>
        </row>
        <row r="1949">
          <cell r="A1949" t="str">
            <v>BG0331-S</v>
          </cell>
          <cell r="B1949" t="str">
            <v>G331</v>
          </cell>
          <cell r="C1949" t="str">
            <v>เยื่อไผ่ ห้าส่วน สวนสัตว์ พื้นดำ S</v>
          </cell>
        </row>
        <row r="1950">
          <cell r="A1950" t="str">
            <v>BG0332-L</v>
          </cell>
          <cell r="B1950" t="str">
            <v>G332</v>
          </cell>
          <cell r="C1950" t="str">
            <v>เยื่อไผ่ ห้าส่วน เสือดาว พื้นเขียว L</v>
          </cell>
        </row>
        <row r="1951">
          <cell r="A1951" t="str">
            <v>BG0332-M</v>
          </cell>
          <cell r="B1951" t="str">
            <v>G332</v>
          </cell>
          <cell r="C1951" t="str">
            <v>เยื่อไผ่ ห้าส่วน เสือดาว พื้นเขียว M</v>
          </cell>
        </row>
        <row r="1952">
          <cell r="A1952" t="str">
            <v>BG0332-S</v>
          </cell>
          <cell r="B1952" t="str">
            <v>G332</v>
          </cell>
          <cell r="C1952" t="str">
            <v>เยื่อไผ่ ห้าส่วน เสือดาว พื้นเขียว S</v>
          </cell>
        </row>
        <row r="1953">
          <cell r="A1953" t="str">
            <v>BG0333-L</v>
          </cell>
          <cell r="B1953" t="str">
            <v>G333</v>
          </cell>
          <cell r="C1953" t="str">
            <v>เยื่อไผ่ ห้าส่วน ซากุระ ไทเกอร์ พื้นกรม L</v>
          </cell>
        </row>
        <row r="1954">
          <cell r="A1954" t="str">
            <v>BG0333-M</v>
          </cell>
          <cell r="B1954" t="str">
            <v>G333</v>
          </cell>
          <cell r="C1954" t="str">
            <v>เยื่อไผ่ ห้าส่วน ซากุระ ไทเกอร์ พื้นกรม M</v>
          </cell>
        </row>
        <row r="1955">
          <cell r="A1955" t="str">
            <v>BG0333-S</v>
          </cell>
          <cell r="B1955" t="str">
            <v>G333</v>
          </cell>
          <cell r="C1955" t="str">
            <v>เยื่อไผ่ ห้าส่วน ซากุระ ไทเกอร์ พื้นกรม S</v>
          </cell>
        </row>
        <row r="1956">
          <cell r="A1956" t="str">
            <v>BG0334-L</v>
          </cell>
          <cell r="B1956" t="str">
            <v>G334</v>
          </cell>
          <cell r="C1956" t="str">
            <v>เยื่อไผ่ ห้าส่วน พื้นขาว ดอกกุหลาบแดง กล้วยไม้ L</v>
          </cell>
        </row>
        <row r="1957">
          <cell r="A1957" t="str">
            <v>BG0334-M</v>
          </cell>
          <cell r="B1957" t="str">
            <v>G334</v>
          </cell>
          <cell r="C1957" t="str">
            <v>เยื่อไผ่ ห้าส่วน พื้นขาว ดอกกุหลาบแดง กล้วยไม้ M</v>
          </cell>
        </row>
        <row r="1958">
          <cell r="A1958" t="str">
            <v>BG0334-S</v>
          </cell>
          <cell r="B1958" t="str">
            <v>G334</v>
          </cell>
          <cell r="C1958" t="str">
            <v>เยื่อไผ่ ห้าส่วน พื้นขาว ดอกกุหลาบแดง กล้วยไม้ S</v>
          </cell>
        </row>
        <row r="1959">
          <cell r="A1959" t="str">
            <v>BG0335-L</v>
          </cell>
          <cell r="B1959" t="str">
            <v>G335</v>
          </cell>
          <cell r="C1959" t="str">
            <v>เยื่อไผ่ ห้าส่วน Spring Season L</v>
          </cell>
        </row>
        <row r="1960">
          <cell r="A1960" t="str">
            <v>BG0335-M</v>
          </cell>
          <cell r="B1960" t="str">
            <v>G335</v>
          </cell>
          <cell r="C1960" t="str">
            <v>เยื่อไผ่ ห้าส่วน Spring Season M</v>
          </cell>
        </row>
        <row r="1961">
          <cell r="A1961" t="str">
            <v>BG0335-S</v>
          </cell>
          <cell r="B1961" t="str">
            <v>G335</v>
          </cell>
          <cell r="C1961" t="str">
            <v>เยื่อไผ่ ห้าส่วน Spring Season S</v>
          </cell>
        </row>
        <row r="1962">
          <cell r="A1962" t="str">
            <v>BG0336-L</v>
          </cell>
          <cell r="B1962" t="str">
            <v>G336</v>
          </cell>
          <cell r="C1962" t="str">
            <v>เยื่อไผ่ ห้าส่วน แมวการ์ตูน พื้นฟ้า L</v>
          </cell>
        </row>
        <row r="1963">
          <cell r="A1963" t="str">
            <v>BG0336-M</v>
          </cell>
          <cell r="B1963" t="str">
            <v>G336</v>
          </cell>
          <cell r="C1963" t="str">
            <v>เยื่อไผ่ ห้าส่วน แมวการ์ตูน พื้นฟ้า M</v>
          </cell>
        </row>
        <row r="1964">
          <cell r="A1964" t="str">
            <v>BG0336-S</v>
          </cell>
          <cell r="B1964" t="str">
            <v>G336</v>
          </cell>
          <cell r="C1964" t="str">
            <v>เยื่อไผ่ ห้าส่วน แมวการ์ตูน พื้นฟ้า S</v>
          </cell>
        </row>
        <row r="1965">
          <cell r="A1965" t="str">
            <v>BG0337-L</v>
          </cell>
          <cell r="B1965" t="str">
            <v>G337</v>
          </cell>
          <cell r="C1965" t="str">
            <v>เยื่อไผ่ ห้าส่วน พื้นฟ้าอ่อน ใบไม้ผลิ L</v>
          </cell>
        </row>
        <row r="1966">
          <cell r="A1966" t="str">
            <v>BG0337-M</v>
          </cell>
          <cell r="B1966" t="str">
            <v>G337</v>
          </cell>
          <cell r="C1966" t="str">
            <v>เยื่อไผ่ ห้าส่วน พื้นฟ้าอ่อน ใบไม้ผลิ M</v>
          </cell>
        </row>
        <row r="1967">
          <cell r="A1967" t="str">
            <v>BG0337-S</v>
          </cell>
          <cell r="B1967" t="str">
            <v>G337</v>
          </cell>
          <cell r="C1967" t="str">
            <v>เยื่อไผ่ ห้าส่วน พื้นฟ้าอ่อน ใบไม้ผลิ S</v>
          </cell>
        </row>
        <row r="1968">
          <cell r="A1968" t="str">
            <v>BG0338-L</v>
          </cell>
          <cell r="B1968" t="str">
            <v>G338</v>
          </cell>
          <cell r="C1968" t="str">
            <v>เยื่อไผ่ ห้าส่วน พื้นขาว รวมสัตว์ L</v>
          </cell>
        </row>
        <row r="1969">
          <cell r="A1969" t="str">
            <v>BG0338-M</v>
          </cell>
          <cell r="B1969" t="str">
            <v>G338</v>
          </cell>
          <cell r="C1969" t="str">
            <v>เยื่อไผ่ ห้าส่วน พื้นขาว รวมสัตว์ M</v>
          </cell>
        </row>
        <row r="1970">
          <cell r="A1970" t="str">
            <v>BG0338-S</v>
          </cell>
          <cell r="B1970" t="str">
            <v>G338</v>
          </cell>
          <cell r="C1970" t="str">
            <v>เยื่อไผ่ ห้าส่วน พื้นขาว รวมสัตว์ S</v>
          </cell>
        </row>
        <row r="1971">
          <cell r="A1971" t="str">
            <v>BG0339-L</v>
          </cell>
          <cell r="B1971" t="str">
            <v>G339</v>
          </cell>
          <cell r="C1971" t="str">
            <v>เยื่อไผ่ ห้าส่วน ตุ๊กตาสัตว์ พื้นฟ้า L</v>
          </cell>
        </row>
        <row r="1972">
          <cell r="A1972" t="str">
            <v>BG0339-M</v>
          </cell>
          <cell r="B1972" t="str">
            <v>G339</v>
          </cell>
          <cell r="C1972" t="str">
            <v>เยื่อไผ่ ห้าส่วน ตุ๊กตาสัตว์ พื้นฟ้า M</v>
          </cell>
        </row>
        <row r="1973">
          <cell r="A1973" t="str">
            <v>BG0339-S</v>
          </cell>
          <cell r="B1973" t="str">
            <v>G339</v>
          </cell>
          <cell r="C1973" t="str">
            <v>เยื่อไผ่ ห้าส่วน ตุ๊กตาสัตว์ พื้นฟ้า S</v>
          </cell>
        </row>
        <row r="1974">
          <cell r="A1974" t="str">
            <v>BG0340-L</v>
          </cell>
          <cell r="B1974" t="str">
            <v>G340</v>
          </cell>
          <cell r="C1974" t="str">
            <v>เยื่อไผ่ ห้าส่วน หางมะพร้าวแดง พื้นขาว L</v>
          </cell>
        </row>
        <row r="1975">
          <cell r="A1975" t="str">
            <v>BG0340-M</v>
          </cell>
          <cell r="B1975" t="str">
            <v>G340</v>
          </cell>
          <cell r="C1975" t="str">
            <v>เยื่อไผ่ ห้าส่วน หางมะพร้าวแดง พื้นขาว M</v>
          </cell>
        </row>
        <row r="1976">
          <cell r="A1976" t="str">
            <v>BG0340-S</v>
          </cell>
          <cell r="B1976" t="str">
            <v>G340</v>
          </cell>
          <cell r="C1976" t="str">
            <v>เยื่อไผ่ ห้าส่วน หางมะพร้าวแดง พื้นขาว S</v>
          </cell>
        </row>
        <row r="1977">
          <cell r="A1977" t="str">
            <v>BG0341-L</v>
          </cell>
          <cell r="B1977" t="str">
            <v>G341</v>
          </cell>
          <cell r="C1977" t="str">
            <v>เยื่อไผ่ ห้าส่วน พื้นขาว ดอกไม้เหลือง ผีเสื้อเขียว L</v>
          </cell>
        </row>
        <row r="1978">
          <cell r="A1978" t="str">
            <v>BG0341-M</v>
          </cell>
          <cell r="B1978" t="str">
            <v>G341</v>
          </cell>
          <cell r="C1978" t="str">
            <v>เยื่อไผ่ ห้าส่วน พื้นขาว ดอกไม้เหลือง ผีเสื้อเขียว M</v>
          </cell>
        </row>
        <row r="1979">
          <cell r="A1979" t="str">
            <v>BG0341-S</v>
          </cell>
          <cell r="B1979" t="str">
            <v>G341</v>
          </cell>
          <cell r="C1979" t="str">
            <v>เยื่อไผ่ ห้าส่วน พื้นขาว ดอกไม้เหลือง ผีเสื้อเขียว S</v>
          </cell>
        </row>
        <row r="1980">
          <cell r="A1980" t="str">
            <v>BG0342-L</v>
          </cell>
          <cell r="B1980" t="str">
            <v>G342</v>
          </cell>
          <cell r="C1980" t="str">
            <v>เยื่อไผ่ ห้าส่วน ดอกไม้ชมพู เหลือง พื้นฟ้า L</v>
          </cell>
        </row>
        <row r="1981">
          <cell r="A1981" t="str">
            <v>BG0342-M</v>
          </cell>
          <cell r="B1981" t="str">
            <v>G342</v>
          </cell>
          <cell r="C1981" t="str">
            <v>เยื่อไผ่ ห้าส่วน ดอกไม้ชมพู เหลือง พื้นฟ้า M</v>
          </cell>
        </row>
        <row r="1982">
          <cell r="A1982" t="str">
            <v>BG0342-S</v>
          </cell>
          <cell r="B1982" t="str">
            <v>G342</v>
          </cell>
          <cell r="C1982" t="str">
            <v>เยื่อไผ่ ห้าส่วน ดอกไม้ชมพู เหลือง พื้นฟ้า S</v>
          </cell>
        </row>
        <row r="1983">
          <cell r="A1983" t="str">
            <v>BG0343-L</v>
          </cell>
          <cell r="B1983" t="str">
            <v>G343</v>
          </cell>
          <cell r="C1983" t="str">
            <v>เยื่อไผ่ ห้าส่วน นกยูง พื้นขาวครีม L</v>
          </cell>
        </row>
        <row r="1984">
          <cell r="A1984" t="str">
            <v>BG0343-M</v>
          </cell>
          <cell r="B1984" t="str">
            <v>G343</v>
          </cell>
          <cell r="C1984" t="str">
            <v>เยื่อไผ่ ห้าส่วน นกยูง พื้นขาวครีม M</v>
          </cell>
        </row>
        <row r="1985">
          <cell r="A1985" t="str">
            <v>BG0343-S</v>
          </cell>
          <cell r="B1985" t="str">
            <v>G343</v>
          </cell>
          <cell r="C1985" t="str">
            <v>เยื่อไผ่ ห้าส่วน นกยูง พื้นขาวครีม S</v>
          </cell>
        </row>
        <row r="1986">
          <cell r="A1986" t="str">
            <v>BG0344-L</v>
          </cell>
          <cell r="B1986" t="str">
            <v>G344</v>
          </cell>
          <cell r="C1986" t="str">
            <v>เยื่อไผ่ ห้าส่วน ใบตอง พื้นดำ L</v>
          </cell>
        </row>
        <row r="1987">
          <cell r="A1987" t="str">
            <v>BG0344-M</v>
          </cell>
          <cell r="B1987" t="str">
            <v>G344</v>
          </cell>
          <cell r="C1987" t="str">
            <v>เยื่อไผ่ ห้าส่วน ใบตอง พื้นดำ M</v>
          </cell>
        </row>
        <row r="1988">
          <cell r="A1988" t="str">
            <v>BG0344-S</v>
          </cell>
          <cell r="B1988" t="str">
            <v>G344</v>
          </cell>
          <cell r="C1988" t="str">
            <v>เยื่อไผ่ ห้าส่วน ใบตอง พื้นดำ S</v>
          </cell>
        </row>
        <row r="1989">
          <cell r="A1989" t="str">
            <v>BG0345-L</v>
          </cell>
          <cell r="B1989" t="str">
            <v>G345</v>
          </cell>
          <cell r="C1989" t="str">
            <v>เยื่อไผ่ ห้าส่วน เสือดำ พื้นขาว L</v>
          </cell>
        </row>
        <row r="1990">
          <cell r="A1990" t="str">
            <v>BG0345-M</v>
          </cell>
          <cell r="B1990" t="str">
            <v>G345</v>
          </cell>
          <cell r="C1990" t="str">
            <v>เยื่อไผ่ ห้าส่วน เสือดำ พื้นขาว M</v>
          </cell>
        </row>
        <row r="1991">
          <cell r="A1991" t="str">
            <v>BG0345-S</v>
          </cell>
          <cell r="B1991" t="str">
            <v>G345</v>
          </cell>
          <cell r="C1991" t="str">
            <v>เยื่อไผ่ ห้าส่วน เสือดำ พื้นขาว S</v>
          </cell>
        </row>
        <row r="1992">
          <cell r="A1992" t="str">
            <v>BG0363-L</v>
          </cell>
          <cell r="B1992" t="str">
            <v>G363</v>
          </cell>
          <cell r="C1992" t="str">
            <v>เยื่อไผ่ ห้าส่วน พื้นกรม ดอกกุหลาบแดง กล้วยไม้ S</v>
          </cell>
        </row>
        <row r="1993">
          <cell r="A1993" t="str">
            <v>BG0363-M</v>
          </cell>
          <cell r="B1993" t="str">
            <v>G363</v>
          </cell>
          <cell r="C1993" t="str">
            <v>เยื่อไผ่ ห้าส่วน พื้นกรม ดอกกุหลาบแดง กล้วยไม้ M</v>
          </cell>
        </row>
        <row r="1994">
          <cell r="A1994" t="str">
            <v>BG0363-S</v>
          </cell>
          <cell r="B1994" t="str">
            <v>G363</v>
          </cell>
          <cell r="C1994" t="str">
            <v>เยื่อไผ่ ห้าส่วน พื้นกรม ดอกกุหลาบแดง กล้วยไม้ S</v>
          </cell>
        </row>
        <row r="1995">
          <cell r="A1995" t="str">
            <v>BG0381-L</v>
          </cell>
          <cell r="B1995" t="str">
            <v>G381</v>
          </cell>
          <cell r="C1995" t="str">
            <v>เยื่อไผ่ ห้าส่วน เถาวัลย์ ม่วง พื้นขาว L</v>
          </cell>
        </row>
        <row r="1996">
          <cell r="A1996" t="str">
            <v>BG0381-M</v>
          </cell>
          <cell r="B1996" t="str">
            <v>G381</v>
          </cell>
          <cell r="C1996" t="str">
            <v>เยื่อไผ่ ห้าส่วน เถาวัลย์ ม่วง พื้นขาว M</v>
          </cell>
        </row>
        <row r="1997">
          <cell r="A1997" t="str">
            <v>BG0381-S</v>
          </cell>
          <cell r="B1997" t="str">
            <v>G381</v>
          </cell>
          <cell r="C1997" t="str">
            <v>เยื่อไผ่ ห้าส่วน เถาวัลย์ ม่วง พื้นขาว S</v>
          </cell>
        </row>
        <row r="1998">
          <cell r="A1998" t="str">
            <v>BG0382-L</v>
          </cell>
          <cell r="B1998" t="str">
            <v>G382</v>
          </cell>
          <cell r="C1998" t="str">
            <v>เยื่อไผ่ ห้าส่วน Classic Blue Flower L</v>
          </cell>
        </row>
        <row r="1999">
          <cell r="A1999" t="str">
            <v>BG0382-M</v>
          </cell>
          <cell r="B1999" t="str">
            <v>G382</v>
          </cell>
          <cell r="C1999" t="str">
            <v>เยื่อไผ่ ห้าส่วน Classic Blue Flower M</v>
          </cell>
        </row>
        <row r="2000">
          <cell r="A2000" t="str">
            <v>BG0382-S</v>
          </cell>
          <cell r="B2000" t="str">
            <v>G382</v>
          </cell>
          <cell r="C2000" t="str">
            <v>เยื่อไผ่ ห้าส่วน Classic Blue Flower S</v>
          </cell>
        </row>
        <row r="2001">
          <cell r="A2001" t="str">
            <v>BG0385-L</v>
          </cell>
          <cell r="B2001" t="str">
            <v>G385</v>
          </cell>
          <cell r="C2001" t="str">
            <v>เยื่อไผ่ ห้าส่วน อันปังแมน L</v>
          </cell>
        </row>
        <row r="2002">
          <cell r="A2002" t="str">
            <v>BG0385-M</v>
          </cell>
          <cell r="B2002" t="str">
            <v>G385</v>
          </cell>
          <cell r="C2002" t="str">
            <v>เยื่อไผ่ ห้าส่วน อันปังแมน M</v>
          </cell>
        </row>
        <row r="2003">
          <cell r="A2003" t="str">
            <v>BG0385-S</v>
          </cell>
          <cell r="B2003" t="str">
            <v>G385</v>
          </cell>
          <cell r="C2003" t="str">
            <v>เยื่อไผ่ ห้าส่วน อันปังแมน S</v>
          </cell>
        </row>
        <row r="2004">
          <cell r="A2004" t="str">
            <v>BG0386-L</v>
          </cell>
          <cell r="B2004" t="str">
            <v>G386</v>
          </cell>
          <cell r="C2004" t="str">
            <v>เยื่อไผ่ ห้าส่วน กระต่าย พื้นกรม L</v>
          </cell>
        </row>
        <row r="2005">
          <cell r="A2005" t="str">
            <v>BG0386-M</v>
          </cell>
          <cell r="B2005" t="str">
            <v>G386</v>
          </cell>
          <cell r="C2005" t="str">
            <v>เยื่อไผ่ ห้าส่วน กระต่าย พื้นกรม M</v>
          </cell>
        </row>
        <row r="2006">
          <cell r="A2006" t="str">
            <v>BG0386-S</v>
          </cell>
          <cell r="B2006" t="str">
            <v>G386</v>
          </cell>
          <cell r="C2006" t="str">
            <v>เยื่อไผ่ ห้าส่วน กระต่าย พื้นกรม S</v>
          </cell>
        </row>
        <row r="2007">
          <cell r="A2007" t="str">
            <v>BG0387-L</v>
          </cell>
          <cell r="B2007" t="str">
            <v>G387</v>
          </cell>
          <cell r="C2007" t="str">
            <v>เยื่อไผ่ ห้าส่วน เท็ดดี้แบร์ พื้นกรม L</v>
          </cell>
        </row>
        <row r="2008">
          <cell r="A2008" t="str">
            <v>BG0387-M</v>
          </cell>
          <cell r="B2008" t="str">
            <v>G387</v>
          </cell>
          <cell r="C2008" t="str">
            <v>เยื่อไผ่ ห้าส่วน เท็ดดี้แบร์ พื้นกรม M</v>
          </cell>
        </row>
        <row r="2009">
          <cell r="A2009" t="str">
            <v>BG0387-S</v>
          </cell>
          <cell r="B2009" t="str">
            <v>G387</v>
          </cell>
          <cell r="C2009" t="str">
            <v>เยื่อไผ่ ห้าส่วน เท็ดดี้แบร์ พื้นกรม S</v>
          </cell>
        </row>
        <row r="2010">
          <cell r="A2010" t="str">
            <v>BG0388-L</v>
          </cell>
          <cell r="B2010" t="str">
            <v>G388</v>
          </cell>
          <cell r="C2010" t="str">
            <v>เยื่อไผ่ ห้าส่วน พื้นชมพู แฟนตาซี L</v>
          </cell>
        </row>
        <row r="2011">
          <cell r="A2011" t="str">
            <v>BG0388-M</v>
          </cell>
          <cell r="B2011" t="str">
            <v>G388</v>
          </cell>
          <cell r="C2011" t="str">
            <v>เยื่อไผ่ ห้าส่วน พื้นชมพู แฟนตาซี M</v>
          </cell>
        </row>
        <row r="2012">
          <cell r="A2012" t="str">
            <v>BG0388-S</v>
          </cell>
          <cell r="B2012" t="str">
            <v>G388</v>
          </cell>
          <cell r="C2012" t="str">
            <v>เยื่อไผ่ ห้าส่วน พื้นชมพู แฟนตาซี S</v>
          </cell>
        </row>
        <row r="2013">
          <cell r="A2013" t="str">
            <v>BG0389-L</v>
          </cell>
          <cell r="B2013" t="str">
            <v>G389</v>
          </cell>
          <cell r="C2013" t="str">
            <v>เยื่อไผ่ ห้าส่วน Brown and Navy L</v>
          </cell>
        </row>
        <row r="2014">
          <cell r="A2014" t="str">
            <v>BG0389-M</v>
          </cell>
          <cell r="B2014" t="str">
            <v>G389</v>
          </cell>
          <cell r="C2014" t="str">
            <v>เยื่อไผ่ ห้าส่วน Brown and Navy M</v>
          </cell>
        </row>
        <row r="2015">
          <cell r="A2015" t="str">
            <v>BG0389-S</v>
          </cell>
          <cell r="B2015" t="str">
            <v>G389</v>
          </cell>
          <cell r="C2015" t="str">
            <v>เยื่อไผ่ ห้าส่วน Brown and Navy S</v>
          </cell>
        </row>
        <row r="2016">
          <cell r="A2016" t="str">
            <v>BG0390-L</v>
          </cell>
          <cell r="B2016" t="str">
            <v>G390</v>
          </cell>
          <cell r="C2016" t="str">
            <v>เยื่อไผ่ ห้าส่วน Little Curve พื้นกรม L</v>
          </cell>
        </row>
        <row r="2017">
          <cell r="A2017" t="str">
            <v>BG0390-M</v>
          </cell>
          <cell r="B2017" t="str">
            <v>G390</v>
          </cell>
          <cell r="C2017" t="str">
            <v>เยื่อไผ่ ห้าส่วน Little Curve พื้นกรม M</v>
          </cell>
        </row>
        <row r="2018">
          <cell r="A2018" t="str">
            <v>BG0390-S</v>
          </cell>
          <cell r="B2018" t="str">
            <v>G390</v>
          </cell>
          <cell r="C2018" t="str">
            <v>เยื่อไผ่ ห้าส่วน Little Curve พื้นกรม S</v>
          </cell>
        </row>
        <row r="2019">
          <cell r="A2019" t="str">
            <v>BG0391-L</v>
          </cell>
          <cell r="B2019" t="str">
            <v>G391</v>
          </cell>
          <cell r="C2019" t="str">
            <v>เยื่อไผ่ ห้าส่วน Alphabet พื้นฟ้า L</v>
          </cell>
        </row>
        <row r="2020">
          <cell r="A2020" t="str">
            <v>BG0391-M</v>
          </cell>
          <cell r="B2020" t="str">
            <v>G391</v>
          </cell>
          <cell r="C2020" t="str">
            <v>เยื่อไผ่ ห้าส่วน Alphabet พื้นฟ้า M</v>
          </cell>
        </row>
        <row r="2021">
          <cell r="A2021" t="str">
            <v>BG0391-S</v>
          </cell>
          <cell r="B2021" t="str">
            <v>G391</v>
          </cell>
          <cell r="C2021" t="str">
            <v>เยื่อไผ่ ห้าส่วน Alphabet พื้นฟ้า S</v>
          </cell>
        </row>
        <row r="2022">
          <cell r="A2022" t="str">
            <v>BG0392-L</v>
          </cell>
          <cell r="B2022" t="str">
            <v>G392</v>
          </cell>
          <cell r="C2022" t="str">
            <v>เยื่อไผ่ ห้าส่วน เป็ดเหลือง พื้นฟ้า L</v>
          </cell>
        </row>
        <row r="2023">
          <cell r="A2023" t="str">
            <v>BG0392-M</v>
          </cell>
          <cell r="B2023" t="str">
            <v>G392</v>
          </cell>
          <cell r="C2023" t="str">
            <v>เยื่อไผ่ ห้าส่วน เป็ดเหลือง พื้นฟ้า M</v>
          </cell>
        </row>
        <row r="2024">
          <cell r="A2024" t="str">
            <v>BG0392-S</v>
          </cell>
          <cell r="B2024" t="str">
            <v>G392</v>
          </cell>
          <cell r="C2024" t="str">
            <v>เยื่อไผ่ ห้าส่วน เป็ดเหลือง พื้นฟ้า S</v>
          </cell>
        </row>
        <row r="2025">
          <cell r="A2025" t="str">
            <v>BX0001-L</v>
          </cell>
          <cell r="B2025" t="str">
            <v>X1</v>
          </cell>
          <cell r="C2025" t="str">
            <v>เยื่อไผ่ ชุดคลุมอาบน้ำ พีช tropical L</v>
          </cell>
        </row>
        <row r="2026">
          <cell r="A2026" t="str">
            <v>BX0001-M</v>
          </cell>
          <cell r="B2026" t="str">
            <v>X1</v>
          </cell>
          <cell r="C2026" t="str">
            <v>เยื่อไผ่ ชุดคลุมอาบน้ำ พีช tropical M</v>
          </cell>
        </row>
        <row r="2027">
          <cell r="A2027" t="str">
            <v>BX0002-L</v>
          </cell>
          <cell r="B2027" t="str">
            <v>X2</v>
          </cell>
          <cell r="C2027" t="str">
            <v>เยื่อไผ่ ชุดคลุมอาบน้ำ ลายสาลี่ L</v>
          </cell>
        </row>
        <row r="2028">
          <cell r="A2028" t="str">
            <v>BX0002-M</v>
          </cell>
          <cell r="B2028" t="str">
            <v>X2</v>
          </cell>
          <cell r="C2028" t="str">
            <v>เยื่อไผ่ ชุดคลุมอาบน้ำ ลายสาลี่ M</v>
          </cell>
        </row>
        <row r="2029">
          <cell r="A2029" t="str">
            <v>BX0003-L</v>
          </cell>
          <cell r="B2029" t="str">
            <v>X3</v>
          </cell>
          <cell r="C2029" t="str">
            <v>เยื่อไผ่ ชุดคลุมอาบน้ำ ดอกไม้ เหลือง L</v>
          </cell>
        </row>
        <row r="2030">
          <cell r="A2030" t="str">
            <v>BX0003-M</v>
          </cell>
          <cell r="B2030" t="str">
            <v>X3</v>
          </cell>
          <cell r="C2030" t="str">
            <v>เยื่อไผ่ ชุดคลุมอาบน้ำ ดอกไม้ เหลือง M</v>
          </cell>
        </row>
        <row r="2031">
          <cell r="A2031" t="str">
            <v>BX0004-M</v>
          </cell>
          <cell r="B2031" t="str">
            <v>X4</v>
          </cell>
          <cell r="C2031" t="str">
            <v>เยื่อไผ่ เสื้อคลุม Tropical ดอกไม้ M</v>
          </cell>
        </row>
        <row r="2032">
          <cell r="A2032" t="str">
            <v>BX0005-M</v>
          </cell>
          <cell r="B2032" t="str">
            <v>X5</v>
          </cell>
          <cell r="C2032" t="str">
            <v>เยื่อไผ่ สายเดี่ยว+เสื้อคลุม พื้นฟ้าอ่อนดอกชมพู M</v>
          </cell>
        </row>
        <row r="2033">
          <cell r="A2033" t="str">
            <v>BX0006-L</v>
          </cell>
          <cell r="B2033" t="str">
            <v>X6</v>
          </cell>
          <cell r="C2033" t="str">
            <v>เยื่อไผ่ เซต3ชิ้น ดอกไม้แดง พื้นฟ้า L</v>
          </cell>
        </row>
        <row r="2034">
          <cell r="A2034" t="str">
            <v>BX0006-M</v>
          </cell>
          <cell r="B2034" t="str">
            <v>X6</v>
          </cell>
          <cell r="C2034" t="str">
            <v>เยื่อไผ่ เซต3ชิ้น ดอกไม้แดง พื้นฟ้า M</v>
          </cell>
        </row>
        <row r="2035">
          <cell r="A2035" t="str">
            <v>BX0006-XL</v>
          </cell>
          <cell r="B2035" t="str">
            <v>X6</v>
          </cell>
          <cell r="C2035" t="str">
            <v>เยื่อไผ่ เซต3ชิ้น ดอกไม้แดง พื้นฟ้า XL</v>
          </cell>
        </row>
        <row r="2036">
          <cell r="A2036" t="str">
            <v>BX0007-L</v>
          </cell>
          <cell r="B2036" t="str">
            <v>X7</v>
          </cell>
          <cell r="C2036" t="str">
            <v>เยื่อไผ่ เซต3ชิ้น สีกรม ดอกไม้ขาว L</v>
          </cell>
        </row>
        <row r="2037">
          <cell r="A2037" t="str">
            <v>BX0007-M</v>
          </cell>
          <cell r="B2037" t="str">
            <v>X7</v>
          </cell>
          <cell r="C2037" t="str">
            <v>เยื่อไผ่ เซต3ชิ้น สีกรม ดอกไม้ขาว M</v>
          </cell>
        </row>
        <row r="2038">
          <cell r="A2038" t="str">
            <v>BX0007-XL</v>
          </cell>
          <cell r="B2038" t="str">
            <v>X7</v>
          </cell>
          <cell r="C2038" t="str">
            <v>เยื่อไผ่ เซต3ชิ้น สีกรม ดอกไม้ขาว XL</v>
          </cell>
        </row>
        <row r="2039">
          <cell r="A2039" t="str">
            <v>BX0008-L</v>
          </cell>
          <cell r="B2039" t="str">
            <v>X8</v>
          </cell>
          <cell r="C2039" t="str">
            <v>เยื่อไผ่ เซต3ชิ้น ดอกชบา พื้นดำ L</v>
          </cell>
        </row>
        <row r="2040">
          <cell r="A2040" t="str">
            <v>BX0008-M</v>
          </cell>
          <cell r="B2040" t="str">
            <v>X8</v>
          </cell>
          <cell r="C2040" t="str">
            <v>เยื่อไผ่ เซต3ชิ้น ดอกชบา พื้นดำ M</v>
          </cell>
        </row>
        <row r="2041">
          <cell r="A2041" t="str">
            <v>BX0008-XL</v>
          </cell>
          <cell r="B2041" t="str">
            <v>X8</v>
          </cell>
          <cell r="C2041" t="str">
            <v>เยื่อไผ่ เซต3ชิ้น ดอกชบา พื้นดำ XL</v>
          </cell>
        </row>
        <row r="2042">
          <cell r="A2042" t="str">
            <v>BX0009-L</v>
          </cell>
          <cell r="B2042" t="str">
            <v>X9</v>
          </cell>
          <cell r="C2042" t="str">
            <v>เยื่อไผ่ เซตสายเดี่ยว3ชิ้น ดอกไม้ดำ L</v>
          </cell>
        </row>
        <row r="2043">
          <cell r="A2043" t="str">
            <v>BX0009-M</v>
          </cell>
          <cell r="B2043" t="str">
            <v>X9</v>
          </cell>
          <cell r="C2043" t="str">
            <v>เยื่อไผ่ เซตสายเดี่ยว3ชิ้น ดอกไม้ดำ M</v>
          </cell>
        </row>
        <row r="2044">
          <cell r="A2044" t="str">
            <v>BX0009-XL</v>
          </cell>
          <cell r="B2044" t="str">
            <v>X9</v>
          </cell>
          <cell r="C2044" t="str">
            <v>เยื่อไผ่ เซตสายเดี่ยว3ชิ้น ดอกไม้ดำ XL</v>
          </cell>
        </row>
        <row r="2045">
          <cell r="A2045" t="str">
            <v>BX0010-L</v>
          </cell>
          <cell r="B2045" t="str">
            <v>X10</v>
          </cell>
          <cell r="C2045" t="str">
            <v>เยื่อไผ่ เซตสายเดี่ยว3ชิ้น ฟ้าดอกไม้แดง L</v>
          </cell>
        </row>
        <row r="2046">
          <cell r="A2046" t="str">
            <v>BX0010-M</v>
          </cell>
          <cell r="B2046" t="str">
            <v>X10</v>
          </cell>
          <cell r="C2046" t="str">
            <v>เยื่อไผ่ เซตสายเดี่ยว3ชิ้น ฟ้าดอกไม้แดง M</v>
          </cell>
        </row>
        <row r="2047">
          <cell r="A2047" t="str">
            <v>BX0010-XL</v>
          </cell>
          <cell r="B2047" t="str">
            <v>X10</v>
          </cell>
          <cell r="C2047" t="str">
            <v>เยื่อไผ่ เซตสายเดี่ยว3ชิ้น ฟ้าดอกไม้แดง XL</v>
          </cell>
        </row>
        <row r="2048">
          <cell r="A2048" t="str">
            <v>BX0011-L</v>
          </cell>
          <cell r="B2048" t="str">
            <v>X11</v>
          </cell>
          <cell r="C2048" t="str">
            <v>เยื่อไผ่ เซตสายเดี่ยว3ชิ้น ชมพูดอกไม้แดง L</v>
          </cell>
        </row>
        <row r="2049">
          <cell r="A2049" t="str">
            <v>BX0011-M</v>
          </cell>
          <cell r="B2049" t="str">
            <v>X11</v>
          </cell>
          <cell r="C2049" t="str">
            <v>เยื่อไผ่ เซตสายเดี่ยว3ชิ้น ชมพูดอกไม้แดง M</v>
          </cell>
        </row>
        <row r="2050">
          <cell r="A2050" t="str">
            <v>BX0011-XL</v>
          </cell>
          <cell r="B2050" t="str">
            <v>X11</v>
          </cell>
          <cell r="C2050" t="str">
            <v>เยื่อไผ่ เซตสายเดี่ยว3ชิ้น ชมพูดอกไม้แดง XL</v>
          </cell>
        </row>
        <row r="2051">
          <cell r="A2051" t="str">
            <v>BX0012-L</v>
          </cell>
          <cell r="B2051" t="str">
            <v>X12</v>
          </cell>
          <cell r="C2051" t="str">
            <v>เยื่อไผ่ เซตสายเดี่ยว3ชิ้น ชมพูดอกไม้ขาว L</v>
          </cell>
        </row>
        <row r="2052">
          <cell r="A2052" t="str">
            <v>BX0012-M</v>
          </cell>
          <cell r="B2052" t="str">
            <v>X12</v>
          </cell>
          <cell r="C2052" t="str">
            <v>เยื่อไผ่ เซตสายเดี่ยว3ชิ้น ชมพูดอกไม้ขาว M</v>
          </cell>
        </row>
        <row r="2053">
          <cell r="A2053" t="str">
            <v>BX0012-XL</v>
          </cell>
          <cell r="B2053" t="str">
            <v>X12</v>
          </cell>
          <cell r="C2053" t="str">
            <v>เยื่อไผ่ เซตสายเดี่ยว3ชิ้น ชมพูดอกไม้ขาว XL</v>
          </cell>
        </row>
        <row r="2054">
          <cell r="A2054" t="str">
            <v>BX0014-M</v>
          </cell>
          <cell r="B2054" t="str">
            <v>X14</v>
          </cell>
          <cell r="C2054" t="str">
            <v>เยื่อไผ่ ชุดคลุม เสื้อญี่ปุ่น สีเขียวน้ำทะเล M</v>
          </cell>
        </row>
        <row r="2055">
          <cell r="A2055" t="str">
            <v>BX0014-XL</v>
          </cell>
          <cell r="B2055" t="str">
            <v>X14</v>
          </cell>
          <cell r="C2055" t="str">
            <v>เยื่อไผ่ ชุดคลุม เสื้อญี่ปุ่น สีเขียวน้ำทะเล XL</v>
          </cell>
        </row>
        <row r="2056">
          <cell r="A2056" t="str">
            <v>BX0015-L</v>
          </cell>
          <cell r="B2056" t="str">
            <v>X15</v>
          </cell>
          <cell r="C2056" t="str">
            <v>เยื่อไผ่ ชุดคลุม เสื้อญี่ปุ่น ดอกไม้น้ำตาล พื้นม่วง L</v>
          </cell>
        </row>
        <row r="2057">
          <cell r="A2057" t="str">
            <v>BX0015-M</v>
          </cell>
          <cell r="B2057" t="str">
            <v>X15</v>
          </cell>
          <cell r="C2057" t="str">
            <v>เยื่อไผ่ ชุดคลุม เสื้อญี่ปุ่น ดอกไม้น้ำตาล พื้นม่วง M</v>
          </cell>
        </row>
        <row r="2058">
          <cell r="A2058" t="str">
            <v>BX0016-L</v>
          </cell>
          <cell r="B2058" t="str">
            <v>X16</v>
          </cell>
          <cell r="C2058" t="str">
            <v>เยื่อไผ่ ชุดคลุม เสื้อญี่ปุ่น ดอกไม้น้ำตาล พื้นกรม L</v>
          </cell>
        </row>
        <row r="2059">
          <cell r="A2059" t="str">
            <v>BX0016-M</v>
          </cell>
          <cell r="B2059" t="str">
            <v>X16</v>
          </cell>
          <cell r="C2059" t="str">
            <v>เยื่อไผ่ ชุดคลุม เสื้อญี่ปุ่น ดอกไม้น้ำตาล พื้นกรม M</v>
          </cell>
        </row>
        <row r="2060">
          <cell r="A2060" t="str">
            <v>BX0017-L</v>
          </cell>
          <cell r="B2060" t="str">
            <v>X17</v>
          </cell>
          <cell r="C2060" t="str">
            <v>ชุดคลุมอาบน้ำนกชมพู L</v>
          </cell>
        </row>
        <row r="2061">
          <cell r="A2061" t="str">
            <v>BX0017-M</v>
          </cell>
          <cell r="B2061" t="str">
            <v>X17</v>
          </cell>
          <cell r="C2061" t="str">
            <v>ชุดคลุมอาบน้ำนกชมพู M</v>
          </cell>
        </row>
        <row r="2062">
          <cell r="A2062" t="str">
            <v>BX0017-S</v>
          </cell>
          <cell r="B2062" t="str">
            <v>X17</v>
          </cell>
          <cell r="C2062" t="str">
            <v>ชุดคลุมอาบน้ำนกชมพู S</v>
          </cell>
        </row>
        <row r="2063">
          <cell r="A2063" t="str">
            <v>BX0018-L</v>
          </cell>
          <cell r="B2063" t="str">
            <v>X18</v>
          </cell>
          <cell r="C2063" t="str">
            <v>ชุดคลุมอาบน้ำนกนู๊ด L</v>
          </cell>
        </row>
        <row r="2064">
          <cell r="A2064" t="str">
            <v>BX0018-M</v>
          </cell>
          <cell r="B2064" t="str">
            <v>X18</v>
          </cell>
          <cell r="C2064" t="str">
            <v>ชุดคลุมอาบน้ำนกนู๊ด M</v>
          </cell>
        </row>
        <row r="2065">
          <cell r="A2065" t="str">
            <v>BX0018-S</v>
          </cell>
          <cell r="B2065" t="str">
            <v>X18</v>
          </cell>
          <cell r="C2065" t="str">
            <v>ชุดคลุมอาบน้ำนกนู๊ด S</v>
          </cell>
        </row>
        <row r="2066">
          <cell r="A2066" t="str">
            <v>BX0019-L</v>
          </cell>
          <cell r="B2066" t="str">
            <v>X19</v>
          </cell>
          <cell r="C2066" t="str">
            <v>ชุดคลุมอาบน้ำ ดอกไม้ชมพู พื้นกรม L</v>
          </cell>
        </row>
        <row r="2067">
          <cell r="A2067" t="str">
            <v>BX0019-M</v>
          </cell>
          <cell r="B2067" t="str">
            <v>X19</v>
          </cell>
          <cell r="C2067" t="str">
            <v>ชุดคลุมอาบน้ำ ดอกไม้ชมพู พื้นกรม M</v>
          </cell>
        </row>
        <row r="2068">
          <cell r="A2068" t="str">
            <v>BX0019-S</v>
          </cell>
          <cell r="B2068" t="str">
            <v>X19</v>
          </cell>
          <cell r="C2068" t="str">
            <v>ชุดคลุมอาบน้ำ ดอกไม้ชมพู พื้นกรม S</v>
          </cell>
        </row>
        <row r="2069">
          <cell r="A2069" t="str">
            <v>BX0020-L</v>
          </cell>
          <cell r="B2069" t="str">
            <v>X20</v>
          </cell>
          <cell r="C2069" t="str">
            <v>ชุดคลุมอาบน้ำลายผีเสื้อ L</v>
          </cell>
        </row>
        <row r="2070">
          <cell r="A2070" t="str">
            <v>BX0020-M</v>
          </cell>
          <cell r="B2070" t="str">
            <v>X20</v>
          </cell>
          <cell r="C2070" t="str">
            <v>ชุดคลุมอาบน้ำลายผีเสื้อ M</v>
          </cell>
        </row>
        <row r="2071">
          <cell r="A2071" t="str">
            <v>BX0020-S</v>
          </cell>
          <cell r="B2071" t="str">
            <v>X20</v>
          </cell>
          <cell r="C2071" t="str">
            <v>ชุดคลุมอาบน้ำลายผีเสื้อ S</v>
          </cell>
        </row>
        <row r="2072">
          <cell r="A2072" t="str">
            <v>BX0021-L</v>
          </cell>
          <cell r="B2072" t="str">
            <v>X21</v>
          </cell>
          <cell r="C2072" t="str">
            <v>สายเดี่ยว + เสื้อคลุม พื้นครีม L</v>
          </cell>
        </row>
        <row r="2073">
          <cell r="A2073" t="str">
            <v>BX0021-M</v>
          </cell>
          <cell r="B2073" t="str">
            <v>X21</v>
          </cell>
          <cell r="C2073" t="str">
            <v>สายเดี่ยว + เสื้อคลุม พื้นครีม M</v>
          </cell>
        </row>
        <row r="2074">
          <cell r="A2074" t="str">
            <v>BX0021-S</v>
          </cell>
          <cell r="B2074" t="str">
            <v>X21</v>
          </cell>
          <cell r="C2074" t="str">
            <v>สายเดี่ยว + เสื้อคลุม พื้นครีม S</v>
          </cell>
        </row>
        <row r="2075">
          <cell r="A2075" t="str">
            <v>BX0021-XL</v>
          </cell>
          <cell r="B2075" t="str">
            <v>X21</v>
          </cell>
          <cell r="C2075" t="str">
            <v>สายเดี่ยว + เสื้อคลุม พื้นครีม XL</v>
          </cell>
        </row>
        <row r="2076">
          <cell r="A2076" t="str">
            <v>DC0103-M</v>
          </cell>
          <cell r="B2076" t="str">
            <v>C103</v>
          </cell>
        </row>
        <row r="2077">
          <cell r="A2077" t="str">
            <v>J0001-L</v>
          </cell>
          <cell r="B2077" t="str">
            <v>J1</v>
          </cell>
        </row>
        <row r="2078">
          <cell r="A2078" t="str">
            <v>J0005-L</v>
          </cell>
          <cell r="B2078" t="str">
            <v>J5</v>
          </cell>
        </row>
        <row r="2079">
          <cell r="A2079" t="str">
            <v>JA0013-M</v>
          </cell>
          <cell r="B2079" t="str">
            <v>JA13</v>
          </cell>
          <cell r="C2079" t="str">
            <v>เยื่อไผ่ แขนสั้นขาสั้น แมวฟ้า M ตัวโชว์</v>
          </cell>
        </row>
        <row r="2080">
          <cell r="A2080" t="str">
            <v>JA0020-S</v>
          </cell>
          <cell r="B2080" t="str">
            <v>JA20</v>
          </cell>
          <cell r="C2080" t="str">
            <v>เยื่อไผ่ แขนสั้นขาสั้น ใบไม้เขียว NEW S ตัวโชว์</v>
          </cell>
        </row>
        <row r="2081">
          <cell r="A2081" t="str">
            <v>JA0025-S</v>
          </cell>
          <cell r="B2081" t="str">
            <v>JA25</v>
          </cell>
          <cell r="C2081" t="str">
            <v>เยื่อไผ่ แขนสั้นขาสั้น ใบไม้น้ำตาล ขอบแดง S ตัวโชว์</v>
          </cell>
        </row>
        <row r="2082">
          <cell r="A2082" t="str">
            <v>JA0117-S</v>
          </cell>
          <cell r="B2082" t="str">
            <v>JA117</v>
          </cell>
          <cell r="C2082" t="str">
            <v>เยื่อไผ่ แขนสั้นขาสั้น ลายทาง พาสเทล S ตัวโชว์</v>
          </cell>
        </row>
        <row r="2083">
          <cell r="A2083" t="str">
            <v>JA0179-S</v>
          </cell>
          <cell r="B2083" t="str">
            <v>JA179</v>
          </cell>
          <cell r="C2083" t="str">
            <v>เยื่อไผ่ แขนสั้นขาสั้น จุดครีม พื้นโอรส S ตัวโชว์</v>
          </cell>
        </row>
        <row r="2084">
          <cell r="A2084" t="str">
            <v>JA0236-S</v>
          </cell>
          <cell r="B2084" t="str">
            <v>JA236</v>
          </cell>
          <cell r="C2084" t="str">
            <v>เยื่อไผ่ แขนสั้นขาสั้น ดอกไม้ดำ พื้นเขียว S ตัวโชว์</v>
          </cell>
        </row>
        <row r="2085">
          <cell r="A2085" t="str">
            <v>JA0310-S</v>
          </cell>
          <cell r="B2085" t="str">
            <v>JA310</v>
          </cell>
          <cell r="C2085" t="str">
            <v>เยื่อไผ่ แขนสั้นขาสั้น ดอกไม้ขาว พื้นฟ้า S ตัวโชว์</v>
          </cell>
        </row>
        <row r="2086">
          <cell r="A2086" t="str">
            <v>JA0328-S</v>
          </cell>
          <cell r="B2086" t="str">
            <v>JA328</v>
          </cell>
          <cell r="C2086" t="str">
            <v>เยื่อไผ่ แขนสั้นขาสั้น ลายทางฟ้า ครีม คอปกดอกไม้ S ตัวโชว์</v>
          </cell>
        </row>
        <row r="2087">
          <cell r="A2087" t="str">
            <v>JA0358-S</v>
          </cell>
          <cell r="B2087" t="str">
            <v>JA358</v>
          </cell>
          <cell r="C2087" t="str">
            <v>เยื่อไผ่ แขนสั้นขาสั้น เรนโบว์ พีช พื้นชมพู S ตัวโชว์</v>
          </cell>
        </row>
        <row r="2088">
          <cell r="A2088" t="str">
            <v>JA0360-S</v>
          </cell>
          <cell r="B2088" t="str">
            <v>JA360</v>
          </cell>
          <cell r="C2088" t="str">
            <v>เยื่อไผ่ แขนสั้นขาสั้น พื้นฟ้าล้วน S ตัวโชว์</v>
          </cell>
        </row>
        <row r="2089">
          <cell r="A2089" t="str">
            <v>JA0361-S</v>
          </cell>
          <cell r="B2089" t="str">
            <v>JA361</v>
          </cell>
          <cell r="C2089" t="str">
            <v>เยื่อไผ่ แขนสั้นขาสั้น ดอกเหมยลี่ พื้นครีม S ตัวโชว์</v>
          </cell>
        </row>
        <row r="2090">
          <cell r="A2090" t="str">
            <v>JA0363-S</v>
          </cell>
          <cell r="B2090" t="str">
            <v>JA363</v>
          </cell>
          <cell r="C2090" t="str">
            <v>เยื่อไผ่ แขนสั้นขาสั้น พื้นกรม ดอกกุหลาบแดง กล้วยไม้ S ตัวโชว์</v>
          </cell>
        </row>
        <row r="2091">
          <cell r="A2091" t="str">
            <v>JB0025-S</v>
          </cell>
          <cell r="B2091" t="str">
            <v>JB25</v>
          </cell>
          <cell r="C2091" t="str">
            <v>เยื่อไผ่ แขนสั้นขายาว ใบไม้น้ำตาล ขอบแดง S ตัวโชว์</v>
          </cell>
        </row>
        <row r="2092">
          <cell r="A2092" t="str">
            <v>JB0103-M</v>
          </cell>
          <cell r="B2092" t="str">
            <v>JB103</v>
          </cell>
          <cell r="C2092" t="str">
            <v>เยื่อไผ่ แขนสั้นขายาว ดอกทิวลิป พื้นฟ้า M ตัวโชว์</v>
          </cell>
        </row>
        <row r="2093">
          <cell r="A2093" t="str">
            <v>JB0117-M</v>
          </cell>
          <cell r="B2093" t="str">
            <v>JB117</v>
          </cell>
          <cell r="C2093" t="str">
            <v>เยื่อไผ่ แขนสั้นขายาว ลายทางพาสเทล M ตัวโชว์</v>
          </cell>
        </row>
        <row r="2094">
          <cell r="A2094" t="str">
            <v>JB0119-M</v>
          </cell>
          <cell r="B2094" t="str">
            <v>JB119</v>
          </cell>
          <cell r="C2094" t="str">
            <v>เยื่อไผ่ แขนสั้นขายาว ตารางดำขาว M ตัวโชว์</v>
          </cell>
        </row>
        <row r="2095">
          <cell r="A2095" t="str">
            <v>JB0121-S</v>
          </cell>
          <cell r="B2095" t="str">
            <v>JB121</v>
          </cell>
          <cell r="C2095" t="str">
            <v>เยื่อไผ่ แขนสั้นขายาว TropicaL ลายจุด S ตัวโชว์</v>
          </cell>
        </row>
        <row r="2096">
          <cell r="A2096" t="str">
            <v>JB0157-M</v>
          </cell>
          <cell r="B2096" t="str">
            <v>JB157</v>
          </cell>
          <cell r="C2096" t="str">
            <v>เยื่อไผ่ แขนสั้นขายาว ลายจุด คอบัว M ตัวโชว์</v>
          </cell>
        </row>
        <row r="2097">
          <cell r="A2097" t="str">
            <v>JB0175-L</v>
          </cell>
          <cell r="B2097" t="str">
            <v>JB175</v>
          </cell>
          <cell r="C2097" t="str">
            <v>เยื่อไผ่ แขนสั้นขายาว เสื้อญี่ปุ่น ดอกชบา L ตัวโชว์</v>
          </cell>
        </row>
        <row r="2098">
          <cell r="A2098" t="str">
            <v>JB0236-S</v>
          </cell>
          <cell r="B2098" t="str">
            <v>JB236</v>
          </cell>
          <cell r="C2098" t="str">
            <v>เยื่อไผ่ แขนสั้นขายาว ดอกไม้ดำ พื้นเขียว S ตัวโชว์</v>
          </cell>
        </row>
        <row r="2099">
          <cell r="A2099" t="str">
            <v>JB0248-S</v>
          </cell>
          <cell r="B2099" t="str">
            <v>JB248</v>
          </cell>
          <cell r="C2099" t="str">
            <v>เยื่อไผ่ แขนสั้นขายาว ดอกไม้เล็ก พื้นชมพู คอกลม S ตัวโชว์</v>
          </cell>
        </row>
        <row r="2100">
          <cell r="A2100" t="str">
            <v>JB0284-S</v>
          </cell>
          <cell r="B2100" t="str">
            <v>JB284</v>
          </cell>
          <cell r="C2100" t="str">
            <v>เยื่อไผ่ แขนสั้นขายาว พิทบูล พื้นดำ S ตัวโชว์</v>
          </cell>
        </row>
        <row r="2101">
          <cell r="A2101" t="str">
            <v>JB0315-S</v>
          </cell>
          <cell r="B2101" t="str">
            <v>JB315</v>
          </cell>
          <cell r="C2101" t="str">
            <v>เยื่อไผ่ แขนสั้นขายาว Daisy pink S ตัวโชว์</v>
          </cell>
        </row>
        <row r="2102">
          <cell r="A2102" t="str">
            <v>JB0316-M</v>
          </cell>
          <cell r="B2102" t="str">
            <v>JB316</v>
          </cell>
          <cell r="C2102" t="str">
            <v>เยื่อไผ่ แขนสั้นขายาว ใบบัว พื้นน้ำตาล M ตัวโชว์</v>
          </cell>
        </row>
        <row r="2103">
          <cell r="A2103" t="str">
            <v>JB0320-L</v>
          </cell>
          <cell r="B2103" t="str">
            <v>JB320</v>
          </cell>
          <cell r="C2103" t="str">
            <v>เยื่อไผ่ แขนสั้นขายาว Jamaican Cherry พื้นชมพู L ตัวโชว์</v>
          </cell>
        </row>
        <row r="2104">
          <cell r="A2104" t="str">
            <v>JB0321-S</v>
          </cell>
          <cell r="B2104" t="str">
            <v>JB321</v>
          </cell>
          <cell r="C2104" t="str">
            <v>เยื่อไผ่ แขนสั้นขายาว ดอกชบา พื้นเขียว S ตัวโชว์</v>
          </cell>
        </row>
        <row r="2105">
          <cell r="A2105" t="str">
            <v>JB0323-S</v>
          </cell>
          <cell r="B2105" t="str">
            <v>JB323</v>
          </cell>
          <cell r="C2105" t="str">
            <v>เยื่อไผ่ แขนสั้นขายาว Jungle Cruise ดำ S ตัวโชว์</v>
          </cell>
        </row>
        <row r="2106">
          <cell r="A2106" t="str">
            <v>JB0329-S</v>
          </cell>
          <cell r="B2106" t="str">
            <v>JB329</v>
          </cell>
          <cell r="C2106" t="str">
            <v>เยื่อไผ่ แขนสั้นขายาว พื้นดำ คอปกขาว กระดุมมุก S ตัวโชว์</v>
          </cell>
        </row>
        <row r="2107">
          <cell r="A2107" t="str">
            <v>JB0345-S</v>
          </cell>
          <cell r="B2107" t="str">
            <v>JB345</v>
          </cell>
          <cell r="C2107" t="str">
            <v>เยื่อไผ่ แขนสั้นขายาว พื้นขาว ลายวาดรูป S ตัวโชว์</v>
          </cell>
        </row>
        <row r="2108">
          <cell r="A2108" t="str">
            <v>JB0347-S</v>
          </cell>
          <cell r="B2108" t="str">
            <v>JB347</v>
          </cell>
          <cell r="C2108" t="str">
            <v>เยื่อไผ่ แขนสั้นขายาว ลายทางม่วง S ตัวโชว์</v>
          </cell>
        </row>
        <row r="2109">
          <cell r="A2109" t="str">
            <v>JB0353-M</v>
          </cell>
          <cell r="B2109" t="str">
            <v>JB353</v>
          </cell>
          <cell r="C2109" t="str">
            <v>เยื่อไผ่ แขนสั้นขายาว Blue Flower M ตัวโชว์</v>
          </cell>
        </row>
        <row r="2110">
          <cell r="A2110" t="str">
            <v>JB0362-M</v>
          </cell>
          <cell r="B2110" t="str">
            <v>JB362</v>
          </cell>
          <cell r="C2110" t="str">
            <v>เยื่อไผ่ แขนสั้นขายาว ศิลปะ พื้นครีม M ตัวโชว์</v>
          </cell>
        </row>
        <row r="2111">
          <cell r="A2111" t="str">
            <v>JC0009-L</v>
          </cell>
          <cell r="B2111" t="str">
            <v>JC9</v>
          </cell>
          <cell r="C2111" t="str">
            <v>เยื่อไผ่ แขนยาวขายาว นกบราว L ตัวโชว์</v>
          </cell>
        </row>
        <row r="2112">
          <cell r="A2112" t="str">
            <v>JC0014-M</v>
          </cell>
          <cell r="B2112" t="str">
            <v>JC14</v>
          </cell>
          <cell r="C2112" t="str">
            <v>เยื่อไผ่ แขนยาวขายาว ลายทางเทา น้องหมา M ตัวโชว์</v>
          </cell>
        </row>
        <row r="2113">
          <cell r="A2113" t="str">
            <v>JC0035-S</v>
          </cell>
          <cell r="B2113" t="str">
            <v>JC35</v>
          </cell>
          <cell r="C2113" t="str">
            <v>เยื่อไผ่ แขนยาวขายาว ขาว ดอกไม้เล็ก S ตัวโชว์</v>
          </cell>
        </row>
        <row r="2114">
          <cell r="A2114" t="str">
            <v>JC0075-S</v>
          </cell>
          <cell r="B2114" t="str">
            <v>JC75</v>
          </cell>
          <cell r="C2114" t="str">
            <v>เยื่อไผ่ แขนยาวขายาว เหลืองลายดอก S ตัวโชว์</v>
          </cell>
        </row>
        <row r="2115">
          <cell r="A2115" t="str">
            <v>JC0118-S</v>
          </cell>
          <cell r="B2115" t="str">
            <v>JC118</v>
          </cell>
          <cell r="C2115" t="str">
            <v>เยื่อไผ่ แขนยาวขายาว ลายทางเขียว S ตัวโชว์</v>
          </cell>
        </row>
        <row r="2116">
          <cell r="A2116" t="str">
            <v>JC0121-S</v>
          </cell>
          <cell r="B2116" t="str">
            <v>JC121</v>
          </cell>
          <cell r="C2116" t="str">
            <v>เยื่อไผ่ แขนยาวขายาว ขาว ลายจุด TropicaL S ตัวโชว์</v>
          </cell>
        </row>
        <row r="2117">
          <cell r="A2117" t="str">
            <v>JC0157-L</v>
          </cell>
          <cell r="B2117" t="str">
            <v>JC157</v>
          </cell>
          <cell r="C2117" t="str">
            <v>เยื่อไผ่ แขนยาวขายาว คอบัว ลายจุด  L ตัวโชว์</v>
          </cell>
        </row>
        <row r="2118">
          <cell r="A2118" t="str">
            <v>JC0164-S</v>
          </cell>
          <cell r="B2118" t="str">
            <v>JC164</v>
          </cell>
          <cell r="C2118" t="str">
            <v>เยื่อไผ่ แขนยาวขายาว เสื้อญี่ปุ่น ไอติมแตงโม พื้นขาว S ตัวโชว์</v>
          </cell>
        </row>
        <row r="2119">
          <cell r="A2119" t="str">
            <v>JC0179-M</v>
          </cell>
          <cell r="B2119" t="str">
            <v>JC179</v>
          </cell>
          <cell r="C2119" t="str">
            <v>เยื่อไผ่ แขนยาวขายาว จุดครีม พื้นโอรส M ตัวโชว์</v>
          </cell>
        </row>
        <row r="2120">
          <cell r="A2120" t="str">
            <v>JC0191-S</v>
          </cell>
          <cell r="B2120" t="str">
            <v>JC191</v>
          </cell>
          <cell r="C2120" t="str">
            <v>เยื่อไผ่ แขนยาวขายาว&amp;nbsp;โบตั๋น โอรสพื้นเขียว S ตัวโชว์</v>
          </cell>
        </row>
        <row r="2121">
          <cell r="A2121" t="str">
            <v>JC0228-S</v>
          </cell>
          <cell r="B2121" t="str">
            <v>JC228</v>
          </cell>
          <cell r="C2121" t="str">
            <v>เยื่อไผ่ แขนยาวขายาว จุดขาว พื้นเขียว S ตัวโชว์</v>
          </cell>
        </row>
        <row r="2122">
          <cell r="A2122" t="str">
            <v>JC0248-S</v>
          </cell>
          <cell r="B2122" t="str">
            <v>JC248</v>
          </cell>
          <cell r="C2122" t="str">
            <v>เยื่อไผ่ แขนยาวขายาว ดอกไม้เล็ก พื้นชมพู คอกลม S ตัวโชว์</v>
          </cell>
        </row>
        <row r="2123">
          <cell r="A2123" t="str">
            <v>JC0250-S</v>
          </cell>
          <cell r="B2123" t="str">
            <v>JC250</v>
          </cell>
          <cell r="C2123" t="str">
            <v>เยื่อไผ่ แขนยาวขายาว คอวี ใบไม้น้ำตาล พื้นแดง S ตัวโชว์</v>
          </cell>
        </row>
        <row r="2124">
          <cell r="A2124" t="str">
            <v>JC0284-S</v>
          </cell>
          <cell r="B2124" t="str">
            <v>JC284</v>
          </cell>
          <cell r="C2124" t="str">
            <v>เยื่อไผ่ แขนยาวขายาว พิทบูล พื้นดำ S ตัวโชว์</v>
          </cell>
        </row>
        <row r="2125">
          <cell r="A2125" t="str">
            <v>JC0285-S</v>
          </cell>
          <cell r="B2125" t="str">
            <v>JC285</v>
          </cell>
          <cell r="C2125" t="str">
            <v>เยื่อไผ่ แขนยาวขายาว ลายเฮนน่า S ตัวโชว์</v>
          </cell>
        </row>
        <row r="2126">
          <cell r="A2126" t="str">
            <v>JC0311-S</v>
          </cell>
          <cell r="B2126" t="str">
            <v>JC311</v>
          </cell>
          <cell r="C2126" t="str">
            <v>เยื่อไผ่ แขนยาวขายาว ลายทางพลาสเทล ฟ้า S ตัวโชว์</v>
          </cell>
        </row>
        <row r="2127">
          <cell r="A2127" t="str">
            <v>JC0313-S</v>
          </cell>
          <cell r="B2127" t="str">
            <v>JC313</v>
          </cell>
          <cell r="C2127" t="str">
            <v>เยื่อไผ่ แขนยาวขายาว แพนด้า เหลือง S ตัวโชว์</v>
          </cell>
        </row>
        <row r="2128">
          <cell r="A2128" t="str">
            <v>JC0317-S</v>
          </cell>
          <cell r="B2128" t="str">
            <v>JC317</v>
          </cell>
          <cell r="C2128" t="str">
            <v>เยื่อไผ่ แขนยาวขายาว ลายผ้าทวีต ขาวดำ S ตัวโชว์</v>
          </cell>
        </row>
        <row r="2129">
          <cell r="A2129" t="str">
            <v>JC0320-S</v>
          </cell>
          <cell r="B2129" t="str">
            <v>JC320</v>
          </cell>
          <cell r="C2129" t="str">
            <v>เยื่อไผ่ แขนยาวขายาว Jamaican Cherry พื้นชมพู S ตัวโชว์</v>
          </cell>
        </row>
        <row r="2130">
          <cell r="A2130" t="str">
            <v>JC0325-S</v>
          </cell>
          <cell r="B2130" t="str">
            <v>JC325</v>
          </cell>
          <cell r="C2130" t="str">
            <v>เยื่อไผ่ แขนยาวขายาว ดอกไม้สีฟ้า สีเหลือง พื้นขาว S ตัวโชว์</v>
          </cell>
        </row>
        <row r="2131">
          <cell r="A2131" t="str">
            <v>JC0337-S</v>
          </cell>
          <cell r="B2131" t="str">
            <v>JC337</v>
          </cell>
          <cell r="C2131" t="str">
            <v>เยื่อไผ่ แขนยาวขายาว แมวฟ้า กุ๊นขอบ S ตัวโชว์</v>
          </cell>
        </row>
        <row r="2132">
          <cell r="A2132" t="str">
            <v>JC0357-S</v>
          </cell>
          <cell r="B2132" t="str">
            <v>JC357</v>
          </cell>
          <cell r="C2132" t="str">
            <v>เยื่อไผ่ แขนยาวขายาว ผีเสื้อ พื้เหลืองอ่อน S ตัวโชว์</v>
          </cell>
        </row>
        <row r="2133">
          <cell r="A2133" t="str">
            <v>JC0361-S</v>
          </cell>
          <cell r="B2133" t="str">
            <v>JC361</v>
          </cell>
          <cell r="C2133" t="str">
            <v>เยื่อไผ่ แขนยาวขายาว ดอกเหมยลี่ พื้นครีม S ตัวโชว์</v>
          </cell>
        </row>
        <row r="2134">
          <cell r="A2134" t="str">
            <v>JD0030-S</v>
          </cell>
          <cell r="B2134" t="str">
            <v>JD30</v>
          </cell>
          <cell r="C2134" t="str">
            <v>เยื่อไผ่ เดรสแขนยาว ลายทางเขียว S ตัวโชว์</v>
          </cell>
        </row>
        <row r="2135">
          <cell r="A2135" t="str">
            <v>JD0191-M</v>
          </cell>
          <cell r="B2135" t="str">
            <v>JD191</v>
          </cell>
          <cell r="C2135" t="str">
            <v>เยื่อไผ่ เดรสแขนสั้น โบตั๋น โอรสพื้นเขียว M ตัวโชว์</v>
          </cell>
        </row>
        <row r="2136">
          <cell r="A2136" t="str">
            <v>JD0205-M</v>
          </cell>
          <cell r="B2136" t="str">
            <v>JD205</v>
          </cell>
          <cell r="C2136" t="str">
            <v>เยื่อไผ่ เดรส แขนสั้น Wall Flower M ตัวโชว์</v>
          </cell>
        </row>
        <row r="2137">
          <cell r="A2137" t="str">
            <v>JD0210-M</v>
          </cell>
          <cell r="B2137" t="str">
            <v>JD210</v>
          </cell>
          <cell r="C2137" t="str">
            <v>เยื่อไผ่ เดรส ดอกไม้ขาว พื้นฟ้า M ตัวโชว์</v>
          </cell>
        </row>
        <row r="2138">
          <cell r="A2138" t="str">
            <v>JD0220-M</v>
          </cell>
          <cell r="B2138" t="str">
            <v>JD220</v>
          </cell>
          <cell r="C2138" t="str">
            <v>เยื่อไผ่ เดรส แขนสั้น ดอกไม้จิ๋ว พื้นครีม M ตัวโชว์</v>
          </cell>
        </row>
        <row r="2139">
          <cell r="A2139" t="str">
            <v>JG0013-S</v>
          </cell>
          <cell r="B2139" t="str">
            <v>JG13</v>
          </cell>
          <cell r="C2139" t="str">
            <v>เยื่อไผ่ ห้าส่วน แมว ฟ้า S ตัวโชว์</v>
          </cell>
        </row>
        <row r="2140">
          <cell r="A2140" t="str">
            <v>JG0020-S</v>
          </cell>
          <cell r="B2140" t="str">
            <v>JG20</v>
          </cell>
          <cell r="C2140" t="str">
            <v>เยื่อไผ่ แขนสั้นขายาว ใบไม้เขียว NEW S Oversize ตัวโชว์</v>
          </cell>
        </row>
        <row r="2141">
          <cell r="A2141" t="str">
            <v>JG0023-S</v>
          </cell>
          <cell r="B2141" t="str">
            <v>JG23</v>
          </cell>
          <cell r="C2141" t="str">
            <v>เยื่อไผ่ แขนสั้นขายาว TropicaL ใบไม้เหลือง OverSize S ตัวโชว์</v>
          </cell>
        </row>
        <row r="2142">
          <cell r="A2142" t="str">
            <v>JG0057-S</v>
          </cell>
          <cell r="B2142" t="str">
            <v>JG57</v>
          </cell>
          <cell r="C2142" t="str">
            <v>เยื่อไผ่ ห้าส่วน ดอกไม้ พื้นครีม Oversize S ตัวโชว์</v>
          </cell>
        </row>
        <row r="2143">
          <cell r="A2143" t="str">
            <v>JG0108-S</v>
          </cell>
          <cell r="B2143" t="str">
            <v>JG108</v>
          </cell>
          <cell r="C2143" t="str">
            <v>เยื่อไผ่ ห้าส่วน พีชใหญ่ พื้นชมพู S OverSize ตัวโชว์</v>
          </cell>
        </row>
        <row r="2144">
          <cell r="A2144" t="str">
            <v>JG0196-M</v>
          </cell>
          <cell r="B2144" t="str">
            <v>JG196</v>
          </cell>
          <cell r="C2144" t="str">
            <v>เยื่อไผ่ แขนสั้นขายาว ใบไม้น้ำตาล พื้นแดง oversize M ตัวโชว์</v>
          </cell>
        </row>
        <row r="2145">
          <cell r="A2145" t="str">
            <v>JG0257-S</v>
          </cell>
          <cell r="B2145" t="str">
            <v>JG257</v>
          </cell>
          <cell r="C2145" t="str">
            <v>เยื่อไผ่ แขนสั้นขายาว Brand new พื้นเขียว S ตัวโชว์</v>
          </cell>
        </row>
        <row r="2146">
          <cell r="A2146" t="str">
            <v>JG0328-S</v>
          </cell>
          <cell r="B2146" t="str">
            <v>JG328</v>
          </cell>
          <cell r="C2146" t="str">
            <v>เยื่อไผ่ ห้าส่วน Cat Party OverSize S ตัวโชว์</v>
          </cell>
        </row>
        <row r="2147">
          <cell r="A2147" t="str">
            <v>JG0336-S</v>
          </cell>
          <cell r="B2147" t="str">
            <v>JG336</v>
          </cell>
          <cell r="C2147" t="str">
            <v>เยื่อไผ่ ห้าส่วน แมวการ์ตูน พื้นฟ้า S ตัวโชว์</v>
          </cell>
        </row>
        <row r="2148">
          <cell r="A2148" t="str">
            <v>JG0341-S</v>
          </cell>
          <cell r="B2148" t="str">
            <v>JG341</v>
          </cell>
          <cell r="C2148" t="str">
            <v>เยื่อไผ่ ห้าส่วน พื้นขาว ดอกไม้เหลือง ผีเสื้อเขียว S ตัวโชว์</v>
          </cell>
        </row>
        <row r="2149">
          <cell r="A2149" t="str">
            <v>JG0343-S</v>
          </cell>
          <cell r="B2149" t="str">
            <v>JG343</v>
          </cell>
          <cell r="C2149" t="str">
            <v>เยื่อไผ่ ห้าส่วน นกยูง พื้นขาวครีม S ตัวโชว์</v>
          </cell>
        </row>
        <row r="2150">
          <cell r="A2150" t="str">
            <v>JH0002-M</v>
          </cell>
          <cell r="B2150" t="str">
            <v>JH2</v>
          </cell>
          <cell r="C2150" t="str">
            <v>ซาติน ไฮเอ็น แขนสั้นขายาว พื้นชมพูอ่อน พู่กัน กระเป๋าจิ้งจอก M (กปก) ตัวโชว์</v>
          </cell>
        </row>
        <row r="2151">
          <cell r="A2151" t="str">
            <v>JH0011-M</v>
          </cell>
          <cell r="B2151" t="str">
            <v>JH11</v>
          </cell>
          <cell r="C2151" t="str">
            <v>ซาติน ไฮเอ็น แขนยาวขายาว Blue Mountain M (กปก)  ตัวโชว์</v>
          </cell>
        </row>
        <row r="2152">
          <cell r="A2152" t="str">
            <v>JH0012-L</v>
          </cell>
          <cell r="B2152" t="str">
            <v>JH12</v>
          </cell>
          <cell r="C2152" t="str">
            <v>ซาติน ไฮเอ็น แขนสั้นขายาว Luxury ขาว น้ำตาล L (กปก)  ตัวโชว์</v>
          </cell>
        </row>
        <row r="2153">
          <cell r="A2153" t="str">
            <v>JH0012-M</v>
          </cell>
          <cell r="B2153" t="str">
            <v>JH12</v>
          </cell>
          <cell r="C2153" t="str">
            <v>ซาติน ไฮเอ็น แขนสั้นขายาว Luxury ขาว น้ำตาล M (กปก)  ตัวโชว์</v>
          </cell>
        </row>
        <row r="2154">
          <cell r="A2154" t="str">
            <v>JH0012-XL</v>
          </cell>
          <cell r="B2154" t="str">
            <v>JH12</v>
          </cell>
          <cell r="C2154" t="str">
            <v>ซาติน ไฮเอ็น แขนสั้นขายาว Luxury ขาว น้ำตาล XL (กปก)  ตัวโชว์</v>
          </cell>
        </row>
        <row r="2155">
          <cell r="A2155" t="str">
            <v>JH0013-M</v>
          </cell>
          <cell r="B2155" t="str">
            <v>JH13</v>
          </cell>
          <cell r="C2155" t="str">
            <v>ซาติน ไฮเอ็น แขนสั้นขายาว พื้นครีมอ่อน ภาพวาดม้า M (กปก) ตัวโชว์</v>
          </cell>
        </row>
        <row r="2156">
          <cell r="A2156" t="str">
            <v>JH0014-M</v>
          </cell>
          <cell r="B2156" t="str">
            <v>JH14</v>
          </cell>
          <cell r="C2156" t="str">
            <v>ซาติน ไฮเอ็น แขนสั้นขายาว หัวใจเล็กระบาย พื้นเขียว M ตัวโชว์</v>
          </cell>
        </row>
        <row r="2157">
          <cell r="A2157" t="str">
            <v>JH0015-M</v>
          </cell>
          <cell r="B2157" t="str">
            <v>JH15</v>
          </cell>
          <cell r="C2157" t="str">
            <v>ซาติน ไฮเอ็น แขนสั้นขาสั้น Baby Tiger สีเหลือง M (กปก)  ตัวโชว์</v>
          </cell>
        </row>
        <row r="2158">
          <cell r="A2158" t="str">
            <v>JH0016-M</v>
          </cell>
          <cell r="B2158" t="str">
            <v>JH16</v>
          </cell>
          <cell r="C2158" t="str">
            <v>ซาติน ไฮเอ็น แขนสั้นขายาว Baby Tiger สีเหลือง M ตัวโชว์</v>
          </cell>
        </row>
        <row r="2159">
          <cell r="A2159" t="str">
            <v>JH0017-M</v>
          </cell>
          <cell r="B2159" t="str">
            <v>JH17</v>
          </cell>
          <cell r="C2159" t="str">
            <v>ซาติน ไฮเอ็น แขนสั้นขายาว ลายทางไม้ไผ่ ปกแพนด้า M (กปก) ตัวโชว์</v>
          </cell>
        </row>
        <row r="2160">
          <cell r="A2160" t="str">
            <v>JH0017-XL</v>
          </cell>
          <cell r="B2160" t="str">
            <v>JH17</v>
          </cell>
          <cell r="C2160" t="str">
            <v>ซาติน ไฮเอ็น แขนสั้นขายาว ลายทางไม้ไผ่ ปกแพนด้า XL (กปก)  ตัวโชว์</v>
          </cell>
        </row>
        <row r="2161">
          <cell r="A2161" t="str">
            <v>JH0021-XL</v>
          </cell>
          <cell r="B2161" t="str">
            <v>JH21</v>
          </cell>
          <cell r="C2161" t="str">
            <v>ซาติน ไฮเอ็น แขนยาวขายาว พื้นขาว หน้าต่างดำ XL  ตัวโชว์</v>
          </cell>
        </row>
        <row r="2162">
          <cell r="A2162" t="str">
            <v>JH0023-L</v>
          </cell>
          <cell r="B2162" t="str">
            <v>JH23</v>
          </cell>
          <cell r="C2162" t="str">
            <v>ซาติน ไฮเอ็น แขนยาวขายาว พื้นชมพูอ่อน พู่กัน กระเป๋าจิ้งจอก L (กปก)  ตัวโชว์</v>
          </cell>
        </row>
        <row r="2163">
          <cell r="A2163" t="str">
            <v>JH0023-M</v>
          </cell>
          <cell r="B2163" t="str">
            <v>JH23</v>
          </cell>
          <cell r="C2163" t="str">
            <v>ซาติน ไฮเอ็น แขนยาวขายาว พื้นชมพูอ่อน พู่กัน กระเป๋าจิ้งจอก M (กปก) ตัวโชว์</v>
          </cell>
        </row>
        <row r="2164">
          <cell r="A2164" t="str">
            <v>JH0024-M</v>
          </cell>
          <cell r="B2164" t="str">
            <v>JH24</v>
          </cell>
          <cell r="C2164" t="str">
            <v>ซาติน ไฮเอ็น เดรส สายเดี่ยว Blue Mountain M  ตัวโชว์</v>
          </cell>
        </row>
        <row r="2165">
          <cell r="A2165" t="str">
            <v>JH0025-L</v>
          </cell>
          <cell r="B2165" t="str">
            <v>JH25</v>
          </cell>
          <cell r="C2165" t="str">
            <v>ซาติน ไฮเอ็น แขนยาวขายาว พื้นครีม ปกขาว L  ตัวโชว์</v>
          </cell>
        </row>
        <row r="2166">
          <cell r="A2166" t="str">
            <v>JH0025-M</v>
          </cell>
          <cell r="B2166" t="str">
            <v>JH25</v>
          </cell>
          <cell r="C2166" t="str">
            <v>ซาติน ไฮเอ็น แขนยาวขายาว พื้นครีม ปกขาว M  ตัวโชว์</v>
          </cell>
        </row>
        <row r="2167">
          <cell r="A2167" t="str">
            <v>JH0026-M</v>
          </cell>
          <cell r="B2167" t="str">
            <v>JH26</v>
          </cell>
          <cell r="C2167" t="str">
            <v>ซาติน ไฮเอ็น แขนยาวขายาว พื้นชมพู ปกกรม M ตัวโชว์</v>
          </cell>
        </row>
        <row r="2168">
          <cell r="A2168" t="str">
            <v>JH0027-L</v>
          </cell>
          <cell r="B2168" t="str">
            <v>JH27</v>
          </cell>
          <cell r="C2168" t="str">
            <v>ซาติน ไฮเอ็น แขนยาวขายาว พื้นเขียว ปกขาว L  ตัวโชว์</v>
          </cell>
        </row>
        <row r="2169">
          <cell r="A2169" t="str">
            <v>JH0027-M</v>
          </cell>
          <cell r="B2169" t="str">
            <v>JH27</v>
          </cell>
          <cell r="C2169" t="str">
            <v>ซาติน ไฮเอ็น แขนยาวขายาว พื้นเขียว ปกขาว M  ตัวโชว์</v>
          </cell>
        </row>
        <row r="2170">
          <cell r="A2170" t="str">
            <v>JH0028-M</v>
          </cell>
          <cell r="B2170" t="str">
            <v>JH28</v>
          </cell>
          <cell r="C2170" t="str">
            <v>ซาติน ไฮเอ็น แขนยาวขายาว พื้นเหลือง ปกขาว M  ตัวโชว์</v>
          </cell>
        </row>
        <row r="2171">
          <cell r="A2171" t="str">
            <v>JH0029-M</v>
          </cell>
          <cell r="B2171" t="str">
            <v>JH29</v>
          </cell>
          <cell r="C2171" t="str">
            <v>ซาติน ไฮเอ็น แขนสั้นขายาว พื้นฟ้า ขอบดำ กระเป๋า V M  ตัวโชว์</v>
          </cell>
        </row>
        <row r="2172">
          <cell r="A2172" t="str">
            <v>JH0029-XL</v>
          </cell>
          <cell r="B2172" t="str">
            <v>JH29</v>
          </cell>
          <cell r="C2172" t="str">
            <v>ซาติน ไฮเอ็น แขนสั้นขายาว พื้นฟ้า ขอบดำ กระเป๋า V XL  ตัวโชว์</v>
          </cell>
        </row>
        <row r="2173">
          <cell r="A2173" t="str">
            <v>JH0031-L</v>
          </cell>
          <cell r="B2173" t="str">
            <v>JH31</v>
          </cell>
          <cell r="C2173" t="str">
            <v>ซาติน ไฮเอ็น แขนยาวขายาว จิ๊กซอว์ ชมพู L ตัวโชว์</v>
          </cell>
        </row>
        <row r="2174">
          <cell r="A2174" t="str">
            <v>JH0032-M</v>
          </cell>
          <cell r="B2174" t="str">
            <v>JH32</v>
          </cell>
          <cell r="C2174" t="str">
            <v>ซาติน ไฮเอ็น เดรสแขนสั้น จิ๊กซอว์ ชมพู M ตัวโชว์</v>
          </cell>
        </row>
        <row r="2175">
          <cell r="A2175" t="str">
            <v>JH0034-L</v>
          </cell>
          <cell r="B2175" t="str">
            <v>JH34</v>
          </cell>
          <cell r="C2175" t="str">
            <v>ซาติน ไฮเอ็น เดรส แขนสั้น Blue Mountain L ตัวโชว์</v>
          </cell>
        </row>
        <row r="2176">
          <cell r="A2176" t="str">
            <v>JH0034-M</v>
          </cell>
          <cell r="B2176" t="str">
            <v>JH34</v>
          </cell>
          <cell r="C2176" t="str">
            <v>ซาติน ไฮเอ็น เดรส แขนสั้น Blue Mountain M ตัวโชว์</v>
          </cell>
        </row>
        <row r="2177">
          <cell r="A2177" t="str">
            <v>JH0034-XL</v>
          </cell>
          <cell r="B2177" t="str">
            <v>JH34</v>
          </cell>
          <cell r="C2177" t="str">
            <v>ซาติน ไฮเอ็น เดรส แขนสั้น Blue Mountain XL ตัวโชว์</v>
          </cell>
        </row>
        <row r="2178">
          <cell r="A2178" t="str">
            <v>JK0005-M</v>
          </cell>
          <cell r="B2178" t="str">
            <v>JK5</v>
          </cell>
          <cell r="C2178" t="str">
            <v>ซาติน เดรส+กางเกง ชมพู นู้ด M ตัวโชว์</v>
          </cell>
        </row>
        <row r="2179">
          <cell r="A2179" t="str">
            <v>JK0006-M</v>
          </cell>
          <cell r="B2179" t="str">
            <v>JK6</v>
          </cell>
          <cell r="C2179" t="str">
            <v>ซาติน เดรส+กางเกง ฟ้าเข้ม M ตัวโชว์</v>
          </cell>
        </row>
        <row r="2180">
          <cell r="A2180" t="str">
            <v>JK0025-M</v>
          </cell>
          <cell r="B2180" t="str">
            <v>JK25</v>
          </cell>
          <cell r="C2180" t="str">
            <v>ซาติน เดรส+กางเกง สีกรมเข้ม M ตัวโชว์</v>
          </cell>
        </row>
        <row r="2181">
          <cell r="A2181" t="str">
            <v>JK0074-M</v>
          </cell>
          <cell r="B2181" t="str">
            <v>JK74</v>
          </cell>
          <cell r="C2181" t="str">
            <v>ซาติน เดรสแขนยาว Fat cat พื้นชมพู M ตัวโชว์</v>
          </cell>
        </row>
        <row r="2182">
          <cell r="A2182" t="str">
            <v>JK0086-M</v>
          </cell>
          <cell r="B2182" t="str">
            <v>JK86</v>
          </cell>
          <cell r="C2182" t="str">
            <v>ซาติน เดรสแขนยาว fashion and girl ส้ม M ตัวโชว์</v>
          </cell>
        </row>
        <row r="2183">
          <cell r="A2183" t="str">
            <v>JK0089-M</v>
          </cell>
          <cell r="B2183" t="str">
            <v>JK89</v>
          </cell>
          <cell r="C2183" t="str">
            <v>ซาติน เดรสแขนยาว love and balloon ชมพู M ตัวโชว์</v>
          </cell>
        </row>
        <row r="2184">
          <cell r="A2184" t="str">
            <v>JK0316-M</v>
          </cell>
          <cell r="B2184" t="str">
            <v>JK316</v>
          </cell>
          <cell r="C2184" t="str">
            <v>ซาติน เดรส แขนสั้น กางเกง ลาเวนเดอร์ M ตัวโชว์</v>
          </cell>
        </row>
        <row r="2185">
          <cell r="A2185" t="str">
            <v>JK0328-M</v>
          </cell>
          <cell r="B2185" t="str">
            <v>JK328</v>
          </cell>
          <cell r="C2185" t="str">
            <v>ซาติน เดรส แขนสั้น อาหมวย พื้นเขียว หมวกแดง  M ตัวโชว์</v>
          </cell>
        </row>
        <row r="2186">
          <cell r="A2186" t="str">
            <v>JK0329-M</v>
          </cell>
          <cell r="B2186" t="str">
            <v>JK329</v>
          </cell>
          <cell r="C2186" t="str">
            <v>ซาติน เดรส แขนสั้น อาหมวย พื้นชมพู หมวกขาว M ตัวโชว์</v>
          </cell>
        </row>
        <row r="2187">
          <cell r="A2187" t="str">
            <v>JK0339-M</v>
          </cell>
          <cell r="B2187" t="str">
            <v>JK339</v>
          </cell>
          <cell r="C2187" t="str">
            <v>ซาติน เดรสแขนสั้น แคสเปอร์ ชมพู M ตัวโชว์</v>
          </cell>
        </row>
        <row r="2188">
          <cell r="A2188" t="str">
            <v>JK0474-M</v>
          </cell>
          <cell r="B2188" t="str">
            <v>JK474</v>
          </cell>
          <cell r="C2188" t="str">
            <v>ซาติน เดรสแขน 5 ส่วน Good Night Dog พื้นชมพู M ตัวโชว์</v>
          </cell>
        </row>
        <row r="2189">
          <cell r="A2189" t="str">
            <v>JK0490-M</v>
          </cell>
          <cell r="B2189" t="str">
            <v>JK490</v>
          </cell>
          <cell r="C2189" t="str">
            <v>ซาติน เดรสแขนยาว พื้นครีม MONTER M ตัวโชว์</v>
          </cell>
        </row>
        <row r="2190">
          <cell r="A2190" t="str">
            <v>JK0493-M</v>
          </cell>
          <cell r="B2190" t="str">
            <v>JK493</v>
          </cell>
          <cell r="C2190" t="str">
            <v>ซาติน เดรสแขนยาว พื้นขาว ลายจุด กระเป๋าลูกไม้ Couple M ตัวโชว์</v>
          </cell>
        </row>
        <row r="2191">
          <cell r="A2191" t="str">
            <v>JK0498-M</v>
          </cell>
          <cell r="B2191" t="str">
            <v>JK498</v>
          </cell>
          <cell r="C2191" t="str">
            <v>ซาติน เดรสแขนสั้น กางเกง ฟรุตตี้ M ตัวโชว์</v>
          </cell>
        </row>
        <row r="2192">
          <cell r="A2192" t="str">
            <v>JL0035-M</v>
          </cell>
          <cell r="B2192" t="str">
            <v>JL35</v>
          </cell>
          <cell r="C2192" t="str">
            <v>ซาติน แขนสั้นขาสี่ส่วน ฟรุตตี้ M (กปก) ตัวโชว์</v>
          </cell>
        </row>
        <row r="2193">
          <cell r="A2193" t="str">
            <v>JM0001-120</v>
          </cell>
          <cell r="B2193" t="str">
            <v>JM1</v>
          </cell>
          <cell r="C2193" t="str">
            <v>ซาติน แขนยาวขายาว Totoro พื้นชมพู เด็ก 120 ตัวโชว์</v>
          </cell>
        </row>
        <row r="2194">
          <cell r="A2194" t="str">
            <v>JM0001-130</v>
          </cell>
          <cell r="B2194" t="str">
            <v>JM1</v>
          </cell>
          <cell r="C2194" t="str">
            <v>ซาติน แขนยาวขายาว Totoro พื้นชมพู เด็ก 130 ตัวโชว์</v>
          </cell>
        </row>
        <row r="2195">
          <cell r="A2195" t="str">
            <v>JM0001-140</v>
          </cell>
          <cell r="B2195" t="str">
            <v>JM1</v>
          </cell>
          <cell r="C2195" t="str">
            <v>ซาติน แขนยาวขายาว Totoro พื้นชมพู เด็ก 140 ตัวโชว์</v>
          </cell>
        </row>
        <row r="2196">
          <cell r="A2196" t="str">
            <v>JM0002-120</v>
          </cell>
          <cell r="B2196" t="str">
            <v>JM2</v>
          </cell>
          <cell r="C2196" t="str">
            <v>ซาติน แขนยาวขายาว Totoro พื้นฟ้า เด็ก 120 ตัวโชว์</v>
          </cell>
        </row>
        <row r="2197">
          <cell r="A2197" t="str">
            <v>JM0002-150</v>
          </cell>
          <cell r="B2197" t="str">
            <v>JM2</v>
          </cell>
          <cell r="C2197" t="str">
            <v>ซาติน แขนยาวขายาว Totoro พื้นฟ้า เด็ก 150 ตัวโชว์</v>
          </cell>
        </row>
        <row r="2198">
          <cell r="A2198" t="str">
            <v>JN0025-M</v>
          </cell>
          <cell r="B2198" t="str">
            <v>JN25</v>
          </cell>
          <cell r="C2198" t="str">
            <v>ซาติน แขนสั้นขาสั้น ชมพูจุด ดอกไม้หัวใจ M ตัวโชว์</v>
          </cell>
        </row>
        <row r="2199">
          <cell r="A2199" t="str">
            <v>JN0064-M</v>
          </cell>
          <cell r="B2199" t="str">
            <v>JN64</v>
          </cell>
          <cell r="C2199" t="str">
            <v>ซาติน แขนสั้นขาสั้น ขาว จุดโอรส ขอบเขียว M ตัวโชว์</v>
          </cell>
        </row>
        <row r="2200">
          <cell r="A2200" t="str">
            <v>JN0128-L</v>
          </cell>
          <cell r="B2200" t="str">
            <v>JN128</v>
          </cell>
          <cell r="C2200" t="str">
            <v>ซาติน แขนสั้นขาสั้น ผีเสื้อดอกไม้ เขียว L ตัวโชว์</v>
          </cell>
        </row>
        <row r="2201">
          <cell r="A2201" t="str">
            <v>JN0142-L</v>
          </cell>
          <cell r="B2201" t="str">
            <v>JN142</v>
          </cell>
          <cell r="C2201" t="str">
            <v>ซาติน แขนสั้นขาสั้น เหลืองขอบเขียวลายหัวใจ L ตัวโชว์</v>
          </cell>
        </row>
        <row r="2202">
          <cell r="A2202" t="str">
            <v>JN0187-M</v>
          </cell>
          <cell r="B2202" t="str">
            <v>JN187</v>
          </cell>
          <cell r="C2202" t="str">
            <v>ซาตินแขนสั้นขาสั้น สีฟ้า ขอบชมพู M ตัวโชว์</v>
          </cell>
        </row>
        <row r="2203">
          <cell r="A2203" t="str">
            <v>JN0213-M</v>
          </cell>
          <cell r="B2203" t="str">
            <v>JN213</v>
          </cell>
          <cell r="C2203" t="str">
            <v>ซาติน แขนสั้นขาสั้น สีโอรสขอบเงินลายหัวใจ M ตัวโชว์</v>
          </cell>
        </row>
        <row r="2204">
          <cell r="A2204" t="str">
            <v>JN0214-L</v>
          </cell>
          <cell r="B2204" t="str">
            <v>JN214</v>
          </cell>
          <cell r="C2204" t="str">
            <v>ซาติน แขนสั้นขาสั้น สีชมพูนู๊ดขอบเงินลายหัวใจ L ตัวโชว์</v>
          </cell>
        </row>
        <row r="2205">
          <cell r="A2205" t="str">
            <v>JN0270-M</v>
          </cell>
          <cell r="B2205" t="str">
            <v>JN270</v>
          </cell>
          <cell r="C2205" t="str">
            <v>ซาติน แขนสั้นขาสั้น จุดขาวใหญ่ พื้นชมพู M ตัวโชว์</v>
          </cell>
        </row>
        <row r="2206">
          <cell r="A2206" t="str">
            <v>JN0271-M</v>
          </cell>
          <cell r="B2206" t="str">
            <v>JN271</v>
          </cell>
          <cell r="C2206" t="str">
            <v>ซาติน แขนสั้นขาสั้น จุดกรมใหญ่ พื้นม่วง M ตัวโชว์</v>
          </cell>
        </row>
        <row r="2207">
          <cell r="A2207" t="str">
            <v>JN0325-M</v>
          </cell>
          <cell r="B2207" t="str">
            <v>JN325</v>
          </cell>
          <cell r="C2207" t="str">
            <v>ซาติน แขนสั้นขาสั้น ดอกไม้ นกยูง M ตัวโชว์</v>
          </cell>
        </row>
        <row r="2208">
          <cell r="A2208" t="str">
            <v>JN0401-M</v>
          </cell>
          <cell r="B2208" t="str">
            <v>JN401</v>
          </cell>
          <cell r="C2208" t="str">
            <v>ซาติน แขนสั้นขาสั้น พื้นขาว จุดชมพูอ่อน SLEEP M ตัวโชว์</v>
          </cell>
        </row>
        <row r="2209">
          <cell r="A2209" t="str">
            <v>JN0429-M</v>
          </cell>
          <cell r="B2209" t="str">
            <v>JN429</v>
          </cell>
          <cell r="C2209" t="str">
            <v>ซาติน แขนสั้นขาสั้น ลายทาง แมว พื้นเทา M ตัวโชว์</v>
          </cell>
        </row>
        <row r="2210">
          <cell r="A2210" t="str">
            <v>JN0430-M</v>
          </cell>
          <cell r="B2210" t="str">
            <v>JN430</v>
          </cell>
          <cell r="C2210" t="str">
            <v>ซาติน แขนสั้นขาสั้น ลายทาง หมา พื้นดำ M ตัวโชว์</v>
          </cell>
        </row>
        <row r="2211">
          <cell r="A2211" t="str">
            <v>JN0501-M</v>
          </cell>
          <cell r="B2211" t="str">
            <v>JN501</v>
          </cell>
          <cell r="C2211" t="str">
            <v>ซาติน แขนสั้นขาสั้น Good Luck น้องหมีชมพู M ตัวโชว์</v>
          </cell>
        </row>
        <row r="2212">
          <cell r="A2212" t="str">
            <v>JN0519-XL</v>
          </cell>
          <cell r="B2212" t="str">
            <v>JN519</v>
          </cell>
          <cell r="C2212" t="str">
            <v>ซิลค์แจ็คการ์ด แขนสั้นขาสั้น ผีเสื้อ พาสเทล พื้นขาว XL ตัวโชว์</v>
          </cell>
        </row>
        <row r="2213">
          <cell r="A2213" t="str">
            <v>JN0532-M</v>
          </cell>
          <cell r="B2213" t="str">
            <v>JN532</v>
          </cell>
          <cell r="C2213" t="str">
            <v>ซาติน แขนสั้นขาสั้น มะหมา พื้นฟ้า M (กปก) ตัวโชว์</v>
          </cell>
        </row>
        <row r="2214">
          <cell r="A2214" t="str">
            <v>JN0540-S</v>
          </cell>
          <cell r="B2214" t="str">
            <v>JN540</v>
          </cell>
          <cell r="C2214" t="str">
            <v>ซาติน แขนสั้นขาสั้น Sweet Green S ตัวโชว์</v>
          </cell>
        </row>
        <row r="2215">
          <cell r="A2215" t="str">
            <v>JN0541-M</v>
          </cell>
          <cell r="B2215" t="str">
            <v>JN541</v>
          </cell>
          <cell r="C2215" t="str">
            <v>ซาติน แขนสั้นขาสั้น ใบไม้ชมพู ปกม่วง M ตัวโชว์</v>
          </cell>
        </row>
        <row r="2216">
          <cell r="A2216" t="str">
            <v>JN0543-S</v>
          </cell>
          <cell r="B2216" t="str">
            <v>JN543</v>
          </cell>
          <cell r="C2216" t="str">
            <v>ซาติน แขนสั้นขาสั้น Sweet Green ลูกไม้ S ตัวโชว์</v>
          </cell>
        </row>
        <row r="2217">
          <cell r="A2217" t="str">
            <v>JN0568-M</v>
          </cell>
          <cell r="B2217" t="str">
            <v>JN568</v>
          </cell>
          <cell r="C2217" t="str">
            <v>ซาติน แขนสั้นขาสั้น อาหมวย พื้นชมพู หมวกขาว M (กปก) ตัวโชว์</v>
          </cell>
        </row>
        <row r="2218">
          <cell r="A2218" t="str">
            <v>JN0569-M</v>
          </cell>
          <cell r="B2218" t="str">
            <v>JN569</v>
          </cell>
          <cell r="C2218" t="str">
            <v>ซาติน แขนสั้นขาสั้น อาหมวย พื้นเขียว หมวกขาว M (กปก) ตัวโชว์</v>
          </cell>
        </row>
        <row r="2219">
          <cell r="A2219" t="str">
            <v>JN0570-M</v>
          </cell>
          <cell r="B2219" t="str">
            <v>JN570</v>
          </cell>
          <cell r="C2219" t="str">
            <v>ซาติน แขนสั้นขาสั้น อาหมวย พื้นชมพู หมวกแดง  M (กปก) ตัวโชว์</v>
          </cell>
        </row>
        <row r="2220">
          <cell r="A2220" t="str">
            <v>JN0572-S</v>
          </cell>
          <cell r="B2220" t="str">
            <v>JN572</v>
          </cell>
          <cell r="C2220" t="str">
            <v>ซาติน แขนสั้นขาสั้น ลายเสือ ชมพู ลูกไม้ S ตัวโชว์</v>
          </cell>
        </row>
        <row r="2221">
          <cell r="A2221" t="str">
            <v>JN0577-S</v>
          </cell>
          <cell r="B2221" t="str">
            <v>JN577</v>
          </cell>
          <cell r="C2221" t="str">
            <v>ซาติน แขนสั้นขาสั้น Lime พื้นฟ้าอ่อน S ตัวโชว์</v>
          </cell>
        </row>
        <row r="2222">
          <cell r="A2222" t="str">
            <v>JN0578-S</v>
          </cell>
          <cell r="B2222" t="str">
            <v>JN578</v>
          </cell>
          <cell r="C2222" t="str">
            <v>ซาติน แขนสั้นขาสั้น ชมพูดำเล็ก พื้นขาว Dreamy S ตัวโชว์</v>
          </cell>
        </row>
        <row r="2223">
          <cell r="A2223" t="str">
            <v>JN0581-M</v>
          </cell>
          <cell r="B2223" t="str">
            <v>JN581</v>
          </cell>
          <cell r="C2223" t="str">
            <v>ซาติน แขนสั้นขาสั้น โบว์ดำคู่ ขอบดำ พื้นครีม M ตัวโชว์</v>
          </cell>
        </row>
        <row r="2224">
          <cell r="A2224" t="str">
            <v>JN0582-M</v>
          </cell>
          <cell r="B2224" t="str">
            <v>JN582</v>
          </cell>
          <cell r="C2224" t="str">
            <v>ซาติน แขนสั้นขาสั้น โบว์ชมพูคู่ ขอบชมพู พื้นขาว M ตัวโชว์</v>
          </cell>
        </row>
        <row r="2225">
          <cell r="A2225" t="str">
            <v>JN0583-M</v>
          </cell>
          <cell r="B2225" t="str">
            <v>JN583</v>
          </cell>
          <cell r="C2225" t="str">
            <v>ซาติน แขนสั้นขาสั้น โบว์ขาวคู่ ขอบขาว พื้นดำ M ตัวโชว์</v>
          </cell>
        </row>
        <row r="2226">
          <cell r="A2226" t="str">
            <v>JN0632-M</v>
          </cell>
          <cell r="B2226" t="str">
            <v>JN632</v>
          </cell>
          <cell r="C2226" t="str">
            <v>ซาติน แขนสั้นขาสั้น คอวี พื้นครีม ขอบดำ M ตัวโชว์</v>
          </cell>
        </row>
        <row r="2227">
          <cell r="A2227" t="str">
            <v>JN0638-M</v>
          </cell>
          <cell r="B2227" t="str">
            <v>JN638</v>
          </cell>
          <cell r="C2227" t="str">
            <v>ซาติน แขนสั้นขาสั้น เรนโบว์ M ตัวโชว์</v>
          </cell>
        </row>
        <row r="2228">
          <cell r="A2228" t="str">
            <v>JN0643-M</v>
          </cell>
          <cell r="B2228" t="str">
            <v>JN643</v>
          </cell>
          <cell r="C2228" t="str">
            <v>ซาติน แขนสั้นขาสั้น Lacy Cat พื้นชมพู M ตัวโชว์</v>
          </cell>
        </row>
        <row r="2229">
          <cell r="A2229" t="str">
            <v>JN0648-S</v>
          </cell>
          <cell r="B2229" t="str">
            <v>JN648</v>
          </cell>
          <cell r="C2229" t="str">
            <v>ซาติน แขนสั้นขาสั้น Happy Time Cat ชมพู S (กปก) ตัวโชว์</v>
          </cell>
        </row>
        <row r="2230">
          <cell r="A2230" t="str">
            <v>JN0650-S</v>
          </cell>
          <cell r="B2230" t="str">
            <v>JN650</v>
          </cell>
          <cell r="C2230" t="str">
            <v>ซาติน แขนสั้นขาสั้น น้องเหมียว ฟ้าเขียว ระบาย S ตัวโชว์</v>
          </cell>
        </row>
        <row r="2231">
          <cell r="A2231" t="str">
            <v>JN0663-L</v>
          </cell>
          <cell r="B2231" t="str">
            <v>JN663</v>
          </cell>
          <cell r="C2231" t="str">
            <v>ซาติน แขนสั้นขาสั้น Black Rose L ตัวโชว์</v>
          </cell>
        </row>
        <row r="2232">
          <cell r="A2232" t="str">
            <v>JN0665-S</v>
          </cell>
          <cell r="B2232" t="str">
            <v>JN665</v>
          </cell>
          <cell r="C2232" t="str">
            <v>ซาติน แขนสั้นขาสั้น เสือเขียว พื้นครีม S ตัวโชว์</v>
          </cell>
        </row>
        <row r="2233">
          <cell r="A2233" t="str">
            <v>JN0667-M</v>
          </cell>
          <cell r="B2233" t="str">
            <v>JN667</v>
          </cell>
          <cell r="C2233" t="str">
            <v>ซาติน แขนสั้นขาสั้น art พื้นส้ม M ตัวโชว์</v>
          </cell>
        </row>
        <row r="2234">
          <cell r="A2234" t="str">
            <v>JN0677-M</v>
          </cell>
          <cell r="B2234" t="str">
            <v>JN677</v>
          </cell>
          <cell r="C2234" t="str">
            <v>ซาติน แขนสั้นขาสั้น Golden Leaf พื้นกรม M ตัวโชว์</v>
          </cell>
        </row>
        <row r="2235">
          <cell r="A2235" t="str">
            <v>JN0681-M</v>
          </cell>
          <cell r="B2235" t="str">
            <v>JN681</v>
          </cell>
          <cell r="C2235" t="str">
            <v>ซาติน แขนสั้นขาสั้น ตาราง หมี ชมพู M (กปก) ตัวโชว์</v>
          </cell>
        </row>
        <row r="2236">
          <cell r="A2236" t="str">
            <v>JN0698-M</v>
          </cell>
          <cell r="B2236" t="str">
            <v>JN698</v>
          </cell>
          <cell r="C2236" t="str">
            <v>ซาติน แขนสั้นขาสั้น ชิโนริ ชมพู กระเป๋าหมี M (กปก) ตัวโชว์</v>
          </cell>
        </row>
        <row r="2237">
          <cell r="A2237" t="str">
            <v>JN0699-M</v>
          </cell>
          <cell r="B2237" t="str">
            <v>JN699</v>
          </cell>
          <cell r="C2237" t="str">
            <v>ซาติน แขนสั้นขาสั้น ชิโนริ ดำ กระเป๋าหมี M (กปก) ตัวโชว์</v>
          </cell>
        </row>
        <row r="2238">
          <cell r="A2238" t="str">
            <v>JN0702-M</v>
          </cell>
          <cell r="B2238" t="str">
            <v>JN702</v>
          </cell>
          <cell r="C2238" t="str">
            <v>ซาติน แขนสั้นขาสั้น น้องหมา จิ๊กซอว์ ฟ้า M ตัวโชว์</v>
          </cell>
        </row>
        <row r="2239">
          <cell r="A2239" t="str">
            <v>JN0717-L</v>
          </cell>
          <cell r="B2239" t="str">
            <v>JN717</v>
          </cell>
          <cell r="C2239" t="str">
            <v>ซาติน แขนสั้นขาสั้น Lovely Cat พื้นชมพู L (กปก) ตัวโชว์</v>
          </cell>
        </row>
        <row r="2240">
          <cell r="A2240" t="str">
            <v>JN0718-M</v>
          </cell>
          <cell r="B2240" t="str">
            <v>JN718</v>
          </cell>
          <cell r="C2240" t="str">
            <v>ซาติน แขนสั้นขาสั้น Lovely Cat พื้นขาว M (กปก) ตัวโชว์</v>
          </cell>
        </row>
        <row r="2241">
          <cell r="A2241" t="str">
            <v>JN0742-S</v>
          </cell>
          <cell r="B2241" t="str">
            <v>JN742</v>
          </cell>
          <cell r="C2241" t="str">
            <v>ซาติน แขนสั้นขาสั้น พื้นม่วงล้วน ขอบขาว S ตัวโชว์</v>
          </cell>
        </row>
        <row r="2242">
          <cell r="A2242" t="str">
            <v>JN0762-L</v>
          </cell>
          <cell r="B2242" t="str">
            <v>JN762</v>
          </cell>
          <cell r="C2242" t="str">
            <v>ซาติน แขนสั้นขาสั้น ลูกพีช คอระบาย L ตัวโชว์</v>
          </cell>
        </row>
        <row r="2243">
          <cell r="A2243" t="str">
            <v>JN0763-M</v>
          </cell>
          <cell r="B2243" t="str">
            <v>JN763</v>
          </cell>
          <cell r="C2243" t="str">
            <v>ซาติน แขนสั้นขาสั้น ก้อนเมฆ ลายพราง พื้นฟ้า M ตัวโชว์</v>
          </cell>
        </row>
        <row r="2244">
          <cell r="A2244" t="str">
            <v>JN0765-M</v>
          </cell>
          <cell r="B2244" t="str">
            <v>JN765</v>
          </cell>
          <cell r="C2244" t="str">
            <v>ซาติน แขนสั้นขาสั้น โซ่ พื้นดำ M ตัวโชว์</v>
          </cell>
        </row>
        <row r="2245">
          <cell r="A2245" t="str">
            <v>JN0766-M</v>
          </cell>
          <cell r="B2245" t="str">
            <v>JN766</v>
          </cell>
          <cell r="C2245" t="str">
            <v>ซาติน แขนสั้นขาสั้น Pinky Rose พื้นครีม M ตัวโชว์</v>
          </cell>
        </row>
        <row r="2246">
          <cell r="A2246" t="str">
            <v>JN0768-M</v>
          </cell>
          <cell r="B2246" t="str">
            <v>JN768</v>
          </cell>
          <cell r="C2246" t="str">
            <v>ซาติน แขนสั้นขาสั้น ใบไม้ เส้นฟ้า M ตัวโชว์</v>
          </cell>
        </row>
        <row r="2247">
          <cell r="A2247" t="str">
            <v>JN0776-M</v>
          </cell>
          <cell r="B2247" t="str">
            <v>JN776</v>
          </cell>
          <cell r="C2247" t="str">
            <v>ซาติน แขนสั้นขาสั้น Cloundy Moon M ตัวโชว์</v>
          </cell>
        </row>
        <row r="2248">
          <cell r="A2248" t="str">
            <v>JN0782-M</v>
          </cell>
          <cell r="B2248" t="str">
            <v>JN782</v>
          </cell>
          <cell r="C2248" t="str">
            <v>ซาติน แขนสั้นขาสั้น Wild Animal พื้นเขียว M ตัวโชว์</v>
          </cell>
        </row>
        <row r="2249">
          <cell r="A2249" t="str">
            <v>JN0790-M</v>
          </cell>
          <cell r="B2249" t="str">
            <v>JN790</v>
          </cell>
          <cell r="C2249" t="str">
            <v>ซาติน แขนสั้นขาสั้น แฟนซี่ พิ้งค์ M ตัวโชว์</v>
          </cell>
        </row>
        <row r="2250">
          <cell r="A2250" t="str">
            <v>JN0801-M</v>
          </cell>
          <cell r="B2250" t="str">
            <v>JN801</v>
          </cell>
          <cell r="C2250" t="str">
            <v>ซาติน แขนสั้นขาสั้น พื้นฟ้าคราม สีครีม M ตัวโชว์</v>
          </cell>
        </row>
        <row r="2251">
          <cell r="A2251" t="str">
            <v>JN0802-M</v>
          </cell>
          <cell r="B2251" t="str">
            <v>JN802</v>
          </cell>
          <cell r="C2251" t="str">
            <v>ซิลค์แจ็คการ์ด แขนสั้นขาสั้น พื้นเขียว ดอกไม้ฟ้าขาว M ตัวโชว์</v>
          </cell>
        </row>
        <row r="2252">
          <cell r="A2252" t="str">
            <v>JN0803-M</v>
          </cell>
          <cell r="B2252" t="str">
            <v>N803</v>
          </cell>
          <cell r="C2252" t="str">
            <v>ซาติน แขนสั้นขาสั้น Mini Black Heart M</v>
          </cell>
        </row>
        <row r="2253">
          <cell r="A2253" t="str">
            <v>JP0045-M</v>
          </cell>
          <cell r="B2253" t="str">
            <v>JP45</v>
          </cell>
          <cell r="C2253" t="str">
            <v>ซาติน แขนยาวขายาว สีชมพู นู้ด ขอบเงิน M (กปก) ตัวโชว์</v>
          </cell>
        </row>
        <row r="2254">
          <cell r="A2254" t="str">
            <v>JP0318-M</v>
          </cell>
          <cell r="B2254" t="str">
            <v>JP318</v>
          </cell>
          <cell r="C2254" t="str">
            <v>ซาติน แขนยาวขายาว คาร์เนชั่นครีม พื้นดำ M (กปก) ตัวโชว์</v>
          </cell>
        </row>
        <row r="2255">
          <cell r="A2255" t="str">
            <v>JP0362-M</v>
          </cell>
          <cell r="B2255" t="str">
            <v>JP362</v>
          </cell>
          <cell r="C2255" t="str">
            <v>ซาติน แขนยาวขายาว New moon Art M ตัวโชว์</v>
          </cell>
        </row>
        <row r="2256">
          <cell r="A2256" t="str">
            <v>JP0380-M</v>
          </cell>
          <cell r="B2256" t="str">
            <v>JP380</v>
          </cell>
          <cell r="C2256" t="str">
            <v>ซาติน แขนยาวขายาว หัวใจฟ้า น้ำตาล พื้นชมพู M ตัวโชว์</v>
          </cell>
        </row>
        <row r="2257">
          <cell r="A2257" t="str">
            <v>JP0441-M</v>
          </cell>
          <cell r="B2257" t="str">
            <v>JP441</v>
          </cell>
          <cell r="C2257" t="str">
            <v>ซาติน แขนยาวขายาว rabbit smile พื้นขาว M ตัวโชว์</v>
          </cell>
        </row>
        <row r="2258">
          <cell r="A2258" t="str">
            <v>JP0488-S</v>
          </cell>
          <cell r="B2258" t="str">
            <v>JP488</v>
          </cell>
          <cell r="C2258" t="str">
            <v>ซาติน แขนยาวขายาว VINTAGE พื้นดำ S ตัวโชว์</v>
          </cell>
        </row>
        <row r="2259">
          <cell r="A2259" t="str">
            <v>JP0578-S</v>
          </cell>
          <cell r="B2259" t="str">
            <v>JP578</v>
          </cell>
          <cell r="C2259" t="str">
            <v>ซาติน แขนยาวขายาว ชมพูดำเล็ก พื้นขาว Dreamy S ตัวโชว์</v>
          </cell>
        </row>
        <row r="2260">
          <cell r="A2260" t="str">
            <v>JP0594-M</v>
          </cell>
          <cell r="B2260" t="str">
            <v>JP594</v>
          </cell>
          <cell r="C2260" t="str">
            <v>ซาติน แขนยาวขายาว ปกหนาเหลือง พื้นม่วง M ตัวโชว์</v>
          </cell>
        </row>
        <row r="2261">
          <cell r="A2261" t="str">
            <v>JP0596-M</v>
          </cell>
          <cell r="B2261" t="str">
            <v>JP596</v>
          </cell>
          <cell r="C2261" t="str">
            <v>ซาติน แขนยาวขายาว ลูกไม้ ฉลุ พื้นดำ M (กปก) ตัวโชว์</v>
          </cell>
        </row>
        <row r="2262">
          <cell r="A2262" t="str">
            <v>JP0726-S</v>
          </cell>
          <cell r="B2262" t="str">
            <v>JP726</v>
          </cell>
          <cell r="C2262" t="str">
            <v>ซาติน แขนยาวขายาว พื้นม่วงล้วน ขอบขาว  S ตัวโชว์</v>
          </cell>
        </row>
        <row r="2263">
          <cell r="A2263" t="str">
            <v>JP0727-S</v>
          </cell>
          <cell r="B2263" t="str">
            <v>JP727</v>
          </cell>
          <cell r="C2263" t="str">
            <v>ซาติน แขนยาวขายาว พื้นชมพูล้วน ขอบขาว  S ตัวโชว์</v>
          </cell>
        </row>
        <row r="2264">
          <cell r="A2264" t="str">
            <v>JP0739-M</v>
          </cell>
          <cell r="B2264" t="str">
            <v>JP739</v>
          </cell>
          <cell r="C2264" t="str">
            <v>ซาติน แขนยาวขายาว Tiger Flower พื้นชมพู M ตัวโชว์</v>
          </cell>
        </row>
        <row r="2265">
          <cell r="A2265" t="str">
            <v>JP0763-M</v>
          </cell>
          <cell r="B2265" t="str">
            <v>JP763</v>
          </cell>
          <cell r="C2265" t="str">
            <v>ซาติน แขนยาวขายาว ก้อนเมฆ ลายพราง พื้นฟ้า M ตัวโชว์</v>
          </cell>
        </row>
        <row r="2266">
          <cell r="A2266" t="str">
            <v>JP0764-L</v>
          </cell>
          <cell r="B2266" t="str">
            <v>JP764</v>
          </cell>
          <cell r="C2266" t="str">
            <v>ซาติน แขนยาวขายาว ก้อนเมฆ ลายพราง พื้นเหลือง L ตัวโชว์</v>
          </cell>
        </row>
        <row r="2267">
          <cell r="A2267" t="str">
            <v>JP0777-M</v>
          </cell>
          <cell r="B2267" t="str">
            <v>JP777</v>
          </cell>
          <cell r="C2267" t="str">
            <v>ซาติน แขนยาวขายาว ตาราง ชมพู กระเป๋า V M ตัวโชว์</v>
          </cell>
        </row>
        <row r="2268">
          <cell r="A2268" t="str">
            <v>JP0779-M</v>
          </cell>
          <cell r="B2268" t="str">
            <v>JP779</v>
          </cell>
          <cell r="C2268" t="str">
            <v>ซาติน แขนยาวขายาว พื้นดำ ขอบชมพู M ตัวโชว์</v>
          </cell>
        </row>
        <row r="2269">
          <cell r="A2269" t="str">
            <v>JP0782-M</v>
          </cell>
          <cell r="B2269" t="str">
            <v>JP782</v>
          </cell>
          <cell r="C2269" t="str">
            <v>ซาติน แขนยาวขายาว Wild Animal พื้นเขียว M ตัวโชว์</v>
          </cell>
        </row>
        <row r="2270">
          <cell r="A2270" t="str">
            <v>JP0793-M</v>
          </cell>
          <cell r="B2270" t="str">
            <v>JP793</v>
          </cell>
          <cell r="C2270" t="str">
            <v>ซาติน แขนยาวขายาว บอนไซ ปกเขียว M ตัวโชว์</v>
          </cell>
        </row>
        <row r="2271">
          <cell r="A2271" t="str">
            <v>JP0801-M</v>
          </cell>
          <cell r="B2271" t="str">
            <v>JP801</v>
          </cell>
          <cell r="C2271" t="str">
            <v>ซาติน แขนยาวขายาว พื้นฟ้าคราม สีครีม M ตัวโชว์</v>
          </cell>
        </row>
        <row r="2272">
          <cell r="A2272" t="str">
            <v>JP0805-M</v>
          </cell>
          <cell r="B2272" t="str">
            <v>JP805</v>
          </cell>
          <cell r="C2272" t="str">
            <v>ซาติน แขนยาวขายาว Royal Zebra ปกดำ M ตัวโชว์</v>
          </cell>
        </row>
        <row r="2273">
          <cell r="A2273" t="str">
            <v>JP0811-F</v>
          </cell>
          <cell r="B2273" t="str">
            <v>JP811</v>
          </cell>
          <cell r="C2273" t="str">
            <v>ซิลค์แจ็คการ์ด แขนยาวขายาว ดาว พาสเทล F ตัวโชว์</v>
          </cell>
        </row>
        <row r="2274">
          <cell r="A2274" t="str">
            <v>JP0831-M</v>
          </cell>
          <cell r="B2274" t="str">
            <v>JP831</v>
          </cell>
          <cell r="C2274" t="str">
            <v>ซาติน แขนยาวขายาว Little Clound พื้นฟ้า (กปก) M ตัวโชว์</v>
          </cell>
        </row>
        <row r="2275">
          <cell r="A2275" t="str">
            <v>JP0833-M</v>
          </cell>
          <cell r="B2275" t="str">
            <v>JP833</v>
          </cell>
          <cell r="C2275" t="str">
            <v>ซาติน แขนยาวขายาว พื้นครีม ปกกลม M ตัวโชว์</v>
          </cell>
        </row>
        <row r="2276">
          <cell r="A2276" t="str">
            <v>JR0015-M</v>
          </cell>
          <cell r="B2276" t="str">
            <v>JR15</v>
          </cell>
          <cell r="C2276" t="str">
            <v>ซาติน สายเดี่ยว ขายาว ซากุระ พื้นชมพู M ตัวโชว์</v>
          </cell>
        </row>
        <row r="2277">
          <cell r="A2277" t="str">
            <v>JR0017-S</v>
          </cell>
          <cell r="B2277" t="str">
            <v>JR17</v>
          </cell>
          <cell r="C2277" t="str">
            <v>ซาติน สายเดี่ยว กระโปรง พื้นเขียว เลมอน M ตัวโชว์</v>
          </cell>
        </row>
        <row r="2278">
          <cell r="A2278" t="str">
            <v>JR0021-M</v>
          </cell>
          <cell r="B2278" t="str">
            <v>JR21</v>
          </cell>
          <cell r="C2278" t="str">
            <v>ซาติน สายเดี่ยว ขาสั้น Little Maid พื้นขาว โบว์ดำ M (กปก) ตัวโชว์</v>
          </cell>
        </row>
        <row r="2279">
          <cell r="A2279" t="str">
            <v>JR0026-M</v>
          </cell>
          <cell r="B2279" t="str">
            <v>JR26</v>
          </cell>
          <cell r="C2279" t="str">
            <v>ซาติน เดรส สายเดี่ยว ขายาว หวานใจ หวานเย็น M ตัวโชว์</v>
          </cell>
        </row>
        <row r="2280">
          <cell r="A2280" t="str">
            <v>JR0032-L</v>
          </cell>
          <cell r="B2280" t="str">
            <v>JR32</v>
          </cell>
          <cell r="C2280" t="str">
            <v>ซาติน เดรส สายเดี่ยว ขาสั้น ดอกไม้ขาว พื้นฟ้า L ตัวโชว์</v>
          </cell>
        </row>
        <row r="2281">
          <cell r="A2281" t="str">
            <v>JR0032-M</v>
          </cell>
          <cell r="B2281" t="str">
            <v>JR32</v>
          </cell>
          <cell r="C2281" t="str">
            <v>ซาติน เดรส สายเดี่ยว ขาสั้น ดอกไม้ขาว พื้นฟ้า M ตัวโชว์</v>
          </cell>
        </row>
        <row r="2282">
          <cell r="A2282" t="str">
            <v>JR0033-M</v>
          </cell>
          <cell r="B2282" t="str">
            <v>JR33</v>
          </cell>
          <cell r="C2282" t="str">
            <v>ซาติน เดรส สายเดี่ยว ขาสั้น พื้นขาวลายคราม M ตัวโชว์</v>
          </cell>
        </row>
        <row r="2283">
          <cell r="A2283" t="str">
            <v>JR0038-M</v>
          </cell>
          <cell r="B2283" t="str">
            <v>JR38</v>
          </cell>
          <cell r="C2283" t="str">
            <v>ซาติน เดรส สายเดี่ยว ขาสั้น ดอกไม้ขาว พื้นชมพู M ตัวโชว์</v>
          </cell>
        </row>
        <row r="2284">
          <cell r="A2284" t="str">
            <v>JR0039-M</v>
          </cell>
          <cell r="B2284" t="str">
            <v>JR39</v>
          </cell>
          <cell r="C2284" t="str">
            <v>ซาติน เดรส สายเดี่ยว ขายาว ดอกไม้ขาว พื้นชมพู M ตัวโชว์</v>
          </cell>
        </row>
        <row r="2285">
          <cell r="A2285" t="str">
            <v>JR0041-L</v>
          </cell>
          <cell r="B2285" t="str">
            <v>JR41</v>
          </cell>
          <cell r="C2285" t="str">
            <v>ซาติน เดรส สายเดี่ยว ขายาว พื้นเขียว ดอกลาเวนเดอร์ L ตัวโชว์</v>
          </cell>
        </row>
        <row r="2286">
          <cell r="A2286" t="str">
            <v>JR0128-M</v>
          </cell>
          <cell r="B2286" t="str">
            <v>JR128</v>
          </cell>
          <cell r="C2286" t="str">
            <v>ซาติน สายเดี่ยวขายาว ผีเสื้อดอกไม้ พื้นเขียว M ตัวโชว์</v>
          </cell>
        </row>
        <row r="2287">
          <cell r="A2287" t="str">
            <v>JT0045-M</v>
          </cell>
          <cell r="B2287" t="str">
            <v>JT45</v>
          </cell>
          <cell r="C2287" t="str">
            <v>ซาติน แขนสั้นขายาว สีชมพู นู้ด ขอบเงิน M (กปก) ตัวโชว์</v>
          </cell>
        </row>
        <row r="2288">
          <cell r="A2288" t="str">
            <v>JT0061-M</v>
          </cell>
          <cell r="B2288" t="str">
            <v>JT61</v>
          </cell>
          <cell r="C2288" t="str">
            <v>ซาติน แขนสั้นขายาว ชมพู ส้ม M (กปก) ตัวโชว์</v>
          </cell>
        </row>
        <row r="2289">
          <cell r="A2289" t="str">
            <v>JT0128-L</v>
          </cell>
          <cell r="B2289" t="str">
            <v>JT128</v>
          </cell>
          <cell r="C2289" t="str">
            <v>ซาติน แขนสั้นขายาว ผีเสื้อดอกไม้ เขียว L (กปก) ตัวโชว์</v>
          </cell>
        </row>
        <row r="2290">
          <cell r="A2290" t="str">
            <v>JT0187-M</v>
          </cell>
          <cell r="B2290" t="str">
            <v>JT187</v>
          </cell>
          <cell r="C2290" t="str">
            <v>ซาตินแขนสั้นขายาว สีฟ้า ขอบชมพู M (กปก) ตัวโชว์</v>
          </cell>
        </row>
        <row r="2291">
          <cell r="A2291" t="str">
            <v>JT0213-M</v>
          </cell>
          <cell r="B2291" t="str">
            <v>JT213</v>
          </cell>
          <cell r="C2291" t="str">
            <v>ซาติน แขนสั้นขายาว สีโอรสขอบเงินลายหัวใจ M (กปก) ตัวโชว์</v>
          </cell>
        </row>
        <row r="2292">
          <cell r="A2292" t="str">
            <v>JT0240-S</v>
          </cell>
          <cell r="B2292" t="str">
            <v>JT240</v>
          </cell>
          <cell r="C2292" t="str">
            <v>ซาติน  แขนสั้นขายาว จุดดำ พื้นครีม S ตัวโชว์</v>
          </cell>
        </row>
        <row r="2293">
          <cell r="A2293" t="str">
            <v>JT0270-M</v>
          </cell>
          <cell r="B2293" t="str">
            <v>JT270</v>
          </cell>
          <cell r="C2293" t="str">
            <v>ซาติน แขนสั้นขายาว จุดขาวใหญ่ พื้นชมพู M ตัวโชว์</v>
          </cell>
        </row>
        <row r="2294">
          <cell r="A2294" t="str">
            <v>JT0271-M</v>
          </cell>
          <cell r="B2294" t="str">
            <v>JT271</v>
          </cell>
          <cell r="C2294" t="str">
            <v>ซาติน แขนสั้นขายาว จุดกรมใหญ่ พื้นม่วง M ตัวโชว์</v>
          </cell>
        </row>
        <row r="2295">
          <cell r="A2295" t="str">
            <v>JT0298-L</v>
          </cell>
          <cell r="B2295" t="str">
            <v>JT298</v>
          </cell>
          <cell r="C2295" t="str">
            <v>ซาติน แขนสั้นขายาว teddy bear พื้นน้ำตาล L (กปก) ตัวโชว์</v>
          </cell>
        </row>
        <row r="2296">
          <cell r="A2296" t="str">
            <v>JT0369-M</v>
          </cell>
          <cell r="B2296" t="str">
            <v>JT369</v>
          </cell>
          <cell r="C2296" t="str">
            <v>ซาติน แขนสั้นขายาว กุหลาบ ขอบชมพู พื้นขาว M (กปก) ตัวโชว์</v>
          </cell>
        </row>
        <row r="2297">
          <cell r="A2297" t="str">
            <v>JT0380-M</v>
          </cell>
          <cell r="B2297" t="str">
            <v>JT380</v>
          </cell>
          <cell r="C2297" t="str">
            <v>ซาติน แขนสั้นขายาว หัวใจฟ้า น้ำตาล พื้นชมพู M ตัวโชว์</v>
          </cell>
        </row>
        <row r="2298">
          <cell r="A2298" t="str">
            <v>JT0409-M</v>
          </cell>
          <cell r="B2298" t="str">
            <v>JT409</v>
          </cell>
          <cell r="C2298" t="str">
            <v>ซาติน แขนสั้นขายาว แมวดำ พื้นขาว M ตัวโชว์</v>
          </cell>
        </row>
        <row r="2299">
          <cell r="A2299" t="str">
            <v>JT0427-L</v>
          </cell>
          <cell r="B2299" t="str">
            <v>JT427</v>
          </cell>
          <cell r="C2299" t="str">
            <v>ซาติน แขนสั้นขายาว ลายทางเขียว Forever L (กปก) ตัวโชว์</v>
          </cell>
        </row>
        <row r="2300">
          <cell r="A2300" t="str">
            <v>JT0428-M</v>
          </cell>
          <cell r="B2300" t="str">
            <v>JT428</v>
          </cell>
          <cell r="C2300" t="str">
            <v>ซาติน แขนสั้นขายาว ลายทางชมพู Forever M (กปก) ตัวโชว์</v>
          </cell>
        </row>
        <row r="2301">
          <cell r="A2301" t="str">
            <v>JT0431-M</v>
          </cell>
          <cell r="B2301" t="str">
            <v>JT431</v>
          </cell>
          <cell r="C2301" t="str">
            <v>ซาติน แขนสั้นขายาว ลายทาง จิ้งจอก พื้นเขียว M ตัวโชว์</v>
          </cell>
        </row>
        <row r="2302">
          <cell r="A2302" t="str">
            <v>JT0500-S</v>
          </cell>
          <cell r="B2302" t="str">
            <v>JT500</v>
          </cell>
          <cell r="C2302" t="str">
            <v>ซาติน  แขนสั้นขายาว   เสือดาว พื้นครีมอ่อน S ตัวโชว์</v>
          </cell>
        </row>
        <row r="2303">
          <cell r="A2303" t="str">
            <v>JT0501-L</v>
          </cell>
          <cell r="B2303" t="str">
            <v>JT501</v>
          </cell>
          <cell r="C2303" t="str">
            <v>ซาติน แขนสั้นขายาว Good Luck น้องหมีชมพู L (กปก) ตัวโชว์</v>
          </cell>
        </row>
        <row r="2304">
          <cell r="A2304" t="str">
            <v>JT0523-M</v>
          </cell>
          <cell r="B2304" t="str">
            <v>JT523</v>
          </cell>
          <cell r="C2304" t="str">
            <v>ซาติน แขนสั้นขายาว Flower พื้นเขียว ปกชมพู M ตัวโชว์</v>
          </cell>
        </row>
        <row r="2305">
          <cell r="A2305" t="str">
            <v>JT0524-M</v>
          </cell>
          <cell r="B2305" t="str">
            <v>JT524</v>
          </cell>
          <cell r="C2305" t="str">
            <v>ซาติน แขนสั้นขายาว ดอกไม้เขียว พื้นเขียว M (กปก) ตัวโชว์</v>
          </cell>
        </row>
        <row r="2306">
          <cell r="A2306" t="str">
            <v>JT0550-M</v>
          </cell>
          <cell r="B2306" t="str">
            <v>JT550</v>
          </cell>
          <cell r="C2306" t="str">
            <v>ซาติน แขนสั้นขายาว ลายทางชมพู ปกชมพู cute M ตัวโชว์</v>
          </cell>
        </row>
        <row r="2307">
          <cell r="A2307" t="str">
            <v>JT0572-S</v>
          </cell>
          <cell r="B2307" t="str">
            <v>JT572</v>
          </cell>
          <cell r="C2307" t="str">
            <v>ซาติน แขนสั้นขายาว ลายเสือ ชมพู ลูกไม้ S ตัวโชว์</v>
          </cell>
        </row>
        <row r="2308">
          <cell r="A2308" t="str">
            <v>JT0629-M</v>
          </cell>
          <cell r="B2308" t="str">
            <v>JT629</v>
          </cell>
          <cell r="C2308" t="str">
            <v>ซาติน แขนสั้นขายาว ชิโนริ ฟ้า ขอบม่วง M ตัวโชว์</v>
          </cell>
        </row>
        <row r="2309">
          <cell r="A2309" t="str">
            <v>JT0631-M</v>
          </cell>
          <cell r="B2309" t="str">
            <v>JT631</v>
          </cell>
          <cell r="C2309" t="str">
            <v>ซาติน แขนสั้นขายาว ชิโนริ ชมพู ขอบม่วง M ตัวโชว์</v>
          </cell>
        </row>
        <row r="2310">
          <cell r="A2310" t="str">
            <v>JT0666-S</v>
          </cell>
          <cell r="B2310" t="str">
            <v>JT666</v>
          </cell>
          <cell r="C2310" t="str">
            <v>ซาติน แขนสั้นขายาว Rainbow Cat พื้นขาว S (กปก) ตัวโชว์</v>
          </cell>
        </row>
        <row r="2311">
          <cell r="A2311" t="str">
            <v>JT0674-M</v>
          </cell>
          <cell r="B2311" t="str">
            <v>JT674</v>
          </cell>
          <cell r="C2311" t="str">
            <v>ซาติน แขนสั้นขายาว ดอกไม้ แดงน้ำเงิน พื้นครีม M (กปก) ตัวโชว์</v>
          </cell>
        </row>
        <row r="2312">
          <cell r="A2312" t="str">
            <v>JT0675-M</v>
          </cell>
          <cell r="B2312" t="str">
            <v>JT675</v>
          </cell>
          <cell r="C2312" t="str">
            <v>ซาติน แขนสั้นขายาว Blue Sky M ตัวโชว์</v>
          </cell>
        </row>
        <row r="2313">
          <cell r="A2313" t="str">
            <v>JT0677-L</v>
          </cell>
          <cell r="B2313" t="str">
            <v>JT677</v>
          </cell>
          <cell r="C2313" t="str">
            <v>ซาติน แขนสั้นขายาว Golden Leaf พื้นกรม L ตัวโชว์</v>
          </cell>
        </row>
        <row r="2314">
          <cell r="A2314" t="str">
            <v>JT0678-M</v>
          </cell>
          <cell r="B2314" t="str">
            <v>JT678</v>
          </cell>
          <cell r="C2314" t="str">
            <v>ซาติน แขนสั้นขายาว ดอกไม้น้ำตาล พื้นฟ้า คอวี M ตัวโชว์</v>
          </cell>
        </row>
        <row r="2315">
          <cell r="A2315" t="str">
            <v>JT0679-M</v>
          </cell>
          <cell r="B2315" t="str">
            <v>JT679</v>
          </cell>
          <cell r="C2315" t="str">
            <v>ซาติน แขนสั้นขายาว กุหลาบ พื้นครีม M (กปก) ตัวโชว์</v>
          </cell>
        </row>
        <row r="2316">
          <cell r="A2316" t="str">
            <v>JT0680-M</v>
          </cell>
          <cell r="B2316" t="str">
            <v>JT680</v>
          </cell>
          <cell r="C2316" t="str">
            <v>ซาติน แขนสั้นขายาว ตาราง หมี ฟ้า M (กปก) ตัวโชว์</v>
          </cell>
        </row>
        <row r="2317">
          <cell r="A2317" t="str">
            <v>JT0698-M</v>
          </cell>
          <cell r="B2317" t="str">
            <v>JT698</v>
          </cell>
          <cell r="C2317" t="str">
            <v>ซาติน แขนสั้นขายาว ชิโนริ ชมพู กระเป๋าหมี M ตัวโชว์</v>
          </cell>
        </row>
        <row r="2318">
          <cell r="A2318" t="str">
            <v>JT0699-M</v>
          </cell>
          <cell r="B2318" t="str">
            <v>JT699</v>
          </cell>
          <cell r="C2318" t="str">
            <v>ซาติน แขนสั้นขายาว ชิโนริ ดำ กระเป๋าหมี M ตัวโชว์</v>
          </cell>
        </row>
        <row r="2319">
          <cell r="A2319" t="str">
            <v>JT0700-M</v>
          </cell>
          <cell r="B2319" t="str">
            <v>JT700</v>
          </cell>
          <cell r="C2319" t="str">
            <v>ซาติน แขนสั้นขายาว Royal Rabbit M ตัวโชว์</v>
          </cell>
        </row>
        <row r="2320">
          <cell r="A2320" t="str">
            <v>JT0701-M</v>
          </cell>
          <cell r="B2320" t="str">
            <v>JT701</v>
          </cell>
          <cell r="C2320" t="str">
            <v>ซาติน แขนสั้นขายาว คณะแมว M ตัวโชว์</v>
          </cell>
        </row>
        <row r="2321">
          <cell r="A2321" t="str">
            <v>JT0724-S</v>
          </cell>
          <cell r="B2321" t="str">
            <v>JT724</v>
          </cell>
          <cell r="C2321" t="str">
            <v>ซาติน แขนสั้นขายาว จุดเล็ก พื้นเหลือง  S ตัวโชว์</v>
          </cell>
        </row>
        <row r="2322">
          <cell r="A2322" t="str">
            <v>JT0725-S</v>
          </cell>
          <cell r="B2322" t="str">
            <v>JT725</v>
          </cell>
          <cell r="C2322" t="str">
            <v>ซาติน แขนสั้นขายาว จุดเล็ก พื้นชมพู  S ตัวโชว์</v>
          </cell>
        </row>
        <row r="2323">
          <cell r="A2323" t="str">
            <v>JT0765-M</v>
          </cell>
          <cell r="B2323" t="str">
            <v>JT765</v>
          </cell>
          <cell r="C2323" t="str">
            <v>ซาติน แขนสั้นขายาว โซ่ พื้นดำ M ตัวโชว์</v>
          </cell>
        </row>
        <row r="2324">
          <cell r="A2324" t="str">
            <v>JT0801-M</v>
          </cell>
          <cell r="B2324" t="str">
            <v>JT801</v>
          </cell>
          <cell r="C2324" t="str">
            <v>ซาติน แขนสั้นขายาว พื้นฟ้าคราม สีครีม M ตัวโชว์</v>
          </cell>
        </row>
        <row r="2325">
          <cell r="A2325" t="str">
            <v>JT0804-M</v>
          </cell>
          <cell r="B2325" t="str">
            <v>JT804</v>
          </cell>
          <cell r="C2325" t="str">
            <v>ซาติน แขนสั้นขายาว พื้นชมพูคราม สีครีม M ตัวโชว์</v>
          </cell>
        </row>
        <row r="2326">
          <cell r="A2326" t="str">
            <v>JT0807-M</v>
          </cell>
          <cell r="B2326" t="str">
            <v>JT807</v>
          </cell>
          <cell r="C2326" t="str">
            <v>ซาติน แขนสั้นขายาว หกเหลี่ยม เขียว ขาว M ตัวโชว์</v>
          </cell>
        </row>
        <row r="2327">
          <cell r="A2327" t="str">
            <v>JU0128-L</v>
          </cell>
          <cell r="B2327" t="str">
            <v>JU128</v>
          </cell>
          <cell r="C2327" t="str">
            <v>ซาติน แขนยาวขาสั้น ผีเสื้อดอกไม้ เขียว L ตัวโชว์</v>
          </cell>
        </row>
        <row r="2328">
          <cell r="A2328" t="str">
            <v>JU0246-M</v>
          </cell>
          <cell r="B2328" t="str">
            <v>JU246</v>
          </cell>
          <cell r="C2328" t="str">
            <v>ซาติน แขนยาวขาสั้น เสือ ชมพู M (กปก) ตัวโชว์</v>
          </cell>
        </row>
        <row r="2329">
          <cell r="A2329" t="str">
            <v>JU0320-L</v>
          </cell>
          <cell r="B2329" t="str">
            <v>JU320</v>
          </cell>
          <cell r="C2329" t="str">
            <v>ซาติน แขนยาวขาสั้น ลายมะพร้าว สีพาสเทล L ตัวโชว์</v>
          </cell>
        </row>
        <row r="2330">
          <cell r="A2330" t="str">
            <v>JV0035-L</v>
          </cell>
          <cell r="B2330" t="str">
            <v>JV35</v>
          </cell>
          <cell r="C2330" t="str">
            <v>ซาติน แขนสั้นขายาว ฟรุตตี้ L (กปก) ตัวโชว์</v>
          </cell>
        </row>
        <row r="2331">
          <cell r="A2331" t="str">
            <v>JV0660-M</v>
          </cell>
          <cell r="B2331" t="str">
            <v>JV660</v>
          </cell>
          <cell r="C2331" t="str">
            <v>ซาติน แขนสั้นขายาว Pink Diamond Pastel M (กปก) ตัวโชว์</v>
          </cell>
        </row>
        <row r="2332">
          <cell r="A2332" t="str">
            <v>JW0237-M</v>
          </cell>
          <cell r="B2332" t="str">
            <v>JW237</v>
          </cell>
          <cell r="C2332" t="str">
            <v>ซาติน แขนสั้นขาสั้น ภาพวาด  OVERSIZE M ตัวโชว์</v>
          </cell>
        </row>
        <row r="2333">
          <cell r="A2333" t="str">
            <v>JW0320-M</v>
          </cell>
          <cell r="B2333" t="str">
            <v>JW320</v>
          </cell>
          <cell r="C2333" t="str">
            <v>ซาติน แขนสั้นขาสั้น ลายมะพร้าว สีพาสเทล Over Size M ตัวโชว์</v>
          </cell>
        </row>
        <row r="2334">
          <cell r="A2334" t="str">
            <v>JW0361-S</v>
          </cell>
          <cell r="B2334" t="str">
            <v>JW361</v>
          </cell>
          <cell r="C2334" t="str">
            <v>ซาติน แขนสั้นขาสั้น Color Full Over Size S ตัวโชว์</v>
          </cell>
        </row>
        <row r="2335">
          <cell r="A2335" t="str">
            <v>JW0369-L</v>
          </cell>
          <cell r="B2335" t="str">
            <v>JW369</v>
          </cell>
          <cell r="C2335" t="str">
            <v>ซาติน แขนสั้นขาสั้น กุหลาบ ขอบชมพู พื้นขาว Over Size L ตัวโชว์</v>
          </cell>
        </row>
        <row r="2336">
          <cell r="A2336" t="str">
            <v>JW0525-M</v>
          </cell>
          <cell r="B2336" t="str">
            <v>JW525</v>
          </cell>
          <cell r="C2336" t="str">
            <v>ซาติน แขนสั้นขาสั้น ดอกไม้มายา M ตัวโชว์</v>
          </cell>
        </row>
        <row r="2337">
          <cell r="A2337" t="str">
            <v>JW0558-M</v>
          </cell>
          <cell r="B2337" t="str">
            <v>JW558</v>
          </cell>
          <cell r="C2337" t="str">
            <v>ซาติน แขนสั้นขาสั้น มารูโกะ คิตตี้ พื้นเขียว Over Size M (กปก) ตัวโชว์</v>
          </cell>
        </row>
        <row r="2338">
          <cell r="A2338" t="str">
            <v>JW0559-M</v>
          </cell>
          <cell r="B2338" t="str">
            <v>JW559</v>
          </cell>
          <cell r="C2338" t="str">
            <v>ซาติน แขนสั้นขาสั้น มารูโกะ คิตตี้ พื้นชมพู Over Size M ตัวโชว์</v>
          </cell>
        </row>
        <row r="2339">
          <cell r="A2339" t="str">
            <v>JW0561-M</v>
          </cell>
          <cell r="B2339" t="str">
            <v>JW561</v>
          </cell>
          <cell r="C2339" t="str">
            <v>ซาติน แขนสั้นขาสั้น เจ้าหญิงหน้าสวย พื้นชมพู Over Size M ตัวโชว์</v>
          </cell>
        </row>
        <row r="2340">
          <cell r="A2340" t="str">
            <v>JW0600-M</v>
          </cell>
          <cell r="B2340" t="str">
            <v>JW600</v>
          </cell>
          <cell r="C2340" t="str">
            <v>ซาติน แขนสั้นขาสั้น คอกลม หมีอ้วง M ตัวโชว์</v>
          </cell>
        </row>
        <row r="2341">
          <cell r="A2341" t="str">
            <v>JW0601-M</v>
          </cell>
          <cell r="B2341" t="str">
            <v>JW601</v>
          </cell>
          <cell r="C2341" t="str">
            <v>ซาติน แขนสั้นขาสั้น คอกลม แมวอ้วง M ตัวโชว์</v>
          </cell>
        </row>
        <row r="2342">
          <cell r="A2342" t="str">
            <v>JW0653-M</v>
          </cell>
          <cell r="B2342" t="str">
            <v>JW653</v>
          </cell>
          <cell r="C2342" t="str">
            <v>ซาติน แขนสั้นขาสั้น คอกลม Aurora Bear M ตัวโชว์</v>
          </cell>
        </row>
        <row r="2343">
          <cell r="A2343" t="str">
            <v>JW0660-M</v>
          </cell>
          <cell r="B2343" t="str">
            <v>JW660</v>
          </cell>
          <cell r="C2343" t="str">
            <v>ซาติน แขนสั้นขาสั้น Pink Diamond Pastel M ตัวโชว์</v>
          </cell>
        </row>
        <row r="2344">
          <cell r="A2344" t="str">
            <v>JW0668-M</v>
          </cell>
          <cell r="B2344" t="str">
            <v>JW668</v>
          </cell>
          <cell r="C2344" t="str">
            <v>ซาติน แขนสั้นขาสั้น Gold Flower ขอบแดง M ตัวโชว์</v>
          </cell>
        </row>
        <row r="2345">
          <cell r="A2345" t="str">
            <v>JW0684-M</v>
          </cell>
          <cell r="B2345" t="str">
            <v>JW684</v>
          </cell>
          <cell r="C2345" t="str">
            <v>ซาติน แขนสั้นขาสั้น Cafe Milk M ตัวโชว์</v>
          </cell>
        </row>
        <row r="2346">
          <cell r="A2346" t="str">
            <v>JW0704-M</v>
          </cell>
          <cell r="B2346" t="str">
            <v>JW704</v>
          </cell>
          <cell r="C2346" t="str">
            <v>ซาติน แขนสั้นขาสั้น Pinky Clound M ตัวโชว์</v>
          </cell>
        </row>
        <row r="2347">
          <cell r="A2347" t="str">
            <v>JW0787-S</v>
          </cell>
          <cell r="B2347" t="str">
            <v>JW787</v>
          </cell>
          <cell r="C2347" t="str">
            <v>ซาติน แขนสั้นขาสั้น ดอกไม้จุดดำ ขอบเขียว Over Size S ตัวโชว์</v>
          </cell>
        </row>
        <row r="2348">
          <cell r="A2348" t="str">
            <v>JX0024-M</v>
          </cell>
          <cell r="B2348" t="str">
            <v>JX24</v>
          </cell>
          <cell r="C2348" t="str">
            <v>ซาติน เสื้อคลุม แขนสั้น สายเดี่ยว เสือขาว ลูกไม้ M ตัวโชว์</v>
          </cell>
        </row>
        <row r="2349">
          <cell r="A2349" t="str">
            <v>JX0025-M</v>
          </cell>
          <cell r="B2349" t="str">
            <v>JX25</v>
          </cell>
          <cell r="C2349" t="str">
            <v>ซาติน เสื้อคลุม แขนสั้น สายเดี่ยว เสือชมพู ลูกไม้ M ตัวโชว์</v>
          </cell>
        </row>
        <row r="2350">
          <cell r="A2350" t="str">
            <v>JY0024-M</v>
          </cell>
          <cell r="B2350" t="str">
            <v>JY24</v>
          </cell>
          <cell r="C2350" t="str">
            <v>เยื่อไผ่ แขนสั้นขายาว กรม ขอบขาว ผู้ชาย M ตัวโชว์</v>
          </cell>
        </row>
        <row r="2351">
          <cell r="A2351" t="str">
            <v>JY0039-M</v>
          </cell>
          <cell r="B2351" t="str">
            <v>JY39</v>
          </cell>
          <cell r="C2351" t="str">
            <v>ชาติน แขนสั้นขาสั้น ฟ้า ขอบขาว M ตัวโชว์</v>
          </cell>
        </row>
        <row r="2352">
          <cell r="A2352" t="str">
            <v>JY0062-L</v>
          </cell>
          <cell r="B2352" t="str">
            <v>JY62</v>
          </cell>
          <cell r="C2352" t="str">
            <v>ผู้ชาย ซาติน แขนสั้นขายาว ชิโนริ ฟ้า ขอบม่วง L ตัวโชว์</v>
          </cell>
        </row>
        <row r="2353">
          <cell r="A2353" t="str">
            <v>JY0070-L</v>
          </cell>
          <cell r="B2353" t="str">
            <v>JY70</v>
          </cell>
          <cell r="C2353" t="str">
            <v>ซาติน แขนสั้นขาสั้น ข้าวหลามตัด เทาอ่อน ผู้ชาย L ตัวโชว์</v>
          </cell>
        </row>
        <row r="2354">
          <cell r="A2354" t="str">
            <v>JY0074-L</v>
          </cell>
          <cell r="B2354" t="str">
            <v>JY74</v>
          </cell>
          <cell r="C2354" t="str">
            <v>ซาติน แขนสั้นขาสั้น ลายเสือ พื้นเทา L (กปก) ตัวโชว์</v>
          </cell>
        </row>
        <row r="2355">
          <cell r="A2355" t="str">
            <v>M0001-110</v>
          </cell>
          <cell r="B2355" t="str">
            <v>M1</v>
          </cell>
          <cell r="C2355" t="str">
            <v>ซาติน แขนยาวขายาว Totoro พื้นชมพู เด็ก 110</v>
          </cell>
        </row>
        <row r="2356">
          <cell r="A2356" t="str">
            <v>M0001-120</v>
          </cell>
          <cell r="B2356" t="str">
            <v>M1</v>
          </cell>
          <cell r="C2356" t="str">
            <v>ซาติน แขนยาวขายาว Totoro พื้นชมพู เด็ก 120</v>
          </cell>
        </row>
        <row r="2357">
          <cell r="A2357" t="str">
            <v>M0001-130</v>
          </cell>
          <cell r="B2357" t="str">
            <v>M1</v>
          </cell>
          <cell r="C2357" t="str">
            <v>ซาติน แขนยาวขายาว Totoro พื้นชมพู เด็ก 130</v>
          </cell>
        </row>
        <row r="2358">
          <cell r="A2358" t="str">
            <v>M0001-140</v>
          </cell>
          <cell r="B2358" t="str">
            <v>M1</v>
          </cell>
          <cell r="C2358" t="str">
            <v>ซาติน แขนยาวขายาว Totoro พื้นชมพู เด็ก 140</v>
          </cell>
        </row>
        <row r="2359">
          <cell r="A2359" t="str">
            <v>M0001-150</v>
          </cell>
          <cell r="B2359" t="str">
            <v>M1</v>
          </cell>
          <cell r="C2359" t="str">
            <v>ซาติน แขนยาวขายาว Totoro พื้นชมพู เด็ก 150</v>
          </cell>
        </row>
        <row r="2360">
          <cell r="A2360" t="str">
            <v>M0002-110</v>
          </cell>
          <cell r="B2360" t="str">
            <v>M2</v>
          </cell>
          <cell r="C2360" t="str">
            <v>ซาติน แขนยาวขายาว Totoro พื้นฟ้า เด็ก 110</v>
          </cell>
        </row>
        <row r="2361">
          <cell r="A2361" t="str">
            <v>M0002-120</v>
          </cell>
          <cell r="B2361" t="str">
            <v>M2</v>
          </cell>
          <cell r="C2361" t="str">
            <v>ซาติน แขนยาวขายาว Totoro พื้นฟ้า เด็ก 120</v>
          </cell>
        </row>
        <row r="2362">
          <cell r="A2362" t="str">
            <v>M0002-130</v>
          </cell>
          <cell r="B2362" t="str">
            <v>M2</v>
          </cell>
          <cell r="C2362" t="str">
            <v>ซาติน แขนยาวขายาว Totoro พื้นฟ้า เด็ก 130</v>
          </cell>
        </row>
        <row r="2363">
          <cell r="A2363" t="str">
            <v>M0002-140</v>
          </cell>
          <cell r="B2363" t="str">
            <v>M2</v>
          </cell>
          <cell r="C2363" t="str">
            <v>ซาติน แขนยาวขายาว Totoro พื้นฟ้า เด็ก 140</v>
          </cell>
        </row>
        <row r="2364">
          <cell r="A2364" t="str">
            <v>M0002-150</v>
          </cell>
          <cell r="B2364" t="str">
            <v>M2</v>
          </cell>
          <cell r="C2364" t="str">
            <v>ซาติน แขนยาวขายาว Totoro พื้นฟ้า เด็ก 150</v>
          </cell>
        </row>
        <row r="2365">
          <cell r="A2365" t="str">
            <v>M0003-L</v>
          </cell>
          <cell r="B2365" t="str">
            <v>M3</v>
          </cell>
          <cell r="C2365" t="str">
            <v>ซาติน แขนสั้นขาสั้น Coral Sea 130 L</v>
          </cell>
        </row>
        <row r="2366">
          <cell r="A2366" t="str">
            <v>M0003-M</v>
          </cell>
          <cell r="B2366" t="str">
            <v>M3</v>
          </cell>
          <cell r="C2366" t="str">
            <v>ซาติน แขนสั้นขาสั้น Coral Sea 120 M</v>
          </cell>
        </row>
        <row r="2367">
          <cell r="A2367" t="str">
            <v>M0003-S</v>
          </cell>
          <cell r="B2367" t="str">
            <v>M3</v>
          </cell>
          <cell r="C2367" t="str">
            <v>ซาติน แขนสั้นขาสั้น Coral Sea 110 S</v>
          </cell>
        </row>
        <row r="2368">
          <cell r="A2368" t="str">
            <v>M0004-L</v>
          </cell>
          <cell r="B2368" t="str">
            <v>M4</v>
          </cell>
          <cell r="C2368" t="str">
            <v>ซาติน แขนสั้นขาสั้น Royal Art เด็ก L</v>
          </cell>
        </row>
        <row r="2369">
          <cell r="A2369" t="str">
            <v>M0004-M</v>
          </cell>
          <cell r="B2369" t="str">
            <v>M4</v>
          </cell>
          <cell r="C2369" t="str">
            <v>ซาติน แขนสั้นขาสั้น Royal Art เด็ก M</v>
          </cell>
        </row>
        <row r="2370">
          <cell r="A2370" t="str">
            <v>M0004-S</v>
          </cell>
          <cell r="B2370" t="str">
            <v>M4</v>
          </cell>
          <cell r="C2370" t="str">
            <v>ซาติน แขนสั้นขาสั้น Royal Art เด็ก S</v>
          </cell>
        </row>
        <row r="2371">
          <cell r="A2371" t="str">
            <v>M0005-110</v>
          </cell>
          <cell r="B2371" t="str">
            <v>M5</v>
          </cell>
          <cell r="C2371" t="str">
            <v>ซาติน แขนสั้นขายาว Totoro พื้นฟ้า เด็ก 110</v>
          </cell>
        </row>
        <row r="2372">
          <cell r="A2372" t="str">
            <v>M0005-120</v>
          </cell>
          <cell r="B2372" t="str">
            <v>M5</v>
          </cell>
          <cell r="C2372" t="str">
            <v>ซาติน แขนสั้นขายาว Totoro พื้นฟ้า เด็ก 120</v>
          </cell>
        </row>
        <row r="2373">
          <cell r="A2373" t="str">
            <v>M0005-130</v>
          </cell>
          <cell r="B2373" t="str">
            <v>M5</v>
          </cell>
          <cell r="C2373" t="str">
            <v>ซาติน แขนสั้นขายาว Totoro พื้นฟ้า เด็ก 130</v>
          </cell>
        </row>
        <row r="2374">
          <cell r="A2374" t="str">
            <v>M0005-140</v>
          </cell>
          <cell r="B2374" t="str">
            <v>M5</v>
          </cell>
          <cell r="C2374" t="str">
            <v>ซาติน แขนสั้นขายาว Totoro พื้นฟ้า เด็ก 140</v>
          </cell>
        </row>
        <row r="2375">
          <cell r="A2375" t="str">
            <v>M0005-150</v>
          </cell>
          <cell r="B2375" t="str">
            <v>M5</v>
          </cell>
          <cell r="C2375" t="str">
            <v>ซาติน แขนสั้นขายาว Totoro พื้นฟ้า เด็ก 150</v>
          </cell>
        </row>
        <row r="2376">
          <cell r="A2376" t="str">
            <v>M0006-110</v>
          </cell>
          <cell r="B2376" t="str">
            <v>M6</v>
          </cell>
          <cell r="C2376" t="str">
            <v>ซาติน แขนสั้นขายาว Totoro พื้นชมพู เด็ก 110</v>
          </cell>
        </row>
        <row r="2377">
          <cell r="A2377" t="str">
            <v>M0006-120</v>
          </cell>
          <cell r="B2377" t="str">
            <v>M6</v>
          </cell>
          <cell r="C2377" t="str">
            <v>ซาติน แขนสั้นขายาว Totoro พื้นชมพู เด็ก 120</v>
          </cell>
        </row>
        <row r="2378">
          <cell r="A2378" t="str">
            <v>M0006-130</v>
          </cell>
          <cell r="B2378" t="str">
            <v>M6</v>
          </cell>
          <cell r="C2378" t="str">
            <v>ซาติน แขนสั้นขายาว Totoro พื้นชมพู เด็ก 130</v>
          </cell>
        </row>
        <row r="2379">
          <cell r="A2379" t="str">
            <v>M0006-140</v>
          </cell>
          <cell r="B2379" t="str">
            <v>M6</v>
          </cell>
          <cell r="C2379" t="str">
            <v>ซาติน แขนสั้นขายาว Totoro พื้นชมพู เด็ก 140</v>
          </cell>
        </row>
        <row r="2380">
          <cell r="A2380" t="str">
            <v>M0006-150</v>
          </cell>
          <cell r="B2380" t="str">
            <v>M6</v>
          </cell>
          <cell r="C2380" t="str">
            <v>ซาติน แขนสั้นขายาว Totoro พื้นชมพู เด็ก 150</v>
          </cell>
        </row>
        <row r="2381">
          <cell r="A2381" t="str">
            <v>M0007-2XL</v>
          </cell>
          <cell r="B2381" t="str">
            <v>M7</v>
          </cell>
          <cell r="C2381" t="str">
            <v>ซาติน แขนยาวขายาว ใบไม้เขียว พื้นชมพู เด็ก 2XL</v>
          </cell>
        </row>
        <row r="2382">
          <cell r="A2382" t="str">
            <v>M0007-L</v>
          </cell>
          <cell r="B2382" t="str">
            <v>M7</v>
          </cell>
          <cell r="C2382" t="str">
            <v>ซาติน แขนยาวขายาว ใบไม้เขียว พื้นชมพู เด็ก L</v>
          </cell>
        </row>
        <row r="2383">
          <cell r="A2383" t="str">
            <v>M0007-M</v>
          </cell>
          <cell r="B2383" t="str">
            <v>M7</v>
          </cell>
          <cell r="C2383" t="str">
            <v>ซาติน แขนยาวขายาว ใบไม้เขียว พื้นชมพู เด็ก M</v>
          </cell>
        </row>
        <row r="2384">
          <cell r="A2384" t="str">
            <v>M0007-S</v>
          </cell>
          <cell r="B2384" t="str">
            <v>M7</v>
          </cell>
          <cell r="C2384" t="str">
            <v>ซาติน แขนยาวขายาว ใบไม้เขียว พื้นชมพู เด็ก S</v>
          </cell>
        </row>
        <row r="2385">
          <cell r="A2385" t="str">
            <v>M0007-XL</v>
          </cell>
          <cell r="B2385" t="str">
            <v>M7</v>
          </cell>
          <cell r="C2385" t="str">
            <v>ซาติน แขนยาวขายาว ใบไม้เขียว พื้นชมพู เด็ก XL</v>
          </cell>
        </row>
        <row r="2386">
          <cell r="A2386" t="str">
            <v>M0008-2XL</v>
          </cell>
          <cell r="B2386" t="str">
            <v>M8</v>
          </cell>
          <cell r="C2386" t="str">
            <v>ซาติน แขนยาวขายาว Coral Sea เด็ก 2XL</v>
          </cell>
        </row>
        <row r="2387">
          <cell r="A2387" t="str">
            <v>M0008-L</v>
          </cell>
          <cell r="B2387" t="str">
            <v>M8</v>
          </cell>
          <cell r="C2387" t="str">
            <v>ซาติน แขนยาวขายาว Coral Sea เด็ก L</v>
          </cell>
        </row>
        <row r="2388">
          <cell r="A2388" t="str">
            <v>M0008-M</v>
          </cell>
          <cell r="B2388" t="str">
            <v>M8</v>
          </cell>
          <cell r="C2388" t="str">
            <v>ซาติน แขนยาวขายาว Coral Sea เด็ก M</v>
          </cell>
        </row>
        <row r="2389">
          <cell r="A2389" t="str">
            <v>M0008-S</v>
          </cell>
          <cell r="B2389" t="str">
            <v>M8</v>
          </cell>
          <cell r="C2389" t="str">
            <v>ซาติน แขนยาวขายาว Coral Sea เด็ก S</v>
          </cell>
        </row>
        <row r="2390">
          <cell r="A2390" t="str">
            <v>M0008-XL</v>
          </cell>
          <cell r="B2390" t="str">
            <v>M8</v>
          </cell>
          <cell r="C2390" t="str">
            <v>ซาติน แขนยาวขายาว Coral Sea เด็ก XL</v>
          </cell>
        </row>
        <row r="2391">
          <cell r="A2391" t="str">
            <v>M0009-2XL</v>
          </cell>
          <cell r="B2391" t="str">
            <v>M9</v>
          </cell>
          <cell r="C2391" t="str">
            <v>ซาติน แขนยาวขายาว Color FULL เด็ก 2XL</v>
          </cell>
        </row>
        <row r="2392">
          <cell r="A2392" t="str">
            <v>M0009-L</v>
          </cell>
          <cell r="B2392" t="str">
            <v>M9</v>
          </cell>
          <cell r="C2392" t="str">
            <v>ซาติน แขนยาวขายาว Color FULL เด็ก L</v>
          </cell>
        </row>
        <row r="2393">
          <cell r="A2393" t="str">
            <v>M0009-M</v>
          </cell>
          <cell r="B2393" t="str">
            <v>M9</v>
          </cell>
          <cell r="C2393" t="str">
            <v>ซาติน แขนยาวขายาว Color FULL เด็ก M</v>
          </cell>
        </row>
        <row r="2394">
          <cell r="A2394" t="str">
            <v>M0009-S</v>
          </cell>
          <cell r="B2394" t="str">
            <v>M9</v>
          </cell>
          <cell r="C2394" t="str">
            <v>ซาติน แขนยาวขายาว Color FULL เด็ก S</v>
          </cell>
        </row>
        <row r="2395">
          <cell r="A2395" t="str">
            <v>M0009-XL</v>
          </cell>
          <cell r="B2395" t="str">
            <v>M9</v>
          </cell>
          <cell r="C2395" t="str">
            <v>ซาติน แขนยาวขายาว Color FULL เด็ก XL</v>
          </cell>
        </row>
        <row r="2396">
          <cell r="A2396" t="str">
            <v>M0010-2XL</v>
          </cell>
          <cell r="B2396" t="str">
            <v>M10</v>
          </cell>
          <cell r="C2396" t="str">
            <v>ซาติน แขนสั้นขายาว ผักรวม พื้นชมพู เด็ก 2XL</v>
          </cell>
        </row>
        <row r="2397">
          <cell r="A2397" t="str">
            <v>M0010-L</v>
          </cell>
          <cell r="B2397" t="str">
            <v>M10</v>
          </cell>
          <cell r="C2397" t="str">
            <v>ซาติน แขนสั้นขายาว ผักรวม พื้นชมพู เด็ก L</v>
          </cell>
        </row>
        <row r="2398">
          <cell r="A2398" t="str">
            <v>M0010-M</v>
          </cell>
          <cell r="B2398" t="str">
            <v>M10</v>
          </cell>
          <cell r="C2398" t="str">
            <v>ซาติน แขนสั้นขายาว ผักรวม พื้นชมพู เด็ก M</v>
          </cell>
        </row>
        <row r="2399">
          <cell r="A2399" t="str">
            <v>M0010-S</v>
          </cell>
          <cell r="B2399" t="str">
            <v>M10</v>
          </cell>
          <cell r="C2399" t="str">
            <v>ซาติน แขนสั้นขายาว ผักรวม พื้นชมพู เด็ก S</v>
          </cell>
        </row>
        <row r="2400">
          <cell r="A2400" t="str">
            <v>M0010-XL</v>
          </cell>
          <cell r="B2400" t="str">
            <v>M10</v>
          </cell>
          <cell r="C2400" t="str">
            <v>ซาติน แขนสั้นขายาว ผักรวม พื้นชมพู เด็ก XL</v>
          </cell>
        </row>
        <row r="2401">
          <cell r="A2401" t="str">
            <v>M0011-2XL</v>
          </cell>
          <cell r="B2401" t="str">
            <v>M11</v>
          </cell>
          <cell r="C2401" t="str">
            <v>ซาติน แขนสั้นขายาว สุนัขรวม พื้นชมพู เด็ก 2XL</v>
          </cell>
        </row>
        <row r="2402">
          <cell r="A2402" t="str">
            <v>M0011-L</v>
          </cell>
          <cell r="B2402" t="str">
            <v>M11</v>
          </cell>
          <cell r="C2402" t="str">
            <v>ซาติน แขนสั้นขายาว สุนัขรวม พื้นชมพู เด็ก L</v>
          </cell>
        </row>
        <row r="2403">
          <cell r="A2403" t="str">
            <v>M0011-M</v>
          </cell>
          <cell r="B2403" t="str">
            <v>M11</v>
          </cell>
          <cell r="C2403" t="str">
            <v>ซาติน แขนสั้นขายาว สุนัขรวม พื้นชมพู เด็ก M</v>
          </cell>
        </row>
        <row r="2404">
          <cell r="A2404" t="str">
            <v>M0011-S</v>
          </cell>
          <cell r="B2404" t="str">
            <v>M11</v>
          </cell>
          <cell r="C2404" t="str">
            <v>ซาติน แขนสั้นขายาว สุนัขรวม พื้นชมพู เด็ก S</v>
          </cell>
        </row>
        <row r="2405">
          <cell r="A2405" t="str">
            <v>M0011-XL</v>
          </cell>
          <cell r="B2405" t="str">
            <v>M11</v>
          </cell>
          <cell r="C2405" t="str">
            <v>ซาติน แขนสั้นขายาว สุนัขรวม พื้นชมพู เด็ก XL</v>
          </cell>
        </row>
        <row r="2406">
          <cell r="A2406" t="str">
            <v>M0012-2XL</v>
          </cell>
          <cell r="B2406" t="str">
            <v>M12</v>
          </cell>
          <cell r="C2406" t="str">
            <v>ซาติน แขนสั้นขายาว แมวรวม พื้นฟ้า เด็ก 2XL</v>
          </cell>
        </row>
        <row r="2407">
          <cell r="A2407" t="str">
            <v>M0012-L</v>
          </cell>
          <cell r="B2407" t="str">
            <v>M12</v>
          </cell>
          <cell r="C2407" t="str">
            <v>ซาติน แขนสั้นขายาว แมวรวม พื้นฟ้า เด็ก L</v>
          </cell>
        </row>
        <row r="2408">
          <cell r="A2408" t="str">
            <v>M0012-M</v>
          </cell>
          <cell r="B2408" t="str">
            <v>M12</v>
          </cell>
          <cell r="C2408" t="str">
            <v>ซาติน แขนสั้นขายาว แมวรวม พื้นฟ้า เด็ก M</v>
          </cell>
        </row>
        <row r="2409">
          <cell r="A2409" t="str">
            <v>M0012-S</v>
          </cell>
          <cell r="B2409" t="str">
            <v>M12</v>
          </cell>
          <cell r="C2409" t="str">
            <v>ซาติน แขนสั้นขายาว แมวรวม พื้นฟ้า เด็ก S</v>
          </cell>
        </row>
        <row r="2410">
          <cell r="A2410" t="str">
            <v>M0012-XL</v>
          </cell>
          <cell r="B2410" t="str">
            <v>M12</v>
          </cell>
          <cell r="C2410" t="str">
            <v>ซาติน แขนสั้นขายาว แมวรวม พื้นฟ้า เด็ก XL</v>
          </cell>
        </row>
        <row r="2411">
          <cell r="A2411" t="str">
            <v>M0013-2XL</v>
          </cell>
          <cell r="B2411" t="str">
            <v>M13</v>
          </cell>
          <cell r="C2411" t="str">
            <v>ซาติน แขนสั้นขายาว แพนกวินรวม พื้นเขียว เด็ก 2XL</v>
          </cell>
        </row>
        <row r="2412">
          <cell r="A2412" t="str">
            <v>M0013-L</v>
          </cell>
          <cell r="B2412" t="str">
            <v>M13</v>
          </cell>
          <cell r="C2412" t="str">
            <v>ซาติน แขนสั้นขายาว แพนกวินรวม พื้นเขียว เด็ก L</v>
          </cell>
        </row>
        <row r="2413">
          <cell r="A2413" t="str">
            <v>M0013-M</v>
          </cell>
          <cell r="B2413" t="str">
            <v>M13</v>
          </cell>
          <cell r="C2413" t="str">
            <v>ซาติน แขนสั้นขายาว แพนกวินรวม พื้นเขียว เด็ก M</v>
          </cell>
        </row>
        <row r="2414">
          <cell r="A2414" t="str">
            <v>M0013-S</v>
          </cell>
          <cell r="B2414" t="str">
            <v>M13</v>
          </cell>
          <cell r="C2414" t="str">
            <v>ซาติน แขนสั้นขายาว แพนกวินรวม พื้นเขียว เด็ก S</v>
          </cell>
        </row>
        <row r="2415">
          <cell r="A2415" t="str">
            <v>M0013-XL</v>
          </cell>
          <cell r="B2415" t="str">
            <v>M13</v>
          </cell>
          <cell r="C2415" t="str">
            <v>ซาติน แขนสั้นขายาว แพนกวินรวม พื้นเขียว เด็ก XL</v>
          </cell>
        </row>
        <row r="2416">
          <cell r="A2416" t="str">
            <v>M0014-2XL</v>
          </cell>
          <cell r="B2416" t="str">
            <v>M14</v>
          </cell>
          <cell r="C2416" t="str">
            <v>ซาติน แขนสั้นขายาว แมวรวม พื้นดำ เด็ก 2XL</v>
          </cell>
        </row>
        <row r="2417">
          <cell r="A2417" t="str">
            <v>M0014-L</v>
          </cell>
          <cell r="B2417" t="str">
            <v>M14</v>
          </cell>
          <cell r="C2417" t="str">
            <v>ซาติน แขนสั้นขายาว แมวรวม พื้นดำ เด็ก L</v>
          </cell>
        </row>
        <row r="2418">
          <cell r="A2418" t="str">
            <v>M0014-M</v>
          </cell>
          <cell r="B2418" t="str">
            <v>M14</v>
          </cell>
          <cell r="C2418" t="str">
            <v>ซาติน แขนสั้นขายาว แมวรวม พื้นดำ เด็ก M</v>
          </cell>
        </row>
        <row r="2419">
          <cell r="A2419" t="str">
            <v>M0014-S</v>
          </cell>
          <cell r="B2419" t="str">
            <v>M14</v>
          </cell>
          <cell r="C2419" t="str">
            <v>ซาติน แขนสั้นขายาว แมวรวม พื้นดำ เด็ก S</v>
          </cell>
        </row>
        <row r="2420">
          <cell r="A2420" t="str">
            <v>M0014-XL</v>
          </cell>
          <cell r="B2420" t="str">
            <v>M14</v>
          </cell>
          <cell r="C2420" t="str">
            <v>ซาติน แขนสั้นขายาว แมวรวม พื้นดำ เด็ก XL</v>
          </cell>
        </row>
        <row r="2421">
          <cell r="A2421" t="str">
            <v>M0015-2XL</v>
          </cell>
          <cell r="B2421" t="str">
            <v>M15</v>
          </cell>
          <cell r="C2421" t="str">
            <v>ซาติน แขนยาวขายาว สุนัขรวม พื้นชมพู เด็ก 2XL</v>
          </cell>
        </row>
        <row r="2422">
          <cell r="A2422" t="str">
            <v>M0015-L</v>
          </cell>
          <cell r="B2422" t="str">
            <v>M15</v>
          </cell>
          <cell r="C2422" t="str">
            <v>ซาติน แขนยาวขายาว สุนัขรวม พื้นชมพู เด็ก L</v>
          </cell>
        </row>
        <row r="2423">
          <cell r="A2423" t="str">
            <v>M0015-M</v>
          </cell>
          <cell r="B2423" t="str">
            <v>M15</v>
          </cell>
          <cell r="C2423" t="str">
            <v>ซาติน แขนยาวขายาว สุนัขรวม พื้นชมพู เด็ก M</v>
          </cell>
        </row>
        <row r="2424">
          <cell r="A2424" t="str">
            <v>M0015-S</v>
          </cell>
          <cell r="B2424" t="str">
            <v>M15</v>
          </cell>
          <cell r="C2424" t="str">
            <v>ซาติน แขนยาวขายาว สุนัขรวม พื้นชมพู เด็ก S</v>
          </cell>
        </row>
        <row r="2425">
          <cell r="A2425" t="str">
            <v>M0015-XL</v>
          </cell>
          <cell r="B2425" t="str">
            <v>M15</v>
          </cell>
          <cell r="C2425" t="str">
            <v>ซาติน แขนยาวขายาว สุนัขรวม พื้นชมพู เด็ก XL</v>
          </cell>
        </row>
        <row r="2426">
          <cell r="A2426" t="str">
            <v>M0016-2XL</v>
          </cell>
          <cell r="B2426" t="str">
            <v>M16</v>
          </cell>
          <cell r="C2426" t="str">
            <v>ซาติน แขนยาวขายาว แมวรวม พื้นฟ้า เด็ก 2XL</v>
          </cell>
        </row>
        <row r="2427">
          <cell r="A2427" t="str">
            <v>M0016-L</v>
          </cell>
          <cell r="B2427" t="str">
            <v>M16</v>
          </cell>
          <cell r="C2427" t="str">
            <v>ซาติน แขนยาวขายาว แมวรวม พื้นฟ้า เด็ก L</v>
          </cell>
        </row>
        <row r="2428">
          <cell r="A2428" t="str">
            <v>M0016-M</v>
          </cell>
          <cell r="B2428" t="str">
            <v>M16</v>
          </cell>
          <cell r="C2428" t="str">
            <v>ซาติน แขนยาวขายาว แมวรวม พื้นฟ้า เด็ก M</v>
          </cell>
        </row>
        <row r="2429">
          <cell r="A2429" t="str">
            <v>M0016-S</v>
          </cell>
          <cell r="B2429" t="str">
            <v>M16</v>
          </cell>
          <cell r="C2429" t="str">
            <v>ซาติน แขนยาวขายาว แมวรวม พื้นฟ้า เด็ก S</v>
          </cell>
        </row>
        <row r="2430">
          <cell r="A2430" t="str">
            <v>M0016-XL</v>
          </cell>
          <cell r="B2430" t="str">
            <v>M16</v>
          </cell>
          <cell r="C2430" t="str">
            <v>ซาติน แขนยาวขายาว แมวรวม พื้นฟ้า เด็ก XL</v>
          </cell>
        </row>
        <row r="2431">
          <cell r="A2431" t="str">
            <v>M0017-2XL</v>
          </cell>
          <cell r="B2431" t="str">
            <v>M17</v>
          </cell>
          <cell r="C2431" t="str">
            <v>ซาติน แขนยาวขายาว แพนกวินรวม พื้นเขียว เด็ก 2XL</v>
          </cell>
        </row>
        <row r="2432">
          <cell r="A2432" t="str">
            <v>M0017-L</v>
          </cell>
          <cell r="B2432" t="str">
            <v>M17</v>
          </cell>
          <cell r="C2432" t="str">
            <v>ซาติน แขนยาวขายาว แพนกวินรวม พื้นเขียว เด็ก L</v>
          </cell>
        </row>
        <row r="2433">
          <cell r="A2433" t="str">
            <v>M0017-M</v>
          </cell>
          <cell r="B2433" t="str">
            <v>M17</v>
          </cell>
          <cell r="C2433" t="str">
            <v>ซาติน แขนยาวขายาว แพนกวินรวม พื้นเขียว เด็ก M</v>
          </cell>
        </row>
        <row r="2434">
          <cell r="A2434" t="str">
            <v>M0017-S</v>
          </cell>
          <cell r="B2434" t="str">
            <v>M17</v>
          </cell>
          <cell r="C2434" t="str">
            <v>ซาติน แขนยาวขายาว แพนกวินรวม พื้นเขียว เด็ก S</v>
          </cell>
        </row>
        <row r="2435">
          <cell r="A2435" t="str">
            <v>M0017-XL</v>
          </cell>
          <cell r="B2435" t="str">
            <v>M17</v>
          </cell>
          <cell r="C2435" t="str">
            <v>ซาติน แขนยาวขายาว แพนกวินรวม พื้นเขียว เด็ก XL</v>
          </cell>
        </row>
        <row r="2436">
          <cell r="A2436" t="str">
            <v>M0018-2XL</v>
          </cell>
          <cell r="B2436" t="str">
            <v>M18</v>
          </cell>
          <cell r="C2436" t="str">
            <v>ซาติน แขนยาวขายาว ผักรวม พื้นชมพู เด็ก 2XL</v>
          </cell>
        </row>
        <row r="2437">
          <cell r="A2437" t="str">
            <v>M0018-L</v>
          </cell>
          <cell r="B2437" t="str">
            <v>M18</v>
          </cell>
          <cell r="C2437" t="str">
            <v>ซาติน แขนยาวขายาว ผักรวม พื้นชมพู เด็ก L</v>
          </cell>
        </row>
        <row r="2438">
          <cell r="A2438" t="str">
            <v>M0018-M</v>
          </cell>
          <cell r="B2438" t="str">
            <v>M18</v>
          </cell>
          <cell r="C2438" t="str">
            <v>ซาติน แขนยาวขายาว ผักรวม พื้นชมพู เด็ก M</v>
          </cell>
        </row>
        <row r="2439">
          <cell r="A2439" t="str">
            <v>M0018-S</v>
          </cell>
          <cell r="B2439" t="str">
            <v>M18</v>
          </cell>
          <cell r="C2439" t="str">
            <v>ซาติน แขนยาวขายาว ผักรวม พื้นชมพู เด็ก S</v>
          </cell>
        </row>
        <row r="2440">
          <cell r="A2440" t="str">
            <v>M0018-XL</v>
          </cell>
          <cell r="B2440" t="str">
            <v>M18</v>
          </cell>
          <cell r="C2440" t="str">
            <v>ซาติน แขนยาวขายาว ผักรวม พื้นชมพู เด็ก XL</v>
          </cell>
        </row>
        <row r="2441">
          <cell r="A2441" t="str">
            <v>M0019-2XL</v>
          </cell>
          <cell r="B2441" t="str">
            <v>M19</v>
          </cell>
          <cell r="C2441" t="str">
            <v>ซาติน แขนยาวขายาว แมวรวม พื้นดำ เด็ก 2XL</v>
          </cell>
        </row>
        <row r="2442">
          <cell r="A2442" t="str">
            <v>M0019-L</v>
          </cell>
          <cell r="B2442" t="str">
            <v>M19</v>
          </cell>
          <cell r="C2442" t="str">
            <v>ซาติน แขนยาวขายาว แมวรวม พื้นดำ เด็ก L</v>
          </cell>
        </row>
        <row r="2443">
          <cell r="A2443" t="str">
            <v>M0019-M</v>
          </cell>
          <cell r="B2443" t="str">
            <v>M19</v>
          </cell>
          <cell r="C2443" t="str">
            <v>ซาติน แขนยาวขายาว แมวรวม พื้นดำ เด็ก M</v>
          </cell>
        </row>
        <row r="2444">
          <cell r="A2444" t="str">
            <v>M0019-S</v>
          </cell>
          <cell r="B2444" t="str">
            <v>M19</v>
          </cell>
          <cell r="C2444" t="str">
            <v>ซาติน แขนยาวขายาว แมวรวม พื้นดำ เด็ก S</v>
          </cell>
        </row>
        <row r="2445">
          <cell r="A2445" t="str">
            <v>M0019-XL</v>
          </cell>
          <cell r="B2445" t="str">
            <v>M19</v>
          </cell>
          <cell r="C2445" t="str">
            <v>ซาติน แขนยาวขายาว แมวรวม พื้นดำ เด็ก XL</v>
          </cell>
        </row>
        <row r="2446">
          <cell r="A2446" t="str">
            <v>M0020-L</v>
          </cell>
          <cell r="B2446" t="str">
            <v>M20</v>
          </cell>
          <cell r="C2446" t="str">
            <v>ซาติน แขนสั้นขาสั้น Pancake And Flowers เด็ก L</v>
          </cell>
        </row>
        <row r="2447">
          <cell r="A2447" t="str">
            <v>M0020-M</v>
          </cell>
          <cell r="B2447" t="str">
            <v>M20</v>
          </cell>
          <cell r="C2447" t="str">
            <v>ซาติน แขนสั้นขาสั้น Pancake And Flowers เด็ก M</v>
          </cell>
        </row>
        <row r="2448">
          <cell r="A2448" t="str">
            <v>M0020-S</v>
          </cell>
          <cell r="B2448" t="str">
            <v>M20</v>
          </cell>
          <cell r="C2448" t="str">
            <v>ซาติน แขนสั้นขาสั้น Pancake And Flowers เด็ก S</v>
          </cell>
        </row>
        <row r="2449">
          <cell r="A2449" t="str">
            <v>M0021-L</v>
          </cell>
          <cell r="B2449" t="str">
            <v>M21</v>
          </cell>
          <cell r="C2449" t="str">
            <v>ซาติน แขนสั้นขาสั้น ปีกัสโซ่ เด็ก L</v>
          </cell>
        </row>
        <row r="2450">
          <cell r="A2450" t="str">
            <v>M0021-M</v>
          </cell>
          <cell r="B2450" t="str">
            <v>M21</v>
          </cell>
          <cell r="C2450" t="str">
            <v>ซาติน แขนสั้นขาสั้น ปีกัสโซ่ เด็ก M</v>
          </cell>
        </row>
        <row r="2451">
          <cell r="A2451" t="str">
            <v>M0021-S</v>
          </cell>
          <cell r="B2451" t="str">
            <v>M21</v>
          </cell>
          <cell r="C2451" t="str">
            <v>ซาติน แขนสั้นขาสั้น ปีกัสโซ่ เด็ก S</v>
          </cell>
        </row>
        <row r="2452">
          <cell r="A2452" t="str">
            <v>MA0010-L</v>
          </cell>
          <cell r="B2452" t="str">
            <v>ก5</v>
          </cell>
          <cell r="C2452" t="str">
            <v>เยื่อไผ่ สั้นสั้น เสื้อชีตาร์ L</v>
          </cell>
        </row>
        <row r="2453">
          <cell r="A2453" t="str">
            <v>MA0010-M</v>
          </cell>
          <cell r="B2453" t="str">
            <v>ก5</v>
          </cell>
          <cell r="C2453" t="str">
            <v>เยื่อไผ่ สั้นสั้น เสื้อชีตาร์ M</v>
          </cell>
        </row>
        <row r="2454">
          <cell r="A2454" t="str">
            <v>MA0010-XL</v>
          </cell>
          <cell r="B2454" t="str">
            <v>ก5</v>
          </cell>
          <cell r="C2454" t="str">
            <v>เยื่อไผ่ สั้นสั้น เสื้อชีตาร์ XL</v>
          </cell>
        </row>
        <row r="2455">
          <cell r="A2455" t="str">
            <v>MA0024-L</v>
          </cell>
          <cell r="B2455" t="str">
            <v>ก1</v>
          </cell>
          <cell r="C2455" t="str">
            <v>เยื่อไผ่ สั้นสั้น โบตั่นฟ้า L</v>
          </cell>
        </row>
        <row r="2456">
          <cell r="A2456" t="str">
            <v>MA0024-M</v>
          </cell>
          <cell r="B2456" t="str">
            <v>ก1</v>
          </cell>
          <cell r="C2456" t="str">
            <v>เยื่อไผ่ สั้นสั้น โบตั่นฟ้า M</v>
          </cell>
        </row>
        <row r="2457">
          <cell r="A2457" t="str">
            <v>MA0024-XL</v>
          </cell>
          <cell r="B2457" t="str">
            <v>ก1</v>
          </cell>
          <cell r="C2457" t="str">
            <v>เยื่อไผ่ สั้นสั้น โบตั่นฟ้า XL</v>
          </cell>
        </row>
        <row r="2458">
          <cell r="A2458" t="str">
            <v>MA0025-L</v>
          </cell>
          <cell r="B2458" t="str">
            <v>ก4</v>
          </cell>
          <cell r="C2458" t="str">
            <v>เยื่อไผ่ สั้นสั้น โบตั๋นชมพู L</v>
          </cell>
        </row>
        <row r="2459">
          <cell r="A2459" t="str">
            <v>MA0025-M</v>
          </cell>
          <cell r="B2459" t="str">
            <v>ก4</v>
          </cell>
          <cell r="C2459" t="str">
            <v>เยื่อไผ่ สั้นสั้น โบตั๋นชมพู M</v>
          </cell>
        </row>
        <row r="2460">
          <cell r="A2460" t="str">
            <v>MA0025-XL</v>
          </cell>
          <cell r="B2460" t="str">
            <v>ก4</v>
          </cell>
          <cell r="C2460" t="str">
            <v>เยื่อไผ่ สั้นสั้น โบตั๋นชมพู XL</v>
          </cell>
        </row>
        <row r="2461">
          <cell r="A2461" t="str">
            <v>MA0026-L</v>
          </cell>
          <cell r="B2461" t="str">
            <v>ก2</v>
          </cell>
          <cell r="C2461" t="str">
            <v>เยื่อไผ่ สั้นสั้น โบตั๋นเขียวมิ้น L</v>
          </cell>
        </row>
        <row r="2462">
          <cell r="A2462" t="str">
            <v>MA0026-M</v>
          </cell>
          <cell r="B2462" t="str">
            <v>ก2</v>
          </cell>
          <cell r="C2462" t="str">
            <v>เยื่อไผ่ สั้นสั้น โบตั๋นเขียวมิ้น M</v>
          </cell>
        </row>
        <row r="2463">
          <cell r="A2463" t="str">
            <v>MA0026-XL</v>
          </cell>
          <cell r="B2463" t="str">
            <v>ก2</v>
          </cell>
          <cell r="C2463" t="str">
            <v>เยื่อไผ่ สั้นสั้น โบตั๋นเขียวมิ้น XL</v>
          </cell>
        </row>
        <row r="2464">
          <cell r="A2464" t="str">
            <v>MA0031-M</v>
          </cell>
          <cell r="B2464" t="str">
            <v>MA31</v>
          </cell>
          <cell r="C2464" t="str">
            <v>เยื่อไผ่ สั้นสั้น ชบาขาว พื้นม่วง M หลุด QC</v>
          </cell>
        </row>
        <row r="2465">
          <cell r="A2465" t="str">
            <v>MA0031-XL</v>
          </cell>
          <cell r="B2465" t="str">
            <v>MA31</v>
          </cell>
          <cell r="C2465" t="str">
            <v>เยื่อไผ่ สั้นสั้น ชบาขาว พื้นม่วง XL</v>
          </cell>
        </row>
        <row r="2466">
          <cell r="A2466" t="str">
            <v>MA0063-L</v>
          </cell>
          <cell r="B2466" t="str">
            <v>MA63</v>
          </cell>
          <cell r="C2466" t="str">
            <v>เยื่อไผ่ สั้นสั้น ชบาขาว พื้นเขียว L หลุด QC</v>
          </cell>
        </row>
        <row r="2467">
          <cell r="A2467" t="str">
            <v>MA0079-L</v>
          </cell>
          <cell r="B2467" t="str">
            <v>ก6</v>
          </cell>
          <cell r="C2467" t="str">
            <v>เยื่อไผ่ สั้นสั้น ลายสก๊อต สีน้ำตาล L</v>
          </cell>
        </row>
        <row r="2468">
          <cell r="A2468" t="str">
            <v>MA0079-M</v>
          </cell>
          <cell r="B2468" t="str">
            <v>ก6</v>
          </cell>
          <cell r="C2468" t="str">
            <v>เยื่อไผ่ สั้นสั้น ลายสก๊อต สีน้ำตาล M</v>
          </cell>
        </row>
        <row r="2469">
          <cell r="A2469" t="str">
            <v>MA0079-XL</v>
          </cell>
          <cell r="B2469" t="str">
            <v>ก6</v>
          </cell>
          <cell r="C2469" t="str">
            <v>เยื่อไผ่ สั้นสั้น ลายสก๊อต สีน้ำตาล XL</v>
          </cell>
        </row>
        <row r="2470">
          <cell r="A2470" t="str">
            <v>MA0093-L</v>
          </cell>
          <cell r="B2470" t="str">
            <v>ก4</v>
          </cell>
          <cell r="C2470" t="str">
            <v>เยื่อไผ่ สั้นสั้น ดอกไม้เหลือง พื้นครีม L</v>
          </cell>
        </row>
        <row r="2471">
          <cell r="A2471" t="str">
            <v>MA0093-M</v>
          </cell>
          <cell r="B2471" t="str">
            <v>ก4</v>
          </cell>
          <cell r="C2471" t="str">
            <v>เยื่อไผ่ สั้นสั้น ดอกไม้เหลือง พื้นครีม M</v>
          </cell>
        </row>
        <row r="2472">
          <cell r="A2472" t="str">
            <v>MA0093-XL</v>
          </cell>
          <cell r="B2472" t="str">
            <v>ก4</v>
          </cell>
          <cell r="C2472" t="str">
            <v>เยื่อไผ่ สั้นสั้น ดอกไม้เหลือง พื้นครีม XL</v>
          </cell>
        </row>
        <row r="2473">
          <cell r="A2473" t="str">
            <v>MA0129-L</v>
          </cell>
          <cell r="B2473" t="str">
            <v>MA129</v>
          </cell>
          <cell r="C2473" t="str">
            <v>MA0129-L เยื่อไผ่ สั้นสั้น คอวี ใบไม้น้ำตาลเข้ม L</v>
          </cell>
        </row>
        <row r="2474">
          <cell r="A2474" t="str">
            <v>MA0129-M</v>
          </cell>
          <cell r="B2474" t="str">
            <v>MA129</v>
          </cell>
          <cell r="C2474" t="str">
            <v>MA0129-M เยื่อไผ่ สั้นสั้น คอวี ใบไม้น้ำตาลเข้ม M</v>
          </cell>
        </row>
        <row r="2475">
          <cell r="A2475" t="str">
            <v>MA0136-XL</v>
          </cell>
          <cell r="B2475" t="str">
            <v>MA136</v>
          </cell>
          <cell r="C2475" t="str">
            <v>เยื่อไผ่ สั้นสั้น หัวใจเทา พื้นโอรส XL</v>
          </cell>
        </row>
        <row r="2476">
          <cell r="A2476" t="str">
            <v>MA0165-5XL</v>
          </cell>
          <cell r="B2476" t="str">
            <v>MA165</v>
          </cell>
          <cell r="C2476" t="str">
            <v>เยื่อไผ่ สั้นสั้น PineApple พื้นฟ้า 5XL หลุด QC</v>
          </cell>
        </row>
        <row r="2477">
          <cell r="A2477" t="str">
            <v>MA0176-L</v>
          </cell>
          <cell r="B2477" t="str">
            <v>MA176</v>
          </cell>
          <cell r="C2477" t="str">
            <v>ซาติน สั้นสั้น พื้นครีม หัวใจ ขอบชมพู L</v>
          </cell>
        </row>
        <row r="2478">
          <cell r="A2478" t="str">
            <v>MA0176-XL</v>
          </cell>
          <cell r="B2478" t="str">
            <v>MA176</v>
          </cell>
          <cell r="C2478" t="str">
            <v>ซาติน สั้นสั้น พื้นครีม หัวใจ ขอบชมพู XL หลุด QC</v>
          </cell>
        </row>
        <row r="2479">
          <cell r="A2479" t="str">
            <v>MA0187-M</v>
          </cell>
          <cell r="B2479" t="str">
            <v>MA187</v>
          </cell>
          <cell r="C2479" t="str">
            <v>เยื่อไผ่ สั้นสั้น พื้นกรม ดอกไม้ขาว M หลุด QC</v>
          </cell>
        </row>
        <row r="2480">
          <cell r="A2480" t="str">
            <v>MA0191-XL</v>
          </cell>
          <cell r="B2480" t="str">
            <v>MA191</v>
          </cell>
          <cell r="C2480" t="str">
            <v>เยื่อไผ่ สั้นสั้น พื้นเหลือง ดอกไม้ขาวเหลือง XL หลุด QC</v>
          </cell>
        </row>
        <row r="2481">
          <cell r="A2481" t="str">
            <v>MA0193-XL</v>
          </cell>
          <cell r="B2481" t="str">
            <v>MA193</v>
          </cell>
          <cell r="C2481" t="str">
            <v>เยื่อไผ่ สั้นสั้น สตรอว์เบอร์รี่ พื้นกรม XL หลุด QC</v>
          </cell>
        </row>
        <row r="2482">
          <cell r="A2482" t="str">
            <v>MA0194-L</v>
          </cell>
          <cell r="B2482" t="str">
            <v>MA194</v>
          </cell>
          <cell r="C2482" t="str">
            <v>เยื่อไผ่ สั้นสั้น พื้นขาวเลม่อนเหลือง L หลุด QC</v>
          </cell>
        </row>
        <row r="2483">
          <cell r="A2483" t="str">
            <v>MA0194-M</v>
          </cell>
          <cell r="B2483" t="str">
            <v>MA194</v>
          </cell>
          <cell r="C2483" t="str">
            <v>เยื่อไผ่ สั้นสั้น พื้นขาวเลม่อนเหลือง M หลุด QC</v>
          </cell>
        </row>
        <row r="2484">
          <cell r="A2484" t="str">
            <v>MA0196-L</v>
          </cell>
          <cell r="B2484" t="str">
            <v>MA196</v>
          </cell>
          <cell r="C2484" t="str">
            <v>เยื่อไผ่ สั้นสั้น พื้นนู้ด ดอกไม้น้ำเงิน L หลุด QC</v>
          </cell>
        </row>
        <row r="2485">
          <cell r="A2485" t="str">
            <v>MA0196-M</v>
          </cell>
          <cell r="B2485" t="str">
            <v>MA196</v>
          </cell>
          <cell r="C2485" t="str">
            <v>เยื่อไผ่ สั้นสั้น พื้นนู้ด ดอกไม้น้ำเงิน M หลุด QC</v>
          </cell>
        </row>
        <row r="2486">
          <cell r="A2486" t="str">
            <v>MA0196-XL</v>
          </cell>
          <cell r="B2486" t="str">
            <v>MA196</v>
          </cell>
          <cell r="C2486" t="str">
            <v>เยื่อไผ่ สั้นสั้น พื้นนู้ด ดอกไม้น้ำเงิน XL หลุด QC</v>
          </cell>
        </row>
        <row r="2487">
          <cell r="A2487" t="str">
            <v>MA0202-L</v>
          </cell>
          <cell r="B2487" t="str">
            <v>MA202</v>
          </cell>
          <cell r="C2487" t="str">
            <v>เยื่อไผ่ สั้นสั้น ตุ๊กตาหมี พื้นดำ L หลุด QC</v>
          </cell>
        </row>
        <row r="2488">
          <cell r="A2488" t="str">
            <v>MA0203-XL</v>
          </cell>
          <cell r="B2488" t="str">
            <v>MA203</v>
          </cell>
          <cell r="C2488" t="str">
            <v>เยื่อไผ่ สั้นสั้น พื้นชมพู ลูกพีช XL หลุด QC</v>
          </cell>
        </row>
        <row r="2489">
          <cell r="A2489" t="str">
            <v>MA0204-2XL</v>
          </cell>
          <cell r="B2489" t="str">
            <v>MA204</v>
          </cell>
          <cell r="C2489" t="str">
            <v>เยื่อไผ่ สั้นสั้น สัปปะรด พื้นชมพู 2XL หลุด QC</v>
          </cell>
        </row>
        <row r="2490">
          <cell r="A2490" t="str">
            <v>MA0205-XL</v>
          </cell>
          <cell r="B2490" t="str">
            <v>MA205</v>
          </cell>
          <cell r="C2490" t="str">
            <v>เยื่อไผ่ สั้นสั้น Musical พื้นชมพู XL หลุด QC</v>
          </cell>
        </row>
        <row r="2491">
          <cell r="A2491" t="str">
            <v>MA0212-2XL</v>
          </cell>
          <cell r="B2491" t="str">
            <v>MA212</v>
          </cell>
          <cell r="C2491" t="str">
            <v>เยื่อไผ่ สั้นสั้น Little Cow พิ้นเหลือง 2XL หลุด QC</v>
          </cell>
        </row>
        <row r="2492">
          <cell r="A2492" t="str">
            <v>MA0218-2XL</v>
          </cell>
          <cell r="B2492" t="str">
            <v>MA218</v>
          </cell>
          <cell r="C2492" t="str">
            <v>ซาติน สั้นสั้น พื้นเทา ซากุระขาว 2XL หลุด QC</v>
          </cell>
        </row>
        <row r="2493">
          <cell r="A2493" t="str">
            <v>MA0279-M</v>
          </cell>
          <cell r="B2493" t="str">
            <v>MA279</v>
          </cell>
          <cell r="C2493" t="str">
            <v>เยื่อไผ่ สั้นสั้น หัวใจม่วง ขอบขาว พื้นชมพู M หลุด QC</v>
          </cell>
        </row>
        <row r="2494">
          <cell r="A2494" t="str">
            <v>MA0282-L</v>
          </cell>
          <cell r="B2494" t="str">
            <v>MA282</v>
          </cell>
          <cell r="C2494" t="str">
            <v>เยื่อไผ่ สั้นสั้น บัวชมพู สี่กลีบ พื้นฟ้า L หลุด QC</v>
          </cell>
        </row>
        <row r="2495">
          <cell r="A2495" t="str">
            <v>MA0999-XL</v>
          </cell>
          <cell r="B2495" t="str">
            <v>ก7</v>
          </cell>
          <cell r="C2495" t="str">
            <v>MA0999-XL</v>
          </cell>
        </row>
        <row r="2496">
          <cell r="A2496" t="str">
            <v>MB0002-L</v>
          </cell>
          <cell r="B2496" t="str">
            <v>MB2</v>
          </cell>
          <cell r="C2496" t="str">
            <v>เยื่อไผ่ สั้นยาว กวาง พื้นกรม L</v>
          </cell>
        </row>
        <row r="2497">
          <cell r="A2497" t="str">
            <v>MB0024-L</v>
          </cell>
          <cell r="B2497" t="str">
            <v>ก1</v>
          </cell>
          <cell r="C2497" t="str">
            <v>เยื่อไผ่ สั้นยาว โบตั๋นฟ้า L</v>
          </cell>
        </row>
        <row r="2498">
          <cell r="A2498" t="str">
            <v>MB0024-M</v>
          </cell>
          <cell r="B2498" t="str">
            <v>ก1</v>
          </cell>
          <cell r="C2498" t="str">
            <v>เยื่อไผ่ สั้นยาว โบตั๋นฟ้า M</v>
          </cell>
        </row>
        <row r="2499">
          <cell r="A2499" t="str">
            <v>MB0024-XL</v>
          </cell>
          <cell r="B2499" t="str">
            <v>ก1</v>
          </cell>
          <cell r="C2499" t="str">
            <v>เยื่อไผ่ สั้นยาว โบตั๋นฟ้า XL</v>
          </cell>
        </row>
        <row r="2500">
          <cell r="A2500" t="str">
            <v>MB0025-L</v>
          </cell>
          <cell r="B2500" t="str">
            <v>ก3</v>
          </cell>
          <cell r="C2500" t="str">
            <v>เยื่อไผ่ สั้นยาว โบตั๋นชมพู L</v>
          </cell>
        </row>
        <row r="2501">
          <cell r="A2501" t="str">
            <v>MB0025-M</v>
          </cell>
          <cell r="B2501" t="str">
            <v>ก3</v>
          </cell>
          <cell r="C2501" t="str">
            <v>เยื่อไผ่ สั้นยาว โบตั๋นชมพู M</v>
          </cell>
        </row>
        <row r="2502">
          <cell r="A2502" t="str">
            <v>MB0025-XL</v>
          </cell>
          <cell r="B2502" t="str">
            <v>ก3</v>
          </cell>
          <cell r="C2502" t="str">
            <v>เยื่อไผ่ สั้นยาว โบตั๋นชมพู XL</v>
          </cell>
        </row>
        <row r="2503">
          <cell r="A2503" t="str">
            <v>MB0026-L</v>
          </cell>
          <cell r="B2503" t="str">
            <v>ก2</v>
          </cell>
          <cell r="C2503" t="str">
            <v>เยื่อไผ่ สั้นยาว โบตั๋นเขียวมิ้น L</v>
          </cell>
        </row>
        <row r="2504">
          <cell r="A2504" t="str">
            <v>MB0026-M</v>
          </cell>
          <cell r="B2504" t="str">
            <v>ก2</v>
          </cell>
          <cell r="C2504" t="str">
            <v>เยื่อไผ่ สั้นยาว โบตั๋นเขียวมิ้น M</v>
          </cell>
        </row>
        <row r="2505">
          <cell r="A2505" t="str">
            <v>MB0026-XL</v>
          </cell>
          <cell r="B2505" t="str">
            <v>ก2</v>
          </cell>
          <cell r="C2505" t="str">
            <v>เยื่อไผ่ สั้นยาว โบตั๋นเขียวมิ้น XL</v>
          </cell>
        </row>
        <row r="2506">
          <cell r="A2506" t="str">
            <v>MB0027-M</v>
          </cell>
          <cell r="B2506" t="str">
            <v>MB27</v>
          </cell>
          <cell r="C2506" t="str">
            <v>เยื่อไผ่ สั้นยาว คอวี โบตั๋นชมพู M หลุด QC</v>
          </cell>
        </row>
        <row r="2507">
          <cell r="A2507" t="str">
            <v>MB0029-L</v>
          </cell>
          <cell r="B2507" t="str">
            <v>ก5</v>
          </cell>
          <cell r="C2507" t="str">
            <v>เยื่อไผ่ สั้นยาว คอวี โบตั๋นเขียวมิ้น L</v>
          </cell>
        </row>
        <row r="2508">
          <cell r="A2508" t="str">
            <v>MB0029-M</v>
          </cell>
          <cell r="B2508" t="str">
            <v>ก5</v>
          </cell>
          <cell r="C2508" t="str">
            <v>เยื่อไผ่ สั้นยาว คอวี โบตั๋นเขียวมิ้น M</v>
          </cell>
        </row>
        <row r="2509">
          <cell r="A2509" t="str">
            <v>MB0029-XL</v>
          </cell>
          <cell r="B2509" t="str">
            <v>ก5</v>
          </cell>
          <cell r="C2509" t="str">
            <v>เยื่อไผ่ สั้นยาว คอวี โบตั๋นเขียวมิ้น XL</v>
          </cell>
        </row>
        <row r="2510">
          <cell r="A2510" t="str">
            <v>MB0045-M</v>
          </cell>
          <cell r="B2510" t="str">
            <v>MB45</v>
          </cell>
          <cell r="C2510" t="str">
            <v>เยื่อไผ่ สั้นยาว ดอกไม้ส้ม พื้นชมพู M</v>
          </cell>
        </row>
        <row r="2511">
          <cell r="A2511" t="str">
            <v>MB0093-L</v>
          </cell>
          <cell r="B2511" t="str">
            <v>ก2</v>
          </cell>
          <cell r="C2511" t="str">
            <v>เยื่อไผ่ สั้นยาว ดอกไม้เหลือง พื้นครีม L</v>
          </cell>
        </row>
        <row r="2512">
          <cell r="A2512" t="str">
            <v>MB0093-M</v>
          </cell>
          <cell r="B2512" t="str">
            <v>ก2</v>
          </cell>
          <cell r="C2512" t="str">
            <v>เยื่อไผ่ สั้นยาว ดอกไม้เหลือง พื้นครีม M</v>
          </cell>
        </row>
        <row r="2513">
          <cell r="A2513" t="str">
            <v>MB0093-XL</v>
          </cell>
          <cell r="B2513" t="str">
            <v>ก2</v>
          </cell>
          <cell r="C2513" t="str">
            <v>เยื่อไผ่ สั้นยาว ดอกไม้เหลือง พื้นครีม XL</v>
          </cell>
        </row>
        <row r="2514">
          <cell r="A2514" t="str">
            <v>MB0158-L</v>
          </cell>
          <cell r="B2514" t="str">
            <v>MB158</v>
          </cell>
          <cell r="C2514" t="str">
            <v>เยื่อไผ่ สั้นยาว พื้นโอรส ขอบขาว L หลุด QC</v>
          </cell>
        </row>
        <row r="2515">
          <cell r="A2515" t="str">
            <v>MB0158-M</v>
          </cell>
          <cell r="B2515" t="str">
            <v>MB158</v>
          </cell>
          <cell r="C2515" t="str">
            <v>เยื่อไผ่ สั้นยาว พื้นโอรส ขอบขาว M หลุด QC</v>
          </cell>
        </row>
        <row r="2516">
          <cell r="A2516" t="str">
            <v>MB0180-L</v>
          </cell>
          <cell r="B2516" t="str">
            <v>ก3</v>
          </cell>
          <cell r="C2516" t="str">
            <v>เยื่อไผ่ สั้นยาว ดอกไม้ส้ม พื้นชมพู ใบไม้เขียว L</v>
          </cell>
        </row>
        <row r="2517">
          <cell r="A2517" t="str">
            <v>MB0180-M</v>
          </cell>
          <cell r="B2517" t="str">
            <v>ก3</v>
          </cell>
          <cell r="C2517" t="str">
            <v>เยื่อไผ่ สั้นยาว ดอกไม้ส้ม พื้นชมพู ใบไม้เขียว M</v>
          </cell>
        </row>
        <row r="2518">
          <cell r="A2518" t="str">
            <v>MB0180-XL</v>
          </cell>
          <cell r="B2518" t="str">
            <v>ก3</v>
          </cell>
          <cell r="C2518" t="str">
            <v>เยื่อไผ่ สั้นยาว ดอกไม้ส้ม พื้นชมพู ใบไม้เขียว XL</v>
          </cell>
        </row>
        <row r="2519">
          <cell r="A2519" t="str">
            <v>MB0181-L</v>
          </cell>
          <cell r="B2519" t="str">
            <v>ก7</v>
          </cell>
          <cell r="C2519" t="str">
            <v>เยื่อไผ่ สั้นยาว ใบไม้หลาก เขียว ชมพู L</v>
          </cell>
        </row>
        <row r="2520">
          <cell r="A2520" t="str">
            <v>MB0181-M</v>
          </cell>
          <cell r="B2520" t="str">
            <v>ก7</v>
          </cell>
          <cell r="C2520" t="str">
            <v>เยื่อไผ่ สั้นยาว ใบไม้หลาก เขียว ชมพู M</v>
          </cell>
        </row>
        <row r="2521">
          <cell r="A2521" t="str">
            <v>MB0181-XL</v>
          </cell>
          <cell r="B2521" t="str">
            <v>ก7</v>
          </cell>
          <cell r="C2521" t="str">
            <v>เยื่อไผ่ สั้นยาว ใบไม้หลาก เขียว ชมพู XL</v>
          </cell>
        </row>
        <row r="2522">
          <cell r="A2522" t="str">
            <v>MB0182-L</v>
          </cell>
          <cell r="B2522" t="str">
            <v>ก1</v>
          </cell>
          <cell r="C2522" t="str">
            <v>เยื่อไผ่ สั้นยาว ดอกไม้ Tropical ทานตะวัน พื้นเหลืองอ่อน L</v>
          </cell>
        </row>
        <row r="2523">
          <cell r="A2523" t="str">
            <v>MB0182-M</v>
          </cell>
          <cell r="B2523" t="str">
            <v>ก1</v>
          </cell>
          <cell r="C2523" t="str">
            <v>เยื่อไผ่ สั้นยาว ดอกไม้ Tropical ทานตะวัน พื้นเหลืองอ่อน M</v>
          </cell>
        </row>
        <row r="2524">
          <cell r="A2524" t="str">
            <v>MB0182-XL</v>
          </cell>
          <cell r="B2524" t="str">
            <v>ก1</v>
          </cell>
          <cell r="C2524" t="str">
            <v>เยื่อไผ่ สั้นยาว ดอกไม้ Tropical ทานตะวัน พื้นเหลืองอ่อน XL</v>
          </cell>
        </row>
        <row r="2525">
          <cell r="A2525" t="str">
            <v>MB0183-L</v>
          </cell>
          <cell r="B2525" t="str">
            <v>ก1</v>
          </cell>
          <cell r="C2525" t="str">
            <v>เยื่อไผ่ สั้นยาว ใบไม้ สีน้ำ พื้นขาว L</v>
          </cell>
        </row>
        <row r="2526">
          <cell r="A2526" t="str">
            <v>MB0183-M</v>
          </cell>
          <cell r="B2526" t="str">
            <v>ก1</v>
          </cell>
          <cell r="C2526" t="str">
            <v>เยื่อไผ่ สั้นยาว ใบไม้ สีน้ำ พื้นขาว M</v>
          </cell>
        </row>
        <row r="2527">
          <cell r="A2527" t="str">
            <v>MB0183-XL</v>
          </cell>
          <cell r="B2527" t="str">
            <v>ก1</v>
          </cell>
          <cell r="C2527" t="str">
            <v>เยื่อไผ่ สั้นยาว ใบไม้ สีน้ำ พื้นขาว XL</v>
          </cell>
        </row>
        <row r="2528">
          <cell r="A2528" t="str">
            <v>MB0184-L</v>
          </cell>
          <cell r="B2528" t="str">
            <v>ก2</v>
          </cell>
          <cell r="C2528" t="str">
            <v>เยื่อไผ่ สั้นยาว ดอกไม้เทา ชมพู พื้นเหลือง L</v>
          </cell>
        </row>
        <row r="2529">
          <cell r="A2529" t="str">
            <v>MB0184-M</v>
          </cell>
          <cell r="B2529" t="str">
            <v>ก2</v>
          </cell>
          <cell r="C2529" t="str">
            <v>เยื่อไผ่ สั้นยาว ดอกไม้เทา ชมพู พื้นเหลือง M</v>
          </cell>
        </row>
        <row r="2530">
          <cell r="A2530" t="str">
            <v>MB0184-XL</v>
          </cell>
          <cell r="B2530" t="str">
            <v>ก2</v>
          </cell>
          <cell r="C2530" t="str">
            <v>เยื่อไผ่ สั้นยาว ดอกไม้เทา ชมพู พื้นเหลือง XL</v>
          </cell>
        </row>
        <row r="2531">
          <cell r="A2531" t="str">
            <v>MB0223-L</v>
          </cell>
          <cell r="B2531" t="str">
            <v>MB223</v>
          </cell>
          <cell r="C2531" t="str">
            <v>เยื่อไผ่ สั้นยาว ใบไม้น้ำเงิน พื้นชมพู L หลุด QC</v>
          </cell>
        </row>
        <row r="2532">
          <cell r="A2532" t="str">
            <v>MB0228-XL</v>
          </cell>
          <cell r="B2532" t="str">
            <v>MB228</v>
          </cell>
          <cell r="C2532" t="str">
            <v>เยื่อไผ่ สั้นยาว Pineapple พื้นเทา XL หลุด QC</v>
          </cell>
        </row>
        <row r="2533">
          <cell r="A2533" t="str">
            <v>MB0229-2XL</v>
          </cell>
          <cell r="B2533" t="str">
            <v>MB229</v>
          </cell>
          <cell r="C2533" t="str">
            <v>เยื่อไผ่ สั้นยาว อายเดซี่สีขาว พื้นสีพีช 2XL หลุด QC</v>
          </cell>
        </row>
        <row r="2534">
          <cell r="A2534" t="str">
            <v>MB0229-XL</v>
          </cell>
          <cell r="B2534" t="str">
            <v>MB229</v>
          </cell>
          <cell r="C2534" t="str">
            <v>เยื่อไผ่ สั้นยาว อายเดซี่สีขาว พื้นสีพีช XL หลุด QC</v>
          </cell>
        </row>
        <row r="2535">
          <cell r="A2535" t="str">
            <v>MB0230-XL</v>
          </cell>
          <cell r="B2535" t="str">
            <v>MB230</v>
          </cell>
          <cell r="C2535" t="str">
            <v>เยื่อไผ่ สั้นยาว หัวใจตารางขาวดำ YOU! พื้นชมพู XL</v>
          </cell>
        </row>
        <row r="2536">
          <cell r="A2536" t="str">
            <v>MB0237-2XL</v>
          </cell>
          <cell r="B2536" t="str">
            <v>MB237</v>
          </cell>
          <cell r="C2536" t="str">
            <v>เยื่อไผ่ สั้นยาว Clover ตุ่มแดง พื้นขาว 2XL หลุด QC</v>
          </cell>
        </row>
        <row r="2537">
          <cell r="A2537" t="str">
            <v>MB0241-2XL</v>
          </cell>
          <cell r="B2537" t="str">
            <v>MB241</v>
          </cell>
          <cell r="C2537" t="str">
            <v>เยื่อไผ่ สั้นยาว เบอรี่สีพีช ใบไม้เขียวแก่ พื้นฟ้า 2XL หลุด QC</v>
          </cell>
        </row>
        <row r="2538">
          <cell r="A2538" t="str">
            <v>MB0243-2XL</v>
          </cell>
          <cell r="B2538" t="str">
            <v>MB243</v>
          </cell>
          <cell r="C2538" t="str">
            <v>เยื่อไผ่ สั้นยาว Baby Duck ก้อนลายจุดดำ พื้นฟ้า 2XL หลุด QC</v>
          </cell>
        </row>
        <row r="2539">
          <cell r="A2539" t="str">
            <v>MB0244-2XL</v>
          </cell>
          <cell r="B2539" t="str">
            <v>MB244</v>
          </cell>
          <cell r="C2539" t="str">
            <v>เยื่อไผ่ สั้นยาว หัวใจเทาขอบขาว สายใยขาว พื้นชมพู 2XL</v>
          </cell>
        </row>
        <row r="2540">
          <cell r="A2540" t="str">
            <v>MB0246-L</v>
          </cell>
          <cell r="B2540" t="str">
            <v>MB246</v>
          </cell>
          <cell r="C2540" t="str">
            <v>เยื่อไผ่ สั้นยาว ดอกไม้ขาวแซมน้ำตาล พื้นฟ้า L หลุด QC</v>
          </cell>
        </row>
        <row r="2541">
          <cell r="A2541" t="str">
            <v>MB0249-L</v>
          </cell>
          <cell r="B2541" t="str">
            <v>MB249</v>
          </cell>
          <cell r="C2541" t="str">
            <v>เยื่อไผ่ สั้นยาว Cute Teddy Bear พื้นเขียว L หลุด QC</v>
          </cell>
        </row>
        <row r="2542">
          <cell r="A2542" t="str">
            <v>MB0251-2XL</v>
          </cell>
          <cell r="B2542" t="str">
            <v>MB251</v>
          </cell>
          <cell r="C2542" t="str">
            <v>เยื่อไผ่ สั้นยาว เท็ดดี้สเวตเตอร์ฟ้า พื้นส้ม 2XL หลุด QC</v>
          </cell>
        </row>
        <row r="2543">
          <cell r="A2543" t="str">
            <v>MB0251-L</v>
          </cell>
          <cell r="B2543" t="str">
            <v>MB251</v>
          </cell>
          <cell r="C2543" t="str">
            <v>เยื่อไผ่ สั้นยาว เท็ดดี้สเวตเตอร์ฟ้า พื้นส้ม L หลุด QC</v>
          </cell>
        </row>
        <row r="2544">
          <cell r="A2544" t="str">
            <v>MB0253-2XL</v>
          </cell>
          <cell r="B2544" t="str">
            <v>MB253</v>
          </cell>
          <cell r="C2544" t="str">
            <v>เยื่อไผ่ สั้นยาว สนูปปี้บอย พื้นกรม 2XL หลุด QC</v>
          </cell>
        </row>
        <row r="2545">
          <cell r="A2545" t="str">
            <v>MB0254-2XL</v>
          </cell>
          <cell r="B2545" t="str">
            <v>MB254</v>
          </cell>
          <cell r="C2545" t="str">
            <v>เยื่อไผ่ สั้นยาว หมีครีม จมูกบาน พื้นฟ้า 2XL หลุด QC</v>
          </cell>
        </row>
        <row r="2546">
          <cell r="A2546" t="str">
            <v>MB0256-L</v>
          </cell>
          <cell r="B2546" t="str">
            <v>MB256</v>
          </cell>
          <cell r="C2546" t="str">
            <v>เยื่อไผ่ สั้นยาว Pinky Sunflower พื้นฟ้า L หลุด QC</v>
          </cell>
        </row>
        <row r="2547">
          <cell r="A2547" t="str">
            <v>MB0256-XL</v>
          </cell>
          <cell r="B2547" t="str">
            <v>MB256</v>
          </cell>
          <cell r="C2547" t="str">
            <v>เยื่อไผ่ สั้นยาว Pinky Sunflower พื้นฟ้า XL หลุด QC</v>
          </cell>
        </row>
        <row r="2548">
          <cell r="A2548" t="str">
            <v>MB0259-XL</v>
          </cell>
          <cell r="B2548" t="str">
            <v>MB259</v>
          </cell>
          <cell r="C2548" t="str">
            <v>เยื่อไผ่ สั้นยาว สนูปปี้บอย พื้นเหลือง XL</v>
          </cell>
        </row>
        <row r="2549">
          <cell r="A2549" t="str">
            <v>MB0260-XL</v>
          </cell>
          <cell r="B2549" t="str">
            <v>ก8</v>
          </cell>
          <cell r="C2549" t="str">
            <v>เยื่อไผ่ สั้นยาว หมีขาวกอดหมอนฟ้า พื้นฟ้า XL</v>
          </cell>
        </row>
        <row r="2550">
          <cell r="A2550" t="str">
            <v>MB0261-XL</v>
          </cell>
          <cell r="B2550" t="str">
            <v>MB261</v>
          </cell>
          <cell r="C2550" t="str">
            <v>เยื่อไผ่ สั้นยาว Clover หลากสี พื้นฟ้า XL หลุด QC</v>
          </cell>
        </row>
        <row r="2551">
          <cell r="A2551" t="str">
            <v>MB0262-2XL</v>
          </cell>
          <cell r="B2551" t="str">
            <v>MB262</v>
          </cell>
          <cell r="C2551" t="str">
            <v>เยื่อไผ่ สั้นยาว Curve พื้นเขียว 2XL หลุด QC</v>
          </cell>
        </row>
        <row r="2552">
          <cell r="A2552" t="str">
            <v>MB0264-2XL</v>
          </cell>
          <cell r="B2552" t="str">
            <v>MB264</v>
          </cell>
          <cell r="C2552" t="str">
            <v>เยื่อไผ่ สั้นยาว เกสรเหลือง พื้นชมพู 2XL หลุด QC</v>
          </cell>
        </row>
        <row r="2553">
          <cell r="A2553" t="str">
            <v>MB0265-XL</v>
          </cell>
          <cell r="B2553" t="str">
            <v>MB265</v>
          </cell>
          <cell r="C2553" t="str">
            <v>เยื่อไผ่ สั้นยาว Baby Duck ก้อนลายจุดดำ พื้นชมพู XL หลุด QC</v>
          </cell>
        </row>
        <row r="2554">
          <cell r="A2554" t="str">
            <v>MB0268-2XL</v>
          </cell>
          <cell r="B2554" t="str">
            <v>MB268</v>
          </cell>
          <cell r="C2554" t="str">
            <v>เยื่อไผ่ สั้นยาว sticker ดอกไม้ พื้นเหลือง 2XL หลุด QC</v>
          </cell>
        </row>
        <row r="2555">
          <cell r="A2555" t="str">
            <v>MB0271-XL</v>
          </cell>
          <cell r="B2555" t="str">
            <v>MB271</v>
          </cell>
          <cell r="C2555" t="str">
            <v>เยื่อไผ่ สั้นยาว ออมสินหมีอ้วน พื้นชมพูอ่อน XL</v>
          </cell>
        </row>
        <row r="2556">
          <cell r="A2556" t="str">
            <v>MB0273-2XL</v>
          </cell>
          <cell r="B2556" t="str">
            <v>MB273</v>
          </cell>
          <cell r="C2556" t="str">
            <v>เยื่อไผ่ สั้นยาว Pinky Sunflower พื้นชมพู 2XL หลุด QC</v>
          </cell>
        </row>
        <row r="2557">
          <cell r="A2557" t="str">
            <v>MB0274-XL</v>
          </cell>
          <cell r="B2557" t="str">
            <v>MB274</v>
          </cell>
          <cell r="C2557" t="str">
            <v>เยื่อไผ่ สั้นยาว ก้อนหินหลากสี พื้นขาว XL หลุด QC</v>
          </cell>
        </row>
        <row r="2558">
          <cell r="A2558" t="str">
            <v>MB0285-M</v>
          </cell>
          <cell r="B2558" t="str">
            <v>MB285</v>
          </cell>
          <cell r="C2558" t="str">
            <v>ซาติน สั้นยาว ปกเขียว วงกลมเสี้ยว ขาวเขียว M หลุด QC</v>
          </cell>
        </row>
        <row r="2559">
          <cell r="A2559" t="str">
            <v>MC0002-L</v>
          </cell>
          <cell r="B2559" t="str">
            <v>MC2</v>
          </cell>
          <cell r="C2559" t="str">
            <v>เยื่อไผ่ ยาวยาว กวาง พื้นกรม L หลุด QC</v>
          </cell>
        </row>
        <row r="2560">
          <cell r="A2560" t="str">
            <v>MC0020-XL</v>
          </cell>
          <cell r="B2560" t="str">
            <v>MC20</v>
          </cell>
          <cell r="C2560" t="str">
            <v>เยื่อไผ่ ยาวยาว ใบไม้เขียว พื้นเขียว XL หลุด QC</v>
          </cell>
        </row>
        <row r="2561">
          <cell r="A2561" t="str">
            <v>MC0023-L</v>
          </cell>
          <cell r="B2561" t="str">
            <v>MC23</v>
          </cell>
          <cell r="C2561" t="str">
            <v>เยื่อไผ่ ยาวยาว กุหลาบ พื้นเทา L</v>
          </cell>
        </row>
        <row r="2562">
          <cell r="A2562" t="str">
            <v>MC0024-XL</v>
          </cell>
          <cell r="B2562" t="str">
            <v>MC24</v>
          </cell>
          <cell r="C2562" t="str">
            <v>เยื่อไผ่ ยาวยาว โบตั๋นฟ้า XL หลุด QC</v>
          </cell>
        </row>
        <row r="2563">
          <cell r="A2563" t="str">
            <v>MC0026-L</v>
          </cell>
          <cell r="B2563" t="str">
            <v>ก2</v>
          </cell>
          <cell r="C2563" t="str">
            <v>เยื่อไผ่ ยาวยาว โบตั๋นเขียวมิ้น L</v>
          </cell>
        </row>
        <row r="2564">
          <cell r="A2564" t="str">
            <v>MC0026-M</v>
          </cell>
          <cell r="B2564" t="str">
            <v>ก2</v>
          </cell>
          <cell r="C2564" t="str">
            <v>เยื่อไผ่ ยาวยาว โบตั๋นเขียวมิ้น M</v>
          </cell>
        </row>
        <row r="2565">
          <cell r="A2565" t="str">
            <v>MC0026-XL</v>
          </cell>
          <cell r="B2565" t="str">
            <v>ก2</v>
          </cell>
          <cell r="C2565" t="str">
            <v>เยื่อไผ่ ยาวยาว โบตั๋นเขียวมิ้น XL</v>
          </cell>
        </row>
        <row r="2566">
          <cell r="A2566" t="str">
            <v>MC0029-L</v>
          </cell>
          <cell r="B2566" t="str">
            <v>ก4</v>
          </cell>
          <cell r="C2566" t="str">
            <v>เยื่อไผ่ ยาวยาว คอวี โบตั๋นเขียวมิ้น L</v>
          </cell>
        </row>
        <row r="2567">
          <cell r="A2567" t="str">
            <v>MC0029-M</v>
          </cell>
          <cell r="B2567" t="str">
            <v>ก4</v>
          </cell>
          <cell r="C2567" t="str">
            <v>เยื่อไผ่ ยาวยาว คอวี โบตั๋นเขียวมิ้น M</v>
          </cell>
        </row>
        <row r="2568">
          <cell r="A2568" t="str">
            <v>MC0029-XL</v>
          </cell>
          <cell r="B2568" t="str">
            <v>ก4</v>
          </cell>
          <cell r="C2568" t="str">
            <v>เยื่อไผ่ ยาวยาว คอวี โบตั๋นเขียวมิ้น XL</v>
          </cell>
        </row>
        <row r="2569">
          <cell r="A2569" t="str">
            <v>MC0032-XL</v>
          </cell>
          <cell r="B2569" t="str">
            <v>MC32</v>
          </cell>
          <cell r="C2569" t="str">
            <v>เยื่อไผ่ ยาวยาว ดอกไม้ขาว พื้นกรม XL หลุด QC</v>
          </cell>
        </row>
        <row r="2570">
          <cell r="A2570" t="str">
            <v>MC0038-XL</v>
          </cell>
          <cell r="B2570" t="str">
            <v>MC38</v>
          </cell>
          <cell r="C2570" t="str">
            <v>เยื่อไผ่ ยาวยาว ดอกไม้ขาว พื้นชมพู XL หลุด QC</v>
          </cell>
        </row>
        <row r="2571">
          <cell r="A2571" t="str">
            <v>MC0040-M</v>
          </cell>
          <cell r="B2571" t="str">
            <v>ก9</v>
          </cell>
          <cell r="C2571" t="str">
            <v>เยื่อไผ่ ยาวยาว ดอกไม้เหลือง พื้นดำ M</v>
          </cell>
        </row>
        <row r="2572">
          <cell r="A2572" t="str">
            <v>MC0041-L</v>
          </cell>
          <cell r="B2572" t="str">
            <v>ก10</v>
          </cell>
          <cell r="C2572" t="str">
            <v>เยื่อไผ่ ยาวยาว ดอกไม้ชมพูใหญ่ พื้นกรม L</v>
          </cell>
        </row>
        <row r="2573">
          <cell r="A2573" t="str">
            <v>MC0041-M</v>
          </cell>
          <cell r="B2573" t="str">
            <v>ก10</v>
          </cell>
          <cell r="C2573" t="str">
            <v>เยื่อไผ่ ยาวยาว ดอกไม้ชมพูใหญ่ พื้นกรม M</v>
          </cell>
        </row>
        <row r="2574">
          <cell r="A2574" t="str">
            <v>MC0041-XL</v>
          </cell>
          <cell r="B2574" t="str">
            <v>ก10</v>
          </cell>
          <cell r="C2574" t="str">
            <v>เยื่อไผ่ ยาวยาว ดอกไม้ชมพูใหญ่ พื้นกรม XL</v>
          </cell>
        </row>
        <row r="2575">
          <cell r="A2575" t="str">
            <v>MC0045-L</v>
          </cell>
          <cell r="B2575" t="str">
            <v>MC45</v>
          </cell>
          <cell r="C2575" t="str">
            <v>เยื่อไผ่ ยาวยาว ดอกไม้ส้ม พื้นชมพู L หลุด QC</v>
          </cell>
        </row>
        <row r="2576">
          <cell r="A2576" t="str">
            <v>MC0062-M</v>
          </cell>
          <cell r="B2576" t="str">
            <v>MC62</v>
          </cell>
          <cell r="C2576" t="str">
            <v>เยื่อไผ่ ยาวยาว ดอกไม้น้ำตาล พื้นขาว M หลุด QC</v>
          </cell>
        </row>
        <row r="2577">
          <cell r="A2577" t="str">
            <v>MC0069-XL</v>
          </cell>
          <cell r="B2577" t="str">
            <v>MC69</v>
          </cell>
          <cell r="C2577" t="str">
            <v>เยื่อไผ่ ยาวยาว ฮาวายเหลือง XL หลุด QC</v>
          </cell>
        </row>
        <row r="2578">
          <cell r="A2578" t="str">
            <v>MC0077-M</v>
          </cell>
          <cell r="B2578" t="str">
            <v>MC77</v>
          </cell>
          <cell r="C2578" t="str">
            <v>เยื่อไผ่ ยาวยาว หัวใจ พื้นชมพู M หลุด QC</v>
          </cell>
        </row>
        <row r="2579">
          <cell r="A2579" t="str">
            <v>MC0118-M</v>
          </cell>
          <cell r="B2579" t="str">
            <v>MC118</v>
          </cell>
          <cell r="C2579" t="str">
            <v>เยื่อไผ่ ยาวยาว คอวี ดอกไม้ขาว พื้นเทาอ่อน M หลุด QC</v>
          </cell>
        </row>
        <row r="2580">
          <cell r="A2580" t="str">
            <v>MC0125-L</v>
          </cell>
          <cell r="B2580" t="str">
            <v>MC125</v>
          </cell>
          <cell r="C2580" t="str">
            <v>เยื่อไผ่ ยาวยาว Line friend พื้นชมพู L หลุด QC</v>
          </cell>
        </row>
        <row r="2581">
          <cell r="A2581" t="str">
            <v>MC0134-L</v>
          </cell>
          <cell r="B2581" t="str">
            <v>ก3</v>
          </cell>
          <cell r="C2581" t="str">
            <v>เยื้อไผ่ ยาวยาว กระต่ายดำ พื้นชมพู L</v>
          </cell>
        </row>
        <row r="2582">
          <cell r="A2582" t="str">
            <v>MC0134-M</v>
          </cell>
          <cell r="B2582" t="str">
            <v>ก3</v>
          </cell>
          <cell r="C2582" t="str">
            <v>เยื้อไผ่ ยาวยาว กระต่ายดำ พื้นชมพู M</v>
          </cell>
        </row>
        <row r="2583">
          <cell r="A2583" t="str">
            <v>MC0134-XL</v>
          </cell>
          <cell r="B2583" t="str">
            <v>ก3</v>
          </cell>
          <cell r="C2583" t="str">
            <v>เยื้อไผ่ ยาวยาว กระต่ายดำ พื้นชมพู XL</v>
          </cell>
        </row>
        <row r="2584">
          <cell r="A2584" t="str">
            <v>MC0143-M</v>
          </cell>
          <cell r="B2584" t="str">
            <v>MC143</v>
          </cell>
          <cell r="C2584" t="str">
            <v>เยื่อไผ่ ยาวยาว ดอกไม้ขาวใหญ่ พื้นเขียวมิ้น M หลุด QC</v>
          </cell>
        </row>
        <row r="2585">
          <cell r="A2585" t="str">
            <v>MC0146-M</v>
          </cell>
          <cell r="B2585" t="str">
            <v>MC146</v>
          </cell>
          <cell r="C2585" t="str">
            <v>เยื่อไผ่ ยาวยาว ดอกไม้เหลือง เกสรแดง พื้นชมพู M</v>
          </cell>
        </row>
        <row r="2586">
          <cell r="A2586" t="str">
            <v>MC0175-L</v>
          </cell>
          <cell r="B2586" t="str">
            <v>ก9</v>
          </cell>
          <cell r="C2586" t="str">
            <v>เยื่อไผ่ ยาวยาว ดาว พื้นฟ้า L</v>
          </cell>
        </row>
        <row r="2587">
          <cell r="A2587" t="str">
            <v>MC0175-M</v>
          </cell>
          <cell r="B2587" t="str">
            <v>MC175</v>
          </cell>
          <cell r="C2587" t="str">
            <v>เยื่อไผ่ ยาวยาว ดาว พื้นฟ้า M หลุด QC</v>
          </cell>
        </row>
        <row r="2588">
          <cell r="A2588" t="str">
            <v>MC0175-XL</v>
          </cell>
          <cell r="B2588" t="str">
            <v>ก9</v>
          </cell>
          <cell r="C2588" t="str">
            <v>เยื่อไผ่ ยาวยาว ดาว พื้นฟ้า XL</v>
          </cell>
        </row>
        <row r="2589">
          <cell r="A2589" t="str">
            <v>MC0176-L</v>
          </cell>
          <cell r="B2589" t="str">
            <v>ก5</v>
          </cell>
          <cell r="C2589" t="str">
            <v>MC0176-L</v>
          </cell>
        </row>
        <row r="2590">
          <cell r="A2590" t="str">
            <v>MC0176-M</v>
          </cell>
          <cell r="B2590" t="str">
            <v>ก5</v>
          </cell>
          <cell r="C2590" t="str">
            <v>เยื่อไผ่ ยาวยาว ดอกแดง ขอบเขียว M</v>
          </cell>
        </row>
        <row r="2591">
          <cell r="A2591" t="str">
            <v>MC0176-XL</v>
          </cell>
          <cell r="B2591" t="str">
            <v>ก5</v>
          </cell>
          <cell r="C2591" t="str">
            <v>เยื่อไผ่ ยาวยาว ดอกแดง ขอบเขียว XL</v>
          </cell>
        </row>
        <row r="2592">
          <cell r="A2592" t="str">
            <v>MC0180-L</v>
          </cell>
          <cell r="B2592" t="str">
            <v>ก3</v>
          </cell>
          <cell r="C2592" t="str">
            <v>เยื่อไผ่ ยาวยาว ดอกไม้ส้ม พื้นชมพู ใบไม้เขียว L</v>
          </cell>
        </row>
        <row r="2593">
          <cell r="A2593" t="str">
            <v>MC0180-M</v>
          </cell>
          <cell r="B2593" t="str">
            <v>ก3</v>
          </cell>
          <cell r="C2593" t="str">
            <v>เยื่อไผ่ ยาวยาว ดอกไม้ส้ม พื้นชมพู ใบไม้เขียว M</v>
          </cell>
        </row>
        <row r="2594">
          <cell r="A2594" t="str">
            <v>MC0180-XL</v>
          </cell>
          <cell r="B2594" t="str">
            <v>ก3</v>
          </cell>
          <cell r="C2594" t="str">
            <v>เยื่อไผ่ ยาวยาว ดอกไม้ส้ม พื้นชมพู ใบไม้เขียว XL</v>
          </cell>
        </row>
        <row r="2595">
          <cell r="A2595" t="str">
            <v>MC0181-L</v>
          </cell>
          <cell r="B2595" t="str">
            <v>MC181</v>
          </cell>
          <cell r="C2595" t="str">
            <v>เยื่อไผ่ ยาวยาว ใบไม้หลาก เขียว ชมพู L หลุด QC</v>
          </cell>
        </row>
        <row r="2596">
          <cell r="A2596" t="str">
            <v>MC0182-L</v>
          </cell>
          <cell r="B2596" t="str">
            <v>ก2</v>
          </cell>
          <cell r="C2596" t="str">
            <v>เยื่อไผ่ ยาวยาว ดอกไม้ Tropical ทานตะวัน พื้นเหลืองอ่อน L</v>
          </cell>
        </row>
        <row r="2597">
          <cell r="A2597" t="str">
            <v>MC0182-M</v>
          </cell>
          <cell r="B2597" t="str">
            <v>ก2</v>
          </cell>
          <cell r="C2597" t="str">
            <v>เยื่อไผ่ ยาวยาว ดอกไม้ Tropical ทานตะวัน พื้นเหลืองอ่อน M</v>
          </cell>
        </row>
        <row r="2598">
          <cell r="A2598" t="str">
            <v>MC0182-XL</v>
          </cell>
          <cell r="B2598" t="str">
            <v>ก2</v>
          </cell>
          <cell r="C2598" t="str">
            <v>เยื่อไผ่ ยาวยาว ดอกไม้ Tropical ทานตะวัน พื้นเหลืองอ่อน XL</v>
          </cell>
        </row>
        <row r="2599">
          <cell r="A2599" t="str">
            <v>MC0207-M</v>
          </cell>
          <cell r="B2599" t="str">
            <v>MC207</v>
          </cell>
          <cell r="C2599" t="str">
            <v>เยื่อไผ่ ยาวยาว Black Pink Mini Heart M หลุด QC</v>
          </cell>
        </row>
        <row r="2600">
          <cell r="A2600" t="str">
            <v>MC0215-2XL</v>
          </cell>
          <cell r="B2600" t="str">
            <v>MC215</v>
          </cell>
          <cell r="C2600" t="str">
            <v>เยื่อไผ่ ยาวยาว ตุ๊กตา หมีน้อย พื้นชมพู 2XL หลุด QC</v>
          </cell>
        </row>
        <row r="2601">
          <cell r="A2601" t="str">
            <v>MC0219-2XL</v>
          </cell>
          <cell r="B2601" t="str">
            <v>ก8</v>
          </cell>
          <cell r="C2601" t="str">
            <v>ซาติน ยาวยาว พื้นฟ้า ดอกไม้พาสเทล 2XL</v>
          </cell>
        </row>
        <row r="2602">
          <cell r="A2602" t="str">
            <v>MC0219-XL</v>
          </cell>
          <cell r="B2602" t="str">
            <v>ก8</v>
          </cell>
          <cell r="C2602" t="str">
            <v>ซาติน ยาวยาว พื้นฟ้า ดอกไม้พาสเทล XL</v>
          </cell>
        </row>
        <row r="2603">
          <cell r="A2603" t="str">
            <v>MC0221-L</v>
          </cell>
          <cell r="B2603" t="str">
            <v>MC221</v>
          </cell>
          <cell r="C2603" t="str">
            <v>ซาติน ยาวยาว พื้นขาว ดอกเข็มแดง L หลุด QC</v>
          </cell>
        </row>
        <row r="2604">
          <cell r="A2604" t="str">
            <v>MC0276-L</v>
          </cell>
          <cell r="B2604" t="str">
            <v>MC276</v>
          </cell>
          <cell r="C2604" t="str">
            <v>เยื่อไผ่ ยาวยาว พื้นฟ้าอ่อน ดอกไม้เขียว L หลุด QC</v>
          </cell>
        </row>
        <row r="2605">
          <cell r="A2605" t="str">
            <v>MC0999-2XL</v>
          </cell>
          <cell r="B2605" t="str">
            <v>ก13</v>
          </cell>
          <cell r="C2605" t="str">
            <v>MA0999-2XL</v>
          </cell>
        </row>
        <row r="2606">
          <cell r="A2606" t="str">
            <v>MC27</v>
          </cell>
          <cell r="B2606" t="str">
            <v>MC0027-XL</v>
          </cell>
          <cell r="C2606" t="str">
            <v>เยื่อไผ่ ยาวยาว คอวี โบตั๋นชมพู XL</v>
          </cell>
        </row>
        <row r="2607">
          <cell r="A2607" t="str">
            <v>MD0081-L</v>
          </cell>
          <cell r="B2607" t="str">
            <v>MD81</v>
          </cell>
          <cell r="C2607" t="str">
            <v>เยื่อไผ่ เดรส พื้นเหลือง ต้น Strawberry L หลุด QC</v>
          </cell>
        </row>
        <row r="2608">
          <cell r="A2608" t="str">
            <v>MD0082-L</v>
          </cell>
          <cell r="B2608" t="str">
            <v>MD82</v>
          </cell>
          <cell r="C2608" t="str">
            <v>เยื่อไผ่ เดรส พื้นดำ ดอกไม้ภาพวาด ส้ม L หลุด QC</v>
          </cell>
        </row>
        <row r="2609">
          <cell r="A2609" t="str">
            <v>MD0089-F</v>
          </cell>
          <cell r="B2609" t="str">
            <v>MD89</v>
          </cell>
          <cell r="C2609" t="str">
            <v>เยื่อไผ่ เดรสแขนสั้น Cherry Rainbows F หลุด QC</v>
          </cell>
        </row>
        <row r="2610">
          <cell r="A2610" t="str">
            <v>MD0101-F</v>
          </cell>
          <cell r="B2610" t="str">
            <v>MD101</v>
          </cell>
          <cell r="C2610" t="str">
            <v>เยื่อไผ่ เดรสแขนสั้น จำปี พื้นเข้ม F หลุด QC</v>
          </cell>
        </row>
        <row r="2611">
          <cell r="A2611" t="str">
            <v>MD0104-M</v>
          </cell>
          <cell r="B2611" t="str">
            <v>MD104</v>
          </cell>
          <cell r="C2611" t="str">
            <v>เยื่อไผ่ เดรสแขนสั้น พื้นฟ้า คอกลม M หลุด QC</v>
          </cell>
        </row>
        <row r="2612">
          <cell r="A2612" t="str">
            <v>MD0106-L</v>
          </cell>
          <cell r="B2612" t="str">
            <v>ก4</v>
          </cell>
          <cell r="C2612" t="str">
            <v>เยื่อไผ่ เดรสแขนสั้น ใบไม้ พื้นเขียว คอกลม L</v>
          </cell>
        </row>
        <row r="2613">
          <cell r="A2613" t="str">
            <v>MD0106-M</v>
          </cell>
          <cell r="B2613" t="str">
            <v>ก4</v>
          </cell>
          <cell r="C2613" t="str">
            <v>เยื่อไผ่ เดรสแขนสั้น ใบไม้ พื้นเขียว คอกลม M</v>
          </cell>
        </row>
        <row r="2614">
          <cell r="A2614" t="str">
            <v>MD0106-XL</v>
          </cell>
          <cell r="B2614" t="str">
            <v>ก4</v>
          </cell>
          <cell r="C2614" t="str">
            <v>เยื่อไผ่ เดรสแขนสั้น ใบไม้ พื้นเขียว คอกลม XL</v>
          </cell>
        </row>
        <row r="2615">
          <cell r="A2615" t="str">
            <v>MD0107-L</v>
          </cell>
          <cell r="B2615" t="str">
            <v>ก5</v>
          </cell>
          <cell r="C2615" t="str">
            <v>เยื่อไผ่ เดรสแขนสั้น ใบไม้ พื้นชมพู คอกลม L</v>
          </cell>
        </row>
        <row r="2616">
          <cell r="A2616" t="str">
            <v>MD0107-M</v>
          </cell>
          <cell r="B2616" t="str">
            <v>ก5</v>
          </cell>
          <cell r="C2616" t="str">
            <v>เยื่อไผ่ เดรสแขนสั้น ใบไม้ พื้นชมพู คอกลม M</v>
          </cell>
        </row>
        <row r="2617">
          <cell r="A2617" t="str">
            <v>MD0107-XL</v>
          </cell>
          <cell r="B2617" t="str">
            <v>ก5</v>
          </cell>
          <cell r="C2617" t="str">
            <v>เยื่อไผ่ เดรสแขนสั้น ใบไม้ พื้นชมพู คอกลม XL</v>
          </cell>
        </row>
        <row r="2618">
          <cell r="A2618" t="str">
            <v>MD0108-L</v>
          </cell>
          <cell r="B2618" t="str">
            <v>ก6</v>
          </cell>
          <cell r="C2618" t="str">
            <v>เยื่อไผ่ เดรสแขนสั้น ดอกไม้เหลือง คอกลม L</v>
          </cell>
        </row>
        <row r="2619">
          <cell r="A2619" t="str">
            <v>MD0108-M</v>
          </cell>
          <cell r="B2619" t="str">
            <v>ก6</v>
          </cell>
          <cell r="C2619" t="str">
            <v>เยื่อไผ่ เดรสแขนสั้น ดอกไม้เหลือง คอกลม M</v>
          </cell>
        </row>
        <row r="2620">
          <cell r="A2620" t="str">
            <v>MD0108-XL</v>
          </cell>
          <cell r="B2620" t="str">
            <v>ก6</v>
          </cell>
          <cell r="C2620" t="str">
            <v>เยื่อไผ่ เดรสแขนสั้น ดอกไม้เหลือง คอกลม XL</v>
          </cell>
        </row>
        <row r="2621">
          <cell r="A2621" t="str">
            <v>MD0109-L</v>
          </cell>
          <cell r="B2621" t="str">
            <v>ก7</v>
          </cell>
          <cell r="C2621" t="str">
            <v>เยื่อไผ่ เดรสแขนสั้น พื้นกรม คอวี L</v>
          </cell>
        </row>
        <row r="2622">
          <cell r="A2622" t="str">
            <v>MD0109-M</v>
          </cell>
          <cell r="B2622" t="str">
            <v>ก7</v>
          </cell>
          <cell r="C2622" t="str">
            <v>เยื่อไผ่ เดรสแขนสั้น พื้นกรม คอวี M</v>
          </cell>
        </row>
        <row r="2623">
          <cell r="A2623" t="str">
            <v>MD0110-L</v>
          </cell>
          <cell r="B2623" t="str">
            <v>ก8</v>
          </cell>
          <cell r="C2623" t="str">
            <v>เยื่อไผ่ เดรสแขนสั้น ดอกไม้ พื้นเขียว คอวี L</v>
          </cell>
        </row>
        <row r="2624">
          <cell r="A2624" t="str">
            <v>MD0110-M</v>
          </cell>
          <cell r="B2624" t="str">
            <v>ก8</v>
          </cell>
          <cell r="C2624" t="str">
            <v>เยื่อไผ่ เดรสแขนสั้น ดอกไม้ พื้นเขียว คอวี M</v>
          </cell>
        </row>
        <row r="2625">
          <cell r="A2625" t="str">
            <v>MD0112-L</v>
          </cell>
          <cell r="B2625" t="str">
            <v>ก6</v>
          </cell>
          <cell r="C2625" t="str">
            <v>เยื่อไผ่ เดรสแขนสั้น ดอกไม้ทานตะวัน พื้นน้ำเงิน คอวี L</v>
          </cell>
        </row>
        <row r="2626">
          <cell r="A2626" t="str">
            <v>MD0112-M</v>
          </cell>
          <cell r="B2626" t="str">
            <v>ก6</v>
          </cell>
          <cell r="C2626" t="str">
            <v>เยื่อไผ่ เดรสแขนสั้น ดอกไม้ทานตะวัน พื้นน้ำเงิน คอวี M</v>
          </cell>
        </row>
        <row r="2627">
          <cell r="A2627" t="str">
            <v>MD0135-L</v>
          </cell>
          <cell r="B2627" t="str">
            <v>ก12</v>
          </cell>
          <cell r="C2627" t="str">
            <v>MD0135-L</v>
          </cell>
        </row>
        <row r="2628">
          <cell r="A2628" t="str">
            <v>ME0002-XL</v>
          </cell>
          <cell r="B2628" t="str">
            <v>ME2</v>
          </cell>
          <cell r="C2628" t="str">
            <v>เยื่อไผ่ สี่ส่วน กวาง พื้นกรม XL หลุด QC</v>
          </cell>
        </row>
        <row r="2629">
          <cell r="A2629" t="str">
            <v>ME0011-L</v>
          </cell>
          <cell r="B2629" t="str">
            <v>ก1</v>
          </cell>
          <cell r="C2629" t="str">
            <v>เยื่อไผ่ สี่ส่วน กวาง พื้นฟ้า L</v>
          </cell>
        </row>
        <row r="2630">
          <cell r="A2630" t="str">
            <v>ME0011-M</v>
          </cell>
          <cell r="B2630" t="str">
            <v>ก1</v>
          </cell>
          <cell r="C2630" t="str">
            <v>เยื่อไผ่ สี่ส่วน กวาง พื้นฟ้า M</v>
          </cell>
        </row>
        <row r="2631">
          <cell r="A2631" t="str">
            <v>ME0011-XL</v>
          </cell>
          <cell r="B2631" t="str">
            <v>ก1</v>
          </cell>
          <cell r="C2631" t="str">
            <v>เยื่อไผ่ สี่ส่วน กวาง พื้นฟ้า XL</v>
          </cell>
        </row>
        <row r="2632">
          <cell r="A2632" t="str">
            <v>ME0027-M</v>
          </cell>
          <cell r="B2632" t="str">
            <v>ME27</v>
          </cell>
          <cell r="C2632" t="str">
            <v>เยื่อไผ่ สี่ส่วน คอวี โบตั๋นชมพู M หลุด QC</v>
          </cell>
        </row>
        <row r="2633">
          <cell r="A2633" t="str">
            <v>ME0038-M</v>
          </cell>
          <cell r="B2633" t="str">
            <v>ME38</v>
          </cell>
          <cell r="C2633" t="str">
            <v>เยื่อไผ่ สี่ส่วน ดอกไม้ขาว พื้นชมพู M หลุด QC</v>
          </cell>
        </row>
        <row r="2634">
          <cell r="A2634" t="str">
            <v>ME0070-M</v>
          </cell>
          <cell r="B2634" t="str">
            <v>ก7</v>
          </cell>
          <cell r="C2634" t="str">
            <v>เยื่อไผ่ สี่ส่วน ชบา พื้นกรม M</v>
          </cell>
        </row>
        <row r="2635">
          <cell r="A2635" t="str">
            <v>ME0098-L</v>
          </cell>
          <cell r="B2635" t="str">
            <v>ME98</v>
          </cell>
          <cell r="C2635" t="str">
            <v>เยื่อไผ่ สี่ส่วน ดอกกุหลาบ พื้นเขียว L หลุด QC</v>
          </cell>
        </row>
        <row r="2636">
          <cell r="A2636" t="str">
            <v>ME0099-XL</v>
          </cell>
          <cell r="B2636" t="str">
            <v>ME99</v>
          </cell>
          <cell r="C2636" t="str">
            <v>เยื่อไผ่ สี่ส่วน ดอกกุหลาบ พื้นเหลือง XL หลุด QC</v>
          </cell>
        </row>
        <row r="2637">
          <cell r="A2637" t="str">
            <v>ME0100-L</v>
          </cell>
          <cell r="B2637" t="str">
            <v>ME100</v>
          </cell>
          <cell r="C2637" t="str">
            <v>เยื่อไผ่ สี่ส่วน ดอกไม้เทา ใบไม้เขียว พื้นชมพุ L หลุด QC</v>
          </cell>
        </row>
        <row r="2638">
          <cell r="A2638" t="str">
            <v>ME0100-M</v>
          </cell>
          <cell r="B2638" t="str">
            <v>ME100</v>
          </cell>
          <cell r="C2638" t="str">
            <v>เยื่อไผ่ สี่ส่วน ดอกไม้เทา ใบไม้เขียว พื้นชมพุ M หลุด QC</v>
          </cell>
        </row>
        <row r="2639">
          <cell r="A2639" t="str">
            <v>ME0101-M</v>
          </cell>
          <cell r="B2639" t="str">
            <v>ME101</v>
          </cell>
          <cell r="C2639" t="str">
            <v>เยื่อไผ่ สี่ส่วน ดอกไม้ขาว เกสรชมพู พื้นชมพู M หลุด QC</v>
          </cell>
        </row>
        <row r="2640">
          <cell r="A2640" t="str">
            <v>ME0113-M</v>
          </cell>
          <cell r="B2640" t="str">
            <v>ME113</v>
          </cell>
          <cell r="C2640" t="str">
            <v>เยื่อไผ่ สี่ส่วน คอวี ดอกไม้เหลือง พื้นครีม M</v>
          </cell>
        </row>
        <row r="2641">
          <cell r="A2641" t="str">
            <v>ME0141-L</v>
          </cell>
          <cell r="B2641" t="str">
            <v>ME141</v>
          </cell>
          <cell r="C2641" t="str">
            <v>เยื่อไผ่ สี่ส่วน  ส้มใบไม้เขียว พื้นเขียวมิ้น L หลุด QC</v>
          </cell>
        </row>
        <row r="2642">
          <cell r="A2642" t="str">
            <v>ME0142-M</v>
          </cell>
          <cell r="B2642" t="str">
            <v>ก6</v>
          </cell>
          <cell r="C2642" t="str">
            <v>เยื่อไผ่ สี่ส่วน ส้มใบไม้เขียว พื้นครีม M</v>
          </cell>
        </row>
        <row r="2643">
          <cell r="A2643" t="str">
            <v>ME0142-XL</v>
          </cell>
          <cell r="B2643" t="str">
            <v>ME142</v>
          </cell>
          <cell r="C2643" t="str">
            <v>เยื่อไผ่ สี่ส่วน ส้มใบไม้เขียว พื้นครีม XL หลุด QC</v>
          </cell>
        </row>
        <row r="2644">
          <cell r="A2644" t="str">
            <v>ME0175-L</v>
          </cell>
          <cell r="B2644" t="str">
            <v>ก6</v>
          </cell>
          <cell r="C2644" t="str">
            <v>เยื่อไผ่ สี่ส่วน ดอกไม้ส้ม ขอบเขียว L</v>
          </cell>
        </row>
        <row r="2645">
          <cell r="A2645" t="str">
            <v>ME0175-M</v>
          </cell>
          <cell r="B2645" t="str">
            <v>ก6</v>
          </cell>
          <cell r="C2645" t="str">
            <v>เยื่อไผ่ สี่ส่วน ดอกไม้ส้ม ขอบเขียว M</v>
          </cell>
        </row>
        <row r="2646">
          <cell r="A2646" t="str">
            <v>ME0175-XL</v>
          </cell>
          <cell r="B2646" t="str">
            <v>ก6</v>
          </cell>
          <cell r="C2646" t="str">
            <v>เยื่อไผ่ สี่ส่วน ดอกไม้ส้ม ขอบเขียว XL</v>
          </cell>
        </row>
        <row r="2647">
          <cell r="A2647" t="str">
            <v>ME0179-L</v>
          </cell>
          <cell r="B2647" t="str">
            <v>ME179</v>
          </cell>
          <cell r="C2647" t="str">
            <v>เยื่อไผ่ สี่ส่วน พื้นเหลือง ดอกไม้ม่วง L หลุด QC</v>
          </cell>
        </row>
        <row r="2648">
          <cell r="A2648" t="str">
            <v>ME0181-M</v>
          </cell>
          <cell r="B2648" t="str">
            <v>ME181</v>
          </cell>
          <cell r="C2648" t="str">
            <v>มัสลิน สี่ส่วน พื้นโอรส หัวใจขาว M หลุด QC</v>
          </cell>
        </row>
        <row r="2649">
          <cell r="A2649" t="str">
            <v>ME0191-M</v>
          </cell>
          <cell r="B2649" t="str">
            <v>ME191</v>
          </cell>
          <cell r="C2649" t="str">
            <v>เยื่อไผ่ สี่ส่วน พื้นกรม ใบตอง M หลุด QC</v>
          </cell>
        </row>
        <row r="2650">
          <cell r="A2650" t="str">
            <v>ME0192-M</v>
          </cell>
          <cell r="B2650" t="str">
            <v>ME192</v>
          </cell>
          <cell r="C2650" t="str">
            <v>เยื่อไผ่ สี่ส่วน พื้นขาว Big Blue Flower  M หลุด QC</v>
          </cell>
        </row>
        <row r="2651">
          <cell r="A2651" t="str">
            <v>ME0192-XL</v>
          </cell>
          <cell r="B2651" t="str">
            <v>ME192</v>
          </cell>
          <cell r="C2651" t="str">
            <v>เยื่อไผ่ สี่ส่วน พื้นขาว Big Blue Flower  XL</v>
          </cell>
        </row>
        <row r="2652">
          <cell r="A2652" t="str">
            <v>ME0193-M</v>
          </cell>
          <cell r="B2652" t="str">
            <v>ME193</v>
          </cell>
          <cell r="C2652" t="str">
            <v>เยื่อไผ่ สี่ส่วน หัวใจ พื้นฟ้า M หลุด QC</v>
          </cell>
        </row>
        <row r="2653">
          <cell r="A2653" t="str">
            <v>ME0195-XL</v>
          </cell>
          <cell r="B2653" t="str">
            <v>ME195</v>
          </cell>
          <cell r="C2653" t="str">
            <v>เยื่อไผ่ สี่ส่วน พื้นฟ้า ดอกไม้ม่วง ขาว XL หลุด QC</v>
          </cell>
        </row>
        <row r="2654">
          <cell r="A2654" t="str">
            <v>ME0198-XL</v>
          </cell>
          <cell r="B2654" t="str">
            <v>ME198</v>
          </cell>
          <cell r="C2654" t="str">
            <v>เยื่อไผ่ สี่ส่วน พื้นขาวอมชมพู ใบไม้หลากสี XL</v>
          </cell>
        </row>
        <row r="2655">
          <cell r="A2655" t="str">
            <v>ME0201-M</v>
          </cell>
          <cell r="B2655" t="str">
            <v>ME201</v>
          </cell>
          <cell r="C2655" t="str">
            <v>เยื่อไผ่ สี่ส่วน พื้นชมพู ดอกไม้ชมพู ใบไม้น้ำเงินเขี่ยว M</v>
          </cell>
        </row>
        <row r="2656">
          <cell r="A2656" t="str">
            <v>ME0202-M</v>
          </cell>
          <cell r="B2656" t="str">
            <v>ก10</v>
          </cell>
          <cell r="C2656" t="str">
            <v>เยื่อไผ่ สี่ส่วน พื้นชมพู ใบไม้หยาดน้ำค้าง M</v>
          </cell>
        </row>
        <row r="2657">
          <cell r="A2657" t="str">
            <v>ME0203-M</v>
          </cell>
          <cell r="B2657" t="str">
            <v>ME203</v>
          </cell>
          <cell r="C2657" t="str">
            <v>เยื่อไผ่ สี่ส่วน พื้นฟ้า ใบไม้ชมพูแดง ครีม M หลุด QC</v>
          </cell>
        </row>
        <row r="2658">
          <cell r="A2658" t="str">
            <v>MI0001-L</v>
          </cell>
          <cell r="B2658" t="str">
            <v>I1</v>
          </cell>
          <cell r="C2658" t="str">
            <v>มัสลิน แขนสั้นขายาว ดอกไม้ฟ้า ห้าแฉก พื้นครีม L</v>
          </cell>
        </row>
        <row r="2659">
          <cell r="A2659" t="str">
            <v>MI0001-M</v>
          </cell>
          <cell r="B2659" t="str">
            <v>I1</v>
          </cell>
          <cell r="C2659" t="str">
            <v>มัสลิน แขนสั้นขายาว ดอกไม้ฟ้า ห้าแฉก พื้นครีม M</v>
          </cell>
        </row>
        <row r="2660">
          <cell r="A2660" t="str">
            <v>MI0002-L</v>
          </cell>
          <cell r="B2660" t="str">
            <v>I2</v>
          </cell>
          <cell r="C2660" t="str">
            <v>มัสลิน แขนสั้นขายาว ดอกไม้ พื้นเขียว อุ๋งๆ L</v>
          </cell>
        </row>
        <row r="2661">
          <cell r="A2661" t="str">
            <v>MI0002-M</v>
          </cell>
          <cell r="B2661" t="str">
            <v>I2</v>
          </cell>
          <cell r="C2661" t="str">
            <v>มัสลิน แขนสั้นขายาว ดอกไม้ พื้นเขียว อุ๋งๆ M</v>
          </cell>
        </row>
        <row r="2662">
          <cell r="A2662" t="str">
            <v>MI0003-L</v>
          </cell>
          <cell r="B2662" t="str">
            <v>I3</v>
          </cell>
          <cell r="C2662" t="str">
            <v>มัสลิน แขนสั้นขายาว ดอกไม้ พื้นชมพู อุ๋งๆ L</v>
          </cell>
        </row>
        <row r="2663">
          <cell r="A2663" t="str">
            <v>MI0003-M</v>
          </cell>
          <cell r="B2663" t="str">
            <v>I3</v>
          </cell>
          <cell r="C2663" t="str">
            <v>มัสลิน แขนสั้นขายาว ดอกไม้ พื้นชมพู อุ๋งๆ M</v>
          </cell>
        </row>
        <row r="2664">
          <cell r="A2664" t="str">
            <v>MI0004-L</v>
          </cell>
          <cell r="B2664" t="str">
            <v>I4</v>
          </cell>
          <cell r="C2664" t="str">
            <v>มัสลิน แขนสั้นขายาว ดอกไม้ชมพู ห้าแฉก พื้นครีม L</v>
          </cell>
        </row>
        <row r="2665">
          <cell r="A2665" t="str">
            <v>MI0004-M</v>
          </cell>
          <cell r="B2665" t="str">
            <v>I4</v>
          </cell>
          <cell r="C2665" t="str">
            <v>มัสลิน แขนสั้นขายาว ดอกไม้ชมพู ห้าแฉก พื้นครีม M</v>
          </cell>
        </row>
        <row r="2666">
          <cell r="A2666" t="str">
            <v>MI0005-L</v>
          </cell>
          <cell r="B2666" t="str">
            <v>I5</v>
          </cell>
          <cell r="C2666" t="str">
            <v>มัสลิน แขนสั้นขายาว ดอกไม้ม่วง ขอบเขียว พื้นขาวครีม L</v>
          </cell>
        </row>
        <row r="2667">
          <cell r="A2667" t="str">
            <v>MI0005-M</v>
          </cell>
          <cell r="B2667" t="str">
            <v>I5</v>
          </cell>
          <cell r="C2667" t="str">
            <v>มัสลิน แขนสั้นขายาว ดอกไม้ม่วง ขอบเขียว พื้นขาวครีม M</v>
          </cell>
        </row>
        <row r="2668">
          <cell r="A2668" t="str">
            <v>MJ0018-L</v>
          </cell>
          <cell r="B2668" t="str">
            <v>ก2</v>
          </cell>
          <cell r="C2668" t="str">
            <v>เสื้อญี่ปุ่น สั้นสั้น ผู้ชาย ตารางกรม L</v>
          </cell>
        </row>
        <row r="2669">
          <cell r="A2669" t="str">
            <v>MJ0018-M</v>
          </cell>
          <cell r="B2669" t="str">
            <v>ก2</v>
          </cell>
          <cell r="C2669" t="str">
            <v>เสื้อญี่ปุ่น สั้นสั้น ผู้ชาย ตารางกรม M</v>
          </cell>
        </row>
        <row r="2670">
          <cell r="A2670" t="str">
            <v>MJ0018-XL</v>
          </cell>
          <cell r="B2670" t="str">
            <v>ก2</v>
          </cell>
          <cell r="C2670" t="str">
            <v>เสื้อญี่ปุ่น สั้นสั้น ผู้ชาย ตารางกรม XL</v>
          </cell>
        </row>
        <row r="2671">
          <cell r="A2671" t="str">
            <v>MJ0020-L</v>
          </cell>
          <cell r="B2671" t="str">
            <v>ก3</v>
          </cell>
          <cell r="C2671" t="str">
            <v>เสื้อญี่ปุ่น สั้นสั้น ผู้ชาย ตารางฟ้าคราม L</v>
          </cell>
        </row>
        <row r="2672">
          <cell r="A2672" t="str">
            <v>MJ0020-M</v>
          </cell>
          <cell r="B2672" t="str">
            <v>ก3</v>
          </cell>
          <cell r="C2672" t="str">
            <v>เสื้อญี่ปุ่น สั้นสั้น ผู้ชาย ตารางฟ้าคราม M</v>
          </cell>
        </row>
        <row r="2673">
          <cell r="A2673" t="str">
            <v>MJ0020-XL</v>
          </cell>
          <cell r="B2673" t="str">
            <v>ก3</v>
          </cell>
          <cell r="C2673" t="str">
            <v>เสื้อญี่ปุ่น สั้นสั้น ผู้ชาย ตารางฟ้าคราม XL</v>
          </cell>
        </row>
        <row r="2674">
          <cell r="A2674" t="str">
            <v>MJ0021-L</v>
          </cell>
          <cell r="B2674" t="str">
            <v>ก3</v>
          </cell>
          <cell r="C2674" t="str">
            <v>เสื้อญี่ปุ่น สั้นสั้น ผู้ชาย ตารางเขียว L</v>
          </cell>
        </row>
        <row r="2675">
          <cell r="A2675" t="str">
            <v>MJ0021-M</v>
          </cell>
          <cell r="B2675" t="str">
            <v>ก3</v>
          </cell>
          <cell r="C2675" t="str">
            <v>เสื้อญี่ปุ่น สั้นสั้น ผู้ชาย ตารางเขียว  M</v>
          </cell>
        </row>
        <row r="2676">
          <cell r="A2676" t="str">
            <v>MJ0021-XL</v>
          </cell>
          <cell r="B2676" t="str">
            <v>ก3</v>
          </cell>
          <cell r="C2676" t="str">
            <v>เสื้อญี่ปุ่น สั้นสั้น ผู้ชาย ตารางเขียว XL</v>
          </cell>
        </row>
        <row r="2677">
          <cell r="A2677" t="str">
            <v>MJ0023-L</v>
          </cell>
          <cell r="B2677" t="str">
            <v>ก4</v>
          </cell>
          <cell r="C2677" t="str">
            <v>เสื้อญี่ปุ่น สั้นยาว ผู้ชาย ตารางเขียว L</v>
          </cell>
        </row>
        <row r="2678">
          <cell r="A2678" t="str">
            <v>MJ0023-M</v>
          </cell>
          <cell r="B2678" t="str">
            <v>ก4</v>
          </cell>
          <cell r="C2678" t="str">
            <v>เสื้อญี่ปุ่น สั้นยาว ผู้ชาย ตารางเขียว  M</v>
          </cell>
        </row>
        <row r="2679">
          <cell r="A2679" t="str">
            <v>MJ0023-XL</v>
          </cell>
          <cell r="B2679" t="str">
            <v>ก4</v>
          </cell>
          <cell r="C2679" t="str">
            <v>เสื้อญี่ปุ่น สั้นยาว ผู้ชาย ตารางเขียว XL</v>
          </cell>
        </row>
        <row r="2680">
          <cell r="A2680" t="str">
            <v>MJ0024-L</v>
          </cell>
          <cell r="B2680" t="str">
            <v>ก1</v>
          </cell>
          <cell r="C2680" t="str">
            <v>เสื้อญี่ปุ่น สั้นยาว ผู้ชาย ตารางเทาเข้ม L</v>
          </cell>
        </row>
        <row r="2681">
          <cell r="A2681" t="str">
            <v>MJ0024-M</v>
          </cell>
          <cell r="B2681" t="str">
            <v>ก1</v>
          </cell>
          <cell r="C2681" t="str">
            <v>เสื้อญี่ปุ่น สั้นยาว ผู้ชาย ตารางเทาเข้ม M</v>
          </cell>
        </row>
        <row r="2682">
          <cell r="A2682" t="str">
            <v>MJ0024-XL</v>
          </cell>
          <cell r="B2682" t="str">
            <v>ก1</v>
          </cell>
          <cell r="C2682" t="str">
            <v>เสื้อญี่ปุ่น สั้นยาว ผู้ชาย ตารางเทาเข้ม XL</v>
          </cell>
        </row>
        <row r="2683">
          <cell r="A2683" t="str">
            <v>MJ0025-M</v>
          </cell>
          <cell r="B2683" t="str">
            <v>MJ25</v>
          </cell>
          <cell r="C2683" t="str">
            <v>เสื้อญี่ปุ่น สั้นยาว ผู้ชาย ตารางฟ้าคราม M หลุด QC</v>
          </cell>
        </row>
        <row r="2684">
          <cell r="A2684" t="str">
            <v>MJ0025-XL</v>
          </cell>
          <cell r="B2684" t="str">
            <v>MJ25</v>
          </cell>
          <cell r="C2684" t="str">
            <v>เสื้อญี่ปุ่น สั้นยาว ผู้ชาย ตารางฟ้าคราม XL หลุด QC</v>
          </cell>
        </row>
        <row r="2685">
          <cell r="A2685" t="str">
            <v>MS0003-F</v>
          </cell>
          <cell r="B2685" t="str">
            <v>MS3</v>
          </cell>
          <cell r="C2685" t="str">
            <v>MS0003-F กางเกงขาสั้น ลายอาร์ตเขียว ชมพู ดำ F</v>
          </cell>
        </row>
        <row r="2686">
          <cell r="A2686" t="str">
            <v>MS0011-F</v>
          </cell>
          <cell r="B2686" t="str">
            <v>MS11</v>
          </cell>
          <cell r="C2686" t="str">
            <v>MS0011-F กางเกงขาสั้น ดอกไม้เหลือง พื้นกรม F</v>
          </cell>
        </row>
        <row r="2687">
          <cell r="A2687" t="str">
            <v>MS0014-F</v>
          </cell>
          <cell r="B2687" t="str">
            <v>MS14</v>
          </cell>
          <cell r="C2687" t="str">
            <v>MS0014-F กางเกงขาสั้น ดอกบัวชมพู พื้นเหลือง F</v>
          </cell>
        </row>
        <row r="2688">
          <cell r="A2688" t="str">
            <v>MS0016-F</v>
          </cell>
          <cell r="B2688" t="str">
            <v>MS16</v>
          </cell>
          <cell r="C2688" t="str">
            <v>MS0016-F กางเกงขาสั้น กวางเรนเดียร์ พื้นกรม F</v>
          </cell>
        </row>
        <row r="2689">
          <cell r="A2689" t="str">
            <v>MY0004-L</v>
          </cell>
          <cell r="B2689" t="str">
            <v>ก9</v>
          </cell>
          <cell r="C2689" t="str">
            <v>เยื่อไผ่ สั้นยาว ผู้ชาย ตารางกรม L</v>
          </cell>
        </row>
        <row r="2690">
          <cell r="A2690" t="str">
            <v>MY0004-M</v>
          </cell>
          <cell r="B2690" t="str">
            <v>ก9</v>
          </cell>
          <cell r="C2690" t="str">
            <v>เยื่อไผ่ สั้นยาว ผู้ชาย ตารางกรม M</v>
          </cell>
        </row>
        <row r="2691">
          <cell r="A2691" t="str">
            <v>MY0004-XL</v>
          </cell>
          <cell r="B2691" t="str">
            <v>ก9</v>
          </cell>
          <cell r="C2691" t="str">
            <v>เยื่อไผ่ สั้นยาว ผู้ชาย ตารางกรม XL</v>
          </cell>
        </row>
        <row r="2692">
          <cell r="A2692" t="str">
            <v>MY0005-L</v>
          </cell>
          <cell r="B2692" t="str">
            <v>ก10</v>
          </cell>
          <cell r="C2692" t="str">
            <v>เยื่อไผ่ สั้นยาว ผู้ชาย ตารางฟ้า L</v>
          </cell>
        </row>
        <row r="2693">
          <cell r="A2693" t="str">
            <v>MY0005-M</v>
          </cell>
          <cell r="B2693" t="str">
            <v>ก10</v>
          </cell>
          <cell r="C2693" t="str">
            <v>เยื่อไผ่ สั้นยาว ผู้ชาย ตารางฟ้า M</v>
          </cell>
        </row>
        <row r="2694">
          <cell r="A2694" t="str">
            <v>MY0005-XL</v>
          </cell>
          <cell r="B2694" t="str">
            <v>ก10</v>
          </cell>
          <cell r="C2694" t="str">
            <v>เยื่อไผ่ สั้นยาว ผู้ชาย ตารางฟ้า XL</v>
          </cell>
        </row>
        <row r="2695">
          <cell r="A2695" t="str">
            <v>MY0006-L</v>
          </cell>
          <cell r="B2695" t="str">
            <v>ก11</v>
          </cell>
          <cell r="C2695" t="str">
            <v>เยื่อไผ่ สั้นยาว ผู้ชาย ตารางเทา L</v>
          </cell>
        </row>
        <row r="2696">
          <cell r="A2696" t="str">
            <v>MY0006-M</v>
          </cell>
          <cell r="B2696" t="str">
            <v>ก11</v>
          </cell>
          <cell r="C2696" t="str">
            <v>เยื่อไผ่ สั้นยาว ผู้ชาย ตารางเทา M</v>
          </cell>
        </row>
        <row r="2697">
          <cell r="A2697" t="str">
            <v>MY0006-XL</v>
          </cell>
          <cell r="B2697" t="str">
            <v>ก11</v>
          </cell>
          <cell r="C2697" t="str">
            <v>เยื่อไผ่ สั้นยาว ผู้ชาย ตารางเทา XL</v>
          </cell>
        </row>
        <row r="2698">
          <cell r="A2698" t="str">
            <v>MY0010-L</v>
          </cell>
          <cell r="B2698" t="str">
            <v>MY10</v>
          </cell>
          <cell r="C2698" t="str">
            <v>เยื่อไผ่ สั้นยาว ผู้ชาย ลายสก๊อต สีดำ L หลุด QC</v>
          </cell>
        </row>
        <row r="2699">
          <cell r="A2699" t="str">
            <v>MY0011-L</v>
          </cell>
          <cell r="B2699" t="str">
            <v>MY11</v>
          </cell>
          <cell r="C2699" t="str">
            <v>เยื่อไผ่ สั้นยาว ผู้ชาย ลายสก๊อต สีฟ้า L หลุด QC</v>
          </cell>
        </row>
        <row r="2700">
          <cell r="A2700" t="str">
            <v>MY0018-L</v>
          </cell>
          <cell r="B2700" t="str">
            <v>ก1</v>
          </cell>
          <cell r="C2700" t="str">
            <v>เยื่อไผ่ สั้นยาว ผู้ชาย ลายเส้นขาวพื้นเทา L</v>
          </cell>
        </row>
        <row r="2701">
          <cell r="A2701" t="str">
            <v>MY0018-M</v>
          </cell>
          <cell r="B2701" t="str">
            <v>ก1</v>
          </cell>
          <cell r="C2701" t="str">
            <v>เยื่อไผ่ สั้นยาว ผู้ชาย ลายเส้นขาวพื้นเทา M</v>
          </cell>
        </row>
        <row r="2702">
          <cell r="A2702" t="str">
            <v>MY0018-XL</v>
          </cell>
          <cell r="B2702" t="str">
            <v>ก1</v>
          </cell>
          <cell r="C2702" t="str">
            <v>เยื่อไผ่ สั้นยาว ผู้ชาย ลายเส้นขาวพื้นเทา XL</v>
          </cell>
        </row>
        <row r="2703">
          <cell r="A2703" t="str">
            <v>MY0021-XL</v>
          </cell>
          <cell r="B2703" t="str">
            <v>MY21</v>
          </cell>
          <cell r="C2703" t="str">
            <v>เยื่อไผ่ สั้นสั้น ผู้ชาย ลายสก๊อต สีฟ้า XL หลุด QC</v>
          </cell>
        </row>
        <row r="2704">
          <cell r="A2704" t="str">
            <v>N0746-M</v>
          </cell>
          <cell r="B2704" t="str">
            <v>ป4</v>
          </cell>
          <cell r="C2704" t="str">
            <v>ซาติน แขนสั้นขาสั้น Cow พื้นชมพู (กปก) M ตัวโชว์</v>
          </cell>
        </row>
        <row r="2705">
          <cell r="A2705" t="str">
            <v>R0128-L</v>
          </cell>
          <cell r="B2705" t="str">
            <v>R128</v>
          </cell>
        </row>
        <row r="2706">
          <cell r="A2706" t="str">
            <v>SH0001-L</v>
          </cell>
          <cell r="B2706" t="str">
            <v>H1</v>
          </cell>
          <cell r="C2706" t="str">
            <v>ซาติน ไฮเอ็น แขนสั้นขายาว พื้นฟ้า ขอบดำ เกงจุด L</v>
          </cell>
        </row>
        <row r="2707">
          <cell r="A2707" t="str">
            <v>SH0001-M</v>
          </cell>
          <cell r="B2707" t="str">
            <v>H1</v>
          </cell>
          <cell r="C2707" t="str">
            <v>ซาติน ไฮเอ็น แขนสั้นขายาว พื้นฟ้า ขอบดำ เกงจุด M</v>
          </cell>
        </row>
        <row r="2708">
          <cell r="A2708" t="str">
            <v>SH0001-XL</v>
          </cell>
          <cell r="B2708" t="str">
            <v>H1</v>
          </cell>
          <cell r="C2708" t="str">
            <v>ซาติน ไฮเอ็น แขนสั้นขายาว พื้นฟ้า ขอบดำ เกงจุด XL</v>
          </cell>
        </row>
        <row r="2709">
          <cell r="A2709" t="str">
            <v>SH0002-L</v>
          </cell>
          <cell r="B2709" t="str">
            <v>JH2</v>
          </cell>
          <cell r="C2709" t="str">
            <v>ซาติน ไฮเอ็น แขนสั้นขายาว พื้นชมพูอ่อน พู่กัน กระเป๋าจิ้งจอก L (กปก)</v>
          </cell>
        </row>
        <row r="2710">
          <cell r="A2710" t="str">
            <v>SH0002-M</v>
          </cell>
          <cell r="B2710" t="str">
            <v>H2</v>
          </cell>
          <cell r="C2710" t="str">
            <v>ซาติน ไฮเอ็น แขนสั้นขายาว พื้นชมพูอ่อน พู่กัน กระเป๋าจิ้งจอก M (กปก)</v>
          </cell>
        </row>
        <row r="2711">
          <cell r="A2711" t="str">
            <v>SH0002-XL</v>
          </cell>
          <cell r="B2711" t="str">
            <v>JH2</v>
          </cell>
          <cell r="C2711" t="str">
            <v>ซาติน ไฮเอ็น แขนสั้นขายาว พื้นชมพูอ่อน พู่กัน กระเป๋าจิ้งจอก XL (กปก) ตัวโชว์</v>
          </cell>
        </row>
        <row r="2712">
          <cell r="A2712" t="str">
            <v>SH0003-L</v>
          </cell>
          <cell r="B2712" t="str">
            <v>JH3</v>
          </cell>
          <cell r="C2712" t="str">
            <v>ซาติน ไฮเอ็น แขนสั้นขายาว จิ๊กซอว์ ชมพู L (กปก) ตัวโชว์</v>
          </cell>
        </row>
        <row r="2713">
          <cell r="A2713" t="str">
            <v>SH0003-M</v>
          </cell>
          <cell r="B2713" t="str">
            <v>JH3</v>
          </cell>
          <cell r="C2713" t="str">
            <v>ซาติน ไฮเอ็น แขนสั้นขายาว จิ๊กซอว์ ชมพู M (กปก) ตัวโชว์</v>
          </cell>
        </row>
        <row r="2714">
          <cell r="A2714" t="str">
            <v>SH0003-XL</v>
          </cell>
          <cell r="B2714" t="str">
            <v>JH3</v>
          </cell>
          <cell r="C2714" t="str">
            <v>ซาติน ไฮเอ็น แขนสั้นขายาว จิ๊กซอว์ ชมพู XL (กปก) ตัวโชว์</v>
          </cell>
        </row>
        <row r="2715">
          <cell r="A2715" t="str">
            <v>SH0004-L</v>
          </cell>
          <cell r="B2715" t="str">
            <v>H4</v>
          </cell>
          <cell r="C2715" t="str">
            <v>ซาติน ไฮเอ็น เดรส แขนสั้น พื้นครีมอ่อน ภาพวาดม้า L</v>
          </cell>
        </row>
        <row r="2716">
          <cell r="A2716" t="str">
            <v>SH0004-M</v>
          </cell>
          <cell r="B2716" t="str">
            <v>JH4</v>
          </cell>
          <cell r="C2716" t="str">
            <v>ซาติน ไฮเอ็น เดรส แขนสั้น พื้นครีมอ่อน ภาพวาดม้า M ตัวโชว์</v>
          </cell>
        </row>
        <row r="2717">
          <cell r="A2717" t="str">
            <v>SH0005-L</v>
          </cell>
          <cell r="B2717" t="str">
            <v>H5</v>
          </cell>
          <cell r="C2717" t="str">
            <v>ซาติน ไฮเอ็น แขนสั้นขายาว พื้นชมพู กลุ่มดาว L</v>
          </cell>
        </row>
        <row r="2718">
          <cell r="A2718" t="str">
            <v>SH0005-M</v>
          </cell>
          <cell r="B2718" t="str">
            <v>H5</v>
          </cell>
          <cell r="C2718" t="str">
            <v>ซาติน ไฮเอ็น แขนสั้นขายาว พื้นชมพู กลุ่มดาว M</v>
          </cell>
        </row>
        <row r="2719">
          <cell r="A2719" t="str">
            <v>SH0005-XL</v>
          </cell>
          <cell r="B2719" t="str">
            <v>H5</v>
          </cell>
          <cell r="C2719" t="str">
            <v>ซาติน ไฮเอ็น แขนสั้นขายาว พื้นชมพู กลุ่มดาว XL</v>
          </cell>
        </row>
        <row r="2720">
          <cell r="A2720" t="str">
            <v>SH0006-L</v>
          </cell>
          <cell r="B2720" t="str">
            <v>H6</v>
          </cell>
          <cell r="C2720" t="str">
            <v>ซาติน ไฮเอ็น แขนสั้นขายาว พื้นชมพู ขอบกรม กระเป๋าโคเวอร์สี่แฉก L</v>
          </cell>
        </row>
        <row r="2721">
          <cell r="A2721" t="str">
            <v>SH0006-M</v>
          </cell>
          <cell r="B2721" t="str">
            <v>H6</v>
          </cell>
          <cell r="C2721" t="str">
            <v>ซาติน ไฮเอ็น แขนสั้นขายาว พื้นชมพู ขอบกรม กระเป๋าโคเวอร์สี่แฉก M</v>
          </cell>
        </row>
        <row r="2722">
          <cell r="A2722" t="str">
            <v>SH0006-XL</v>
          </cell>
          <cell r="B2722" t="str">
            <v>H6</v>
          </cell>
          <cell r="C2722" t="str">
            <v>ซาติน ไฮเอ็น แขนสั้นขายาว พื้นชมพู ขอบกรม กระเป๋าโคเวอร์สี่แฉก XL</v>
          </cell>
        </row>
        <row r="2723">
          <cell r="A2723" t="str">
            <v>SH0007-L</v>
          </cell>
          <cell r="B2723" t="str">
            <v>H7</v>
          </cell>
          <cell r="C2723" t="str">
            <v>ซาติน ไฮเอ็น แขนสั้นขายาว พื้นขาว ขอบกรม กระเป๋าโคเวอร์สี่แฉก L</v>
          </cell>
        </row>
        <row r="2724">
          <cell r="A2724" t="str">
            <v>SH0007-M</v>
          </cell>
          <cell r="B2724" t="str">
            <v>H7</v>
          </cell>
          <cell r="C2724" t="str">
            <v>ซาติน ไฮเอ็น แขนสั้นขายาว พื้นขาว ขอบกรม กระเป๋าโคเวอร์สี่แฉก M</v>
          </cell>
        </row>
        <row r="2725">
          <cell r="A2725" t="str">
            <v>SH0007-XL</v>
          </cell>
          <cell r="B2725" t="str">
            <v>H7</v>
          </cell>
          <cell r="C2725" t="str">
            <v>ซาติน ไฮเอ็น แขนสั้นขายาว พื้นขาว ขอบกรม กระเป๋าโคเวอร์สี่แฉก XL</v>
          </cell>
        </row>
        <row r="2726">
          <cell r="A2726" t="str">
            <v>SH0008-L</v>
          </cell>
          <cell r="B2726" t="str">
            <v>H8</v>
          </cell>
          <cell r="C2726" t="str">
            <v>ซาติน ไฮเอ็น แขนสั้นขายาว ลายทาง ขาว ดำ L (กปก)</v>
          </cell>
        </row>
        <row r="2727">
          <cell r="A2727" t="str">
            <v>SH0008-M</v>
          </cell>
          <cell r="B2727" t="str">
            <v>H8</v>
          </cell>
          <cell r="C2727" t="str">
            <v>ซาติน ไฮเอ็น แขนสั้นขายาว ลายทาง ขาว ดำ M</v>
          </cell>
        </row>
        <row r="2728">
          <cell r="A2728" t="str">
            <v>SH0008-XL</v>
          </cell>
          <cell r="B2728" t="str">
            <v>H8</v>
          </cell>
          <cell r="C2728" t="str">
            <v>ซาติน ไฮเอ็น แขนสั้นขายาว ลายทาง ขาว ดำ XL</v>
          </cell>
        </row>
        <row r="2729">
          <cell r="A2729" t="str">
            <v>SH0009-L</v>
          </cell>
          <cell r="B2729" t="str">
            <v>H9</v>
          </cell>
          <cell r="C2729" t="str">
            <v>ซาติน ไฮเอ็น เดรส แขนสั้น พื้นเขียว ลายจุด ขอบขาว L</v>
          </cell>
        </row>
        <row r="2730">
          <cell r="A2730" t="str">
            <v>SH0009-M</v>
          </cell>
          <cell r="B2730" t="str">
            <v>H9</v>
          </cell>
          <cell r="C2730" t="str">
            <v>ซาติน ไฮเอ็น เดรส แขนสั้น พื้นเขียว ลายจุด ขอบขาว M</v>
          </cell>
        </row>
        <row r="2731">
          <cell r="A2731" t="str">
            <v>SH0010-L</v>
          </cell>
          <cell r="B2731" t="str">
            <v>H10</v>
          </cell>
          <cell r="C2731" t="str">
            <v>ซาติน ไฮเอ็น เดรส แขนห้าส่วน ทูโทน Luxury ขาว น้ำตาล L</v>
          </cell>
        </row>
        <row r="2732">
          <cell r="A2732" t="str">
            <v>SH0010-M</v>
          </cell>
          <cell r="B2732" t="str">
            <v>H10</v>
          </cell>
          <cell r="C2732" t="str">
            <v>ซาติน ไฮเอ็น เดรส แขนห้าส่วน ทูโทน Luxury ขาว น้ำตาล M</v>
          </cell>
        </row>
        <row r="2733">
          <cell r="A2733" t="str">
            <v>SH0010-XL</v>
          </cell>
          <cell r="B2733" t="str">
            <v>H10</v>
          </cell>
          <cell r="C2733" t="str">
            <v>ซาติน ไฮเอ็น เดรส แขนห้าส่วน ทูโทน Luxury ขาว น้ำตาล XL</v>
          </cell>
        </row>
        <row r="2734">
          <cell r="A2734" t="str">
            <v>SH0011-L</v>
          </cell>
          <cell r="B2734" t="str">
            <v>JH11</v>
          </cell>
          <cell r="C2734" t="str">
            <v>ซาติน ไฮเอ็น แขนยาวขายาว Blue Mountain L (กปก) ตัวโชว์</v>
          </cell>
        </row>
        <row r="2735">
          <cell r="A2735" t="str">
            <v>SH0011-M</v>
          </cell>
          <cell r="B2735" t="str">
            <v>H11</v>
          </cell>
          <cell r="C2735" t="str">
            <v>ซาติน ไฮเอ็น แขนยาวขายาว Blue Mountain M (กปก)</v>
          </cell>
        </row>
        <row r="2736">
          <cell r="A2736" t="str">
            <v>SH0011-XL</v>
          </cell>
          <cell r="B2736" t="str">
            <v>JH11</v>
          </cell>
          <cell r="C2736" t="str">
            <v>ซาติน ไฮเอ็น แขนยาวขายาว Blue Mountain XL (กปก) ตัวโชว์</v>
          </cell>
        </row>
        <row r="2737">
          <cell r="A2737" t="str">
            <v>SH0012-L</v>
          </cell>
          <cell r="B2737" t="str">
            <v>H12</v>
          </cell>
          <cell r="C2737" t="str">
            <v>ซาติน ไฮเอ็น แขนสั้นขายาว Luxury ขาว น้ำตาล L (กปก)</v>
          </cell>
        </row>
        <row r="2738">
          <cell r="A2738" t="str">
            <v>SH0012-M</v>
          </cell>
          <cell r="B2738" t="str">
            <v>H12</v>
          </cell>
          <cell r="C2738" t="str">
            <v>ซาติน ไฮเอ็น แขนสั้นขายาว Luxury ขาว น้ำตาล M (กปก)</v>
          </cell>
        </row>
        <row r="2739">
          <cell r="A2739" t="str">
            <v>SH0012-XL</v>
          </cell>
          <cell r="B2739" t="str">
            <v>H12</v>
          </cell>
          <cell r="C2739" t="str">
            <v>ซาติน ไฮเอ็น แขนสั้นขายาว Luxury ขาว น้ำตาล XL (กปก)</v>
          </cell>
        </row>
        <row r="2740">
          <cell r="A2740" t="str">
            <v>SH0013-L</v>
          </cell>
          <cell r="B2740" t="str">
            <v>JH13</v>
          </cell>
          <cell r="C2740" t="str">
            <v>ซาติน ไฮเอ็น แขนสั้นขายาว พื้นครีมอ่อน ภาพวาดม้า L (กปก) ตัวโชว์</v>
          </cell>
        </row>
        <row r="2741">
          <cell r="A2741" t="str">
            <v>SH0013-M</v>
          </cell>
          <cell r="B2741" t="str">
            <v>JH13</v>
          </cell>
          <cell r="C2741" t="str">
            <v>ซาติน ไฮเอ็น แขนสั้นขายาว พื้นครีมอ่อน ภาพวาดม้า M (กปก) ตัวโชว์</v>
          </cell>
        </row>
        <row r="2742">
          <cell r="A2742" t="str">
            <v>SH0013-XL</v>
          </cell>
          <cell r="B2742" t="str">
            <v>JH13</v>
          </cell>
          <cell r="C2742" t="str">
            <v>ซาติน ไฮเอ็น แขนสั้นขายาว พื้นครีมอ่อน ภาพวาดม้า XL (กปก) ตัวโชว์</v>
          </cell>
        </row>
        <row r="2743">
          <cell r="A2743" t="str">
            <v>SH0014-L</v>
          </cell>
          <cell r="B2743" t="str">
            <v>JH14</v>
          </cell>
          <cell r="C2743" t="str">
            <v>ซาติน ไฮเอ็น แขนสั้นขายาว หัวใจเล็กระบาย พื้นเขียว L ตัวโชว์</v>
          </cell>
        </row>
        <row r="2744">
          <cell r="A2744" t="str">
            <v>SH0014-M</v>
          </cell>
          <cell r="B2744" t="str">
            <v>JH14</v>
          </cell>
          <cell r="C2744" t="str">
            <v>ซาติน ไฮเอ็น แขนสั้นขายาว หัวใจเล็กระบาย พื้นเขียว M ตัวโชว์</v>
          </cell>
        </row>
        <row r="2745">
          <cell r="A2745" t="str">
            <v>SH0014-XL</v>
          </cell>
          <cell r="B2745" t="str">
            <v>JH14</v>
          </cell>
          <cell r="C2745" t="str">
            <v>ซาติน ไฮเอ็น แขนสั้นขายาว หัวใจเล็กระบาย พื้นเขียว XL ตัวโชว์</v>
          </cell>
        </row>
        <row r="2746">
          <cell r="A2746" t="str">
            <v>SH0015-L</v>
          </cell>
          <cell r="B2746" t="str">
            <v>H15</v>
          </cell>
          <cell r="C2746" t="str">
            <v>ซาติน ไฮเอ็น แขนสั้นขาสั้น Baby Tiger สีเหลือง L (กปก)</v>
          </cell>
        </row>
        <row r="2747">
          <cell r="A2747" t="str">
            <v>SH0015-M</v>
          </cell>
          <cell r="B2747" t="str">
            <v>H15</v>
          </cell>
          <cell r="C2747" t="str">
            <v>ซาติน ไฮเอ็น แขนสั้นขาสั้น Baby Tiger สีเหลือง M (กปก)</v>
          </cell>
        </row>
        <row r="2748">
          <cell r="A2748" t="str">
            <v>SH0015-XL</v>
          </cell>
          <cell r="B2748" t="str">
            <v>JH15</v>
          </cell>
          <cell r="C2748" t="str">
            <v>ซาติน ไฮเอ็น แขนสั้นขาสั้น Baby Tiger สีเหลือง XL (กปก) ตัวโชว์</v>
          </cell>
        </row>
        <row r="2749">
          <cell r="A2749" t="str">
            <v>SH0016-L</v>
          </cell>
          <cell r="B2749" t="str">
            <v>JH16</v>
          </cell>
          <cell r="C2749" t="str">
            <v>ซาติน ไฮเอ็น แขนสั้นขายาว Baby Tiger สีเหลือง L ตัวโชว์</v>
          </cell>
        </row>
        <row r="2750">
          <cell r="A2750" t="str">
            <v>SH0016-M</v>
          </cell>
          <cell r="B2750" t="str">
            <v>JH16</v>
          </cell>
          <cell r="C2750" t="str">
            <v>ซาติน ไฮเอ็น แขนสั้นขายาว Baby Tiger สีเหลือง M ตัวโชว์</v>
          </cell>
        </row>
        <row r="2751">
          <cell r="A2751" t="str">
            <v>SH0016-XL</v>
          </cell>
          <cell r="B2751" t="str">
            <v>JH16</v>
          </cell>
          <cell r="C2751" t="str">
            <v>ซาติน ไฮเอ็น แขนสั้นขายาว Baby Tiger สีเหลือง XL ตัวโชว์</v>
          </cell>
        </row>
        <row r="2752">
          <cell r="A2752" t="str">
            <v>SH0017-L</v>
          </cell>
          <cell r="B2752" t="str">
            <v>H17</v>
          </cell>
          <cell r="C2752" t="str">
            <v>ซาติน ไฮเอ็น แขนสั้นขายาว ลายทางไม้ไผ่ ปกแพนด้า L (กปก)</v>
          </cell>
        </row>
        <row r="2753">
          <cell r="A2753" t="str">
            <v>SH0017-M</v>
          </cell>
          <cell r="B2753" t="str">
            <v>H17</v>
          </cell>
          <cell r="C2753" t="str">
            <v>ซาติน ไฮเอ็น แขนสั้นขายาว ลายทางไม้ไผ่ ปกแพนด้า M (กปก)</v>
          </cell>
        </row>
        <row r="2754">
          <cell r="A2754" t="str">
            <v>SH0017-XL</v>
          </cell>
          <cell r="B2754" t="str">
            <v>H17</v>
          </cell>
          <cell r="C2754" t="str">
            <v>ซาติน ไฮเอ็น แขนสั้นขายาว ลายทางไม้ไผ่ ปกแพนด้า XL (กปก)</v>
          </cell>
        </row>
        <row r="2755">
          <cell r="A2755" t="str">
            <v>SH0018-L</v>
          </cell>
          <cell r="B2755" t="str">
            <v>JH18</v>
          </cell>
          <cell r="C2755" t="str">
            <v>ซาติน ไฮเอ็น แขนยาวขายาว Luxury  น้ำตาล L ตัวโชว์</v>
          </cell>
        </row>
        <row r="2756">
          <cell r="A2756" t="str">
            <v>SH0018-M</v>
          </cell>
          <cell r="B2756" t="str">
            <v>H18</v>
          </cell>
          <cell r="C2756" t="str">
            <v>ซาติน ไฮเอ็น แขนยาวขายาว Luxury  น้ำตาล M</v>
          </cell>
        </row>
        <row r="2757">
          <cell r="A2757" t="str">
            <v>SH0018-XL</v>
          </cell>
          <cell r="B2757" t="str">
            <v>JH18</v>
          </cell>
          <cell r="C2757" t="str">
            <v>ซาติน ไฮเอ็น แขนยาวขายาว Luxury  น้ำตาล XL ตัวโชว์</v>
          </cell>
        </row>
        <row r="2758">
          <cell r="A2758" t="str">
            <v>SH0019-L</v>
          </cell>
          <cell r="B2758" t="str">
            <v>H19</v>
          </cell>
          <cell r="C2758" t="str">
            <v>ซาติน ไฮเอ็น แขนยาวขายาว พื้นฟ้า ปกน้ำเงิน L</v>
          </cell>
        </row>
        <row r="2759">
          <cell r="A2759" t="str">
            <v>SH0019-M</v>
          </cell>
          <cell r="B2759" t="str">
            <v>H19</v>
          </cell>
          <cell r="C2759" t="str">
            <v>ซาติน ไฮเอ็น แขนยาวขายาว พื้นฟ้า ปกน้ำเงิน M</v>
          </cell>
        </row>
        <row r="2760">
          <cell r="A2760" t="str">
            <v>SH0019-XL</v>
          </cell>
          <cell r="B2760" t="str">
            <v>H19</v>
          </cell>
          <cell r="C2760" t="str">
            <v>ซาติน ไฮเอ็น แขนยาวขายาว พื้นฟ้า ปกน้ำเงิน XL</v>
          </cell>
        </row>
        <row r="2761">
          <cell r="A2761" t="str">
            <v>SH0020-L</v>
          </cell>
          <cell r="B2761" t="str">
            <v>H20</v>
          </cell>
          <cell r="C2761" t="str">
            <v>ซาติน ไฮเอ็น เสื้อคลุม พื้นชมพูอ่อน พู่กัน กระเป๋าจิ้งจอก L</v>
          </cell>
        </row>
        <row r="2762">
          <cell r="A2762" t="str">
            <v>SH0020-M</v>
          </cell>
          <cell r="B2762" t="str">
            <v>H20</v>
          </cell>
          <cell r="C2762" t="str">
            <v>ซาติน ไฮเอ็น เสื้อคลุม พื้นชมพูอ่อน พู่กัน กระเป๋าจิ้งจอก M</v>
          </cell>
        </row>
        <row r="2763">
          <cell r="A2763" t="str">
            <v>SH0020-XL</v>
          </cell>
          <cell r="B2763" t="str">
            <v>H20</v>
          </cell>
          <cell r="C2763" t="str">
            <v>ซาติน ไฮเอ็น เสื้อคลุม พื้นชมพูอ่อน พู่กัน กระเป๋าจิ้งจอก XL</v>
          </cell>
        </row>
        <row r="2764">
          <cell r="A2764" t="str">
            <v>SH0021-L</v>
          </cell>
          <cell r="B2764" t="str">
            <v>H21</v>
          </cell>
          <cell r="C2764" t="str">
            <v>ซาติน ไฮเอ็น แขนยาวขายาว พื้นขาว หน้าต่างดำ L</v>
          </cell>
        </row>
        <row r="2765">
          <cell r="A2765" t="str">
            <v>SH0021-M</v>
          </cell>
          <cell r="B2765" t="str">
            <v>JH21</v>
          </cell>
          <cell r="C2765" t="str">
            <v>ซาติน ไฮเอ็น แขนยาวขายาว พื้นขาว หน้าต่างดำ M ตัวโชว์</v>
          </cell>
        </row>
        <row r="2766">
          <cell r="A2766" t="str">
            <v>SH0021-XL</v>
          </cell>
          <cell r="B2766" t="str">
            <v>H21</v>
          </cell>
          <cell r="C2766" t="str">
            <v>ซาติน ไฮเอ็น แขนยาวขายาว พื้นขาว หน้าต่างดำ XL</v>
          </cell>
        </row>
        <row r="2767">
          <cell r="A2767" t="str">
            <v>SH0022-L</v>
          </cell>
          <cell r="B2767" t="str">
            <v>H22</v>
          </cell>
          <cell r="C2767" t="str">
            <v>ซาติน ไฮเอ็น แขนสั้นขายาว ตารางชมพู กระเป๋าจิ้งจอก L (กปก)</v>
          </cell>
        </row>
        <row r="2768">
          <cell r="A2768" t="str">
            <v>SH0022-M</v>
          </cell>
          <cell r="B2768" t="str">
            <v>H22</v>
          </cell>
          <cell r="C2768" t="str">
            <v>ซาติน ไฮเอ็น แขนสั้นขายาว ตารางชมพู กระเป๋าจิ้งจอก M (กปก)</v>
          </cell>
        </row>
        <row r="2769">
          <cell r="A2769" t="str">
            <v>SH0022-XL</v>
          </cell>
          <cell r="B2769" t="str">
            <v>H22</v>
          </cell>
          <cell r="C2769" t="str">
            <v>ซาติน ไฮเอ็น แขนสั้นขายาว ตารางชมพู กระเป๋าจิ้งจอก XL (กปก)</v>
          </cell>
        </row>
        <row r="2770">
          <cell r="A2770" t="str">
            <v>SH0023-L</v>
          </cell>
          <cell r="B2770" t="str">
            <v>H23</v>
          </cell>
          <cell r="C2770" t="str">
            <v>ซาติน ไฮเอ็น แขนยาวขายาว พื้นชมพูอ่อน พู่กัน กระเป๋าจิ้งจอก L (กปก)</v>
          </cell>
        </row>
        <row r="2771">
          <cell r="A2771" t="str">
            <v>SH0023-M</v>
          </cell>
          <cell r="B2771" t="str">
            <v>H23</v>
          </cell>
          <cell r="C2771" t="str">
            <v>ซาติน ไฮเอ็น แขนยาวขายาว พื้นชมพูอ่อน พู่กัน กระเป๋าจิ้งจอก M (กปก)</v>
          </cell>
        </row>
        <row r="2772">
          <cell r="A2772" t="str">
            <v>SH0023-XL</v>
          </cell>
          <cell r="B2772" t="str">
            <v>JH23</v>
          </cell>
          <cell r="C2772" t="str">
            <v>ซาติน ไฮเอ็น แขนยาวขายาว พื้นชมพูอ่อน พู่กัน กระเป๋าจิ้งจอก XL (กปก) ตัวโชว์</v>
          </cell>
        </row>
        <row r="2773">
          <cell r="A2773" t="str">
            <v>SH0024-L</v>
          </cell>
          <cell r="B2773" t="str">
            <v>JH24</v>
          </cell>
          <cell r="C2773" t="str">
            <v>ซาติน ไฮเอ็น เดรส สายเดี่ยว Blue Mountain L ตัวโชว์</v>
          </cell>
        </row>
        <row r="2774">
          <cell r="A2774" t="str">
            <v>SH0024-M</v>
          </cell>
          <cell r="B2774" t="str">
            <v>JH24</v>
          </cell>
          <cell r="C2774" t="str">
            <v>ซาติน ไฮเอ็น เดรส สายเดี่ยว Blue Mountain M ตัวโชว์</v>
          </cell>
        </row>
        <row r="2775">
          <cell r="A2775" t="str">
            <v>SH0025-L</v>
          </cell>
          <cell r="B2775" t="str">
            <v>H25</v>
          </cell>
          <cell r="C2775" t="str">
            <v>ซาติน ไฮเอ็น แขนยาวขายาว พื้นครีม ปกขาว L</v>
          </cell>
        </row>
        <row r="2776">
          <cell r="A2776" t="str">
            <v>SH0025-M</v>
          </cell>
          <cell r="B2776" t="str">
            <v>H25</v>
          </cell>
          <cell r="C2776" t="str">
            <v>ซาติน ไฮเอ็น แขนยาวขายาว พื้นครีม ปกขาว M</v>
          </cell>
        </row>
        <row r="2777">
          <cell r="A2777" t="str">
            <v>SH0025-XL</v>
          </cell>
          <cell r="B2777" t="str">
            <v>JH25</v>
          </cell>
          <cell r="C2777" t="str">
            <v>ซาติน ไฮเอ็น แขนยาวขายาว พื้นครีม ปกขาว XL ตัวโชว์</v>
          </cell>
        </row>
        <row r="2778">
          <cell r="A2778" t="str">
            <v>SH0026-L</v>
          </cell>
          <cell r="B2778" t="str">
            <v>H26</v>
          </cell>
          <cell r="C2778" t="str">
            <v>ซาติน ไฮเอ็น แขนยาวขายาว พื้นชมพู ปกกรม L</v>
          </cell>
        </row>
        <row r="2779">
          <cell r="A2779" t="str">
            <v>SH0026-M</v>
          </cell>
          <cell r="B2779" t="str">
            <v>JH26</v>
          </cell>
          <cell r="C2779" t="str">
            <v>ซาติน ไฮเอ็น แขนยาวขายาว พื้นชมพู ปกกรม M ตัวโชว์</v>
          </cell>
        </row>
        <row r="2780">
          <cell r="A2780" t="str">
            <v>SH0026-XL</v>
          </cell>
          <cell r="B2780" t="str">
            <v>H26</v>
          </cell>
          <cell r="C2780" t="str">
            <v>ซาติน ไฮเอ็น แขนยาวขายาว พื้นชมพู ปกกรม XL</v>
          </cell>
        </row>
        <row r="2781">
          <cell r="A2781" t="str">
            <v>SH0027-L</v>
          </cell>
          <cell r="B2781" t="str">
            <v>H27</v>
          </cell>
          <cell r="C2781" t="str">
            <v>ซาติน ไฮเอ็น แขนยาวขายาว พื้นเขียว ปกขาว L</v>
          </cell>
        </row>
        <row r="2782">
          <cell r="A2782" t="str">
            <v>SH0027-M</v>
          </cell>
          <cell r="B2782" t="str">
            <v>H27</v>
          </cell>
          <cell r="C2782" t="str">
            <v>ซาติน ไฮเอ็น แขนยาวขายาว พื้นเขียว ปกขาว M</v>
          </cell>
        </row>
        <row r="2783">
          <cell r="A2783" t="str">
            <v>SH0027-XL</v>
          </cell>
          <cell r="B2783" t="str">
            <v>H27</v>
          </cell>
          <cell r="C2783" t="str">
            <v>ซาติน ไฮเอ็น แขนยาวขายาว พื้นเขียว ปกขาว XL</v>
          </cell>
        </row>
        <row r="2784">
          <cell r="A2784" t="str">
            <v>SH0028-L</v>
          </cell>
          <cell r="B2784" t="str">
            <v>H28</v>
          </cell>
          <cell r="C2784" t="str">
            <v>ซาติน ไฮเอ็น แขนยาวขายาว พื้นเหลือง ปกขาว L</v>
          </cell>
        </row>
        <row r="2785">
          <cell r="A2785" t="str">
            <v>SH0028-M</v>
          </cell>
          <cell r="B2785" t="str">
            <v>H28</v>
          </cell>
          <cell r="C2785" t="str">
            <v>ซาติน ไฮเอ็น แขนยาวขายาว พื้นเหลือง ปกขาว M</v>
          </cell>
        </row>
        <row r="2786">
          <cell r="A2786" t="str">
            <v>SH0028-XL</v>
          </cell>
          <cell r="B2786" t="str">
            <v>H28</v>
          </cell>
          <cell r="C2786" t="str">
            <v>ซาติน ไฮเอ็น แขนยาวขายาว พื้นเหลือง ปกขาว XL</v>
          </cell>
        </row>
        <row r="2787">
          <cell r="A2787" t="str">
            <v>SH0029-L</v>
          </cell>
          <cell r="B2787" t="str">
            <v>H29</v>
          </cell>
          <cell r="C2787" t="str">
            <v>ซาติน ไฮเอ็น แขนสั้นขายาว พื้นฟ้า ขอบดำ กระเป๋า V L</v>
          </cell>
        </row>
        <row r="2788">
          <cell r="A2788" t="str">
            <v>SH0029-M</v>
          </cell>
          <cell r="B2788" t="str">
            <v>H29</v>
          </cell>
          <cell r="C2788" t="str">
            <v>ซาติน ไฮเอ็น แขนสั้นขายาว พื้นฟ้า ขอบดำ กระเป๋า V M</v>
          </cell>
        </row>
        <row r="2789">
          <cell r="A2789" t="str">
            <v>SH0029-XL</v>
          </cell>
          <cell r="B2789" t="str">
            <v>H29</v>
          </cell>
          <cell r="C2789" t="str">
            <v>ซาติน ไฮเอ็น แขนสั้นขายาว พื้นฟ้า ขอบดำ กระเป๋า V XL</v>
          </cell>
        </row>
        <row r="2790">
          <cell r="A2790" t="str">
            <v>SH0030-L</v>
          </cell>
          <cell r="B2790" t="str">
            <v>H30</v>
          </cell>
          <cell r="C2790" t="str">
            <v>ซาติน ไฮเอ็น แขนสั้นขายาว พื้นครีม ขอบดำ กระเป๋า V L</v>
          </cell>
        </row>
        <row r="2791">
          <cell r="A2791" t="str">
            <v>SH0030-M</v>
          </cell>
          <cell r="B2791" t="str">
            <v>H30</v>
          </cell>
          <cell r="C2791" t="str">
            <v>ซาติน ไฮเอ็น แขนสั้นขายาว พื้นครีม ขอบดำ กระเป๋า V M</v>
          </cell>
        </row>
        <row r="2792">
          <cell r="A2792" t="str">
            <v>SH0030-XL</v>
          </cell>
          <cell r="B2792" t="str">
            <v>H30</v>
          </cell>
          <cell r="C2792" t="str">
            <v>ซาติน ไฮเอ็น แขนสั้นขายาว พื้นครีม ขอบดำ กระเป๋า V XL</v>
          </cell>
        </row>
        <row r="2793">
          <cell r="A2793" t="str">
            <v>SH0031-L</v>
          </cell>
          <cell r="B2793" t="str">
            <v>H31</v>
          </cell>
          <cell r="C2793" t="str">
            <v>ซาติน ไฮเอ็น แขนยาวขายาว จิ๊กซอว์ ชมพู L</v>
          </cell>
        </row>
        <row r="2794">
          <cell r="A2794" t="str">
            <v>SH0031-M</v>
          </cell>
          <cell r="B2794" t="str">
            <v>JH31</v>
          </cell>
          <cell r="C2794" t="str">
            <v>ซาติน ไฮเอ็น แขนยาวขายาว จิ๊กซอว์ ชมพู M ตัวโชว์</v>
          </cell>
        </row>
        <row r="2795">
          <cell r="A2795" t="str">
            <v>SH0031-XL</v>
          </cell>
          <cell r="B2795" t="str">
            <v>JH31</v>
          </cell>
          <cell r="C2795" t="str">
            <v>ซาติน ไฮเอ็น แขนยาวขายาว จิ๊กซอว์ ชมพู XL ตัวโชว์</v>
          </cell>
        </row>
        <row r="2796">
          <cell r="A2796" t="str">
            <v>SH0032-L</v>
          </cell>
          <cell r="B2796" t="str">
            <v>JH32</v>
          </cell>
          <cell r="C2796" t="str">
            <v>ซาติน ไฮเอ็น เดรสแขนสั้น จิ๊กซอว์ ชมพู L ตัวโชว์</v>
          </cell>
        </row>
        <row r="2797">
          <cell r="A2797" t="str">
            <v>SH0032-M</v>
          </cell>
          <cell r="B2797" t="str">
            <v>H32</v>
          </cell>
          <cell r="C2797" t="str">
            <v>ซาติน ไฮเอ็น เดรสแขนสั้น จิ๊กซอว์ ชมพู M</v>
          </cell>
        </row>
        <row r="2798">
          <cell r="A2798" t="str">
            <v>SH0033-L</v>
          </cell>
          <cell r="B2798" t="str">
            <v>JH33</v>
          </cell>
          <cell r="C2798" t="str">
            <v>ซาติน ไฮเอ็น แขนยาวขายาว พื้นน้ำเงิน ปกขาว L ตัวโชว์</v>
          </cell>
        </row>
        <row r="2799">
          <cell r="A2799" t="str">
            <v>SH0033-M</v>
          </cell>
          <cell r="B2799" t="str">
            <v>JH33</v>
          </cell>
          <cell r="C2799" t="str">
            <v>ซาติน ไฮเอ็น แขนยาวขายาว พื้นน้ำเงิน ปกขาว M ตัวโชว์</v>
          </cell>
        </row>
        <row r="2800">
          <cell r="A2800" t="str">
            <v>SH0033-XL</v>
          </cell>
          <cell r="B2800" t="str">
            <v>JH33</v>
          </cell>
          <cell r="C2800" t="str">
            <v>ซาติน ไฮเอ็น แขนยาวขายาว พื้นน้ำเงิน ปกขาว XL ตัวโชว์</v>
          </cell>
        </row>
        <row r="2801">
          <cell r="A2801" t="str">
            <v>SH0034-L</v>
          </cell>
          <cell r="B2801" t="str">
            <v>H34</v>
          </cell>
          <cell r="C2801" t="str">
            <v>ซาติน ไฮเอ็น เดรส แขนสั้น Blue Mountain L</v>
          </cell>
        </row>
        <row r="2802">
          <cell r="A2802" t="str">
            <v>SH0034-M</v>
          </cell>
          <cell r="B2802" t="str">
            <v>H34</v>
          </cell>
          <cell r="C2802" t="str">
            <v>ซาติน ไฮเอ็น เดรส แขนสั้น Blue Mountain M</v>
          </cell>
        </row>
        <row r="2803">
          <cell r="A2803" t="str">
            <v>SH0034-XL</v>
          </cell>
          <cell r="B2803" t="str">
            <v>H34</v>
          </cell>
          <cell r="C2803" t="str">
            <v>ซาติน ไฮเอ็น เดรส แขนสั้น Blue Mountain XL</v>
          </cell>
        </row>
        <row r="2804">
          <cell r="A2804" t="str">
            <v>SK0001-M</v>
          </cell>
          <cell r="B2804" t="str">
            <v>K1</v>
          </cell>
          <cell r="C2804" t="str">
            <v>ซาติน เดรสแขนยาว แพนด้า ชมพู M</v>
          </cell>
        </row>
        <row r="2805">
          <cell r="A2805" t="str">
            <v>SK0001-S</v>
          </cell>
          <cell r="B2805" t="str">
            <v>K1</v>
          </cell>
          <cell r="C2805" t="str">
            <v>ซาติน เดรสแขนยาว แพนด้าชมพู S</v>
          </cell>
        </row>
        <row r="2806">
          <cell r="A2806" t="str">
            <v>SK0002-M</v>
          </cell>
          <cell r="B2806" t="str">
            <v>K2</v>
          </cell>
          <cell r="C2806" t="str">
            <v>ซาติน เดรสแขนยาว แพนด้าเขียวเข้ม M</v>
          </cell>
        </row>
        <row r="2807">
          <cell r="A2807" t="str">
            <v>SK0002-S</v>
          </cell>
          <cell r="B2807" t="str">
            <v>K2</v>
          </cell>
          <cell r="C2807" t="str">
            <v>ซาติน เดรสแขนยาว แพนด้า เขียวเข้ม S</v>
          </cell>
        </row>
        <row r="2808">
          <cell r="A2808" t="str">
            <v>SK0003-M</v>
          </cell>
          <cell r="B2808" t="str">
            <v>K3</v>
          </cell>
          <cell r="C2808" t="str">
            <v>ซาติน เดรสแขนยาว ดอกกุหลาบ M</v>
          </cell>
        </row>
        <row r="2809">
          <cell r="A2809" t="str">
            <v>SK0004-L</v>
          </cell>
          <cell r="B2809" t="str">
            <v>K4</v>
          </cell>
          <cell r="C2809" t="str">
            <v>ซาติน เดรส ตารางขาวดำ L</v>
          </cell>
        </row>
        <row r="2810">
          <cell r="A2810" t="str">
            <v>SK0004-M</v>
          </cell>
          <cell r="B2810" t="str">
            <v>K4</v>
          </cell>
          <cell r="C2810" t="str">
            <v>ซาติน เดรส ตาราง ขาวดำ M</v>
          </cell>
        </row>
        <row r="2811">
          <cell r="A2811" t="str">
            <v>SK0004-XL</v>
          </cell>
          <cell r="B2811" t="str">
            <v>K4</v>
          </cell>
          <cell r="C2811" t="str">
            <v>ซาติน เดรส ตาราง ขาวดำ XL</v>
          </cell>
        </row>
        <row r="2812">
          <cell r="A2812" t="str">
            <v>SK0005-L</v>
          </cell>
          <cell r="B2812" t="str">
            <v>JK5</v>
          </cell>
          <cell r="C2812" t="str">
            <v>ซาติน เดรส+กางเกง ชมพู นู้ด L ตัวโชว์</v>
          </cell>
        </row>
        <row r="2813">
          <cell r="A2813" t="str">
            <v>SK0005-M</v>
          </cell>
          <cell r="B2813" t="str">
            <v>JK5</v>
          </cell>
          <cell r="C2813" t="str">
            <v>ซาติน เดรส+กางเกง ชมพู นู้ด M ตัวโชว์</v>
          </cell>
        </row>
        <row r="2814">
          <cell r="A2814" t="str">
            <v>SK0006-L</v>
          </cell>
          <cell r="B2814" t="str">
            <v>JK6</v>
          </cell>
          <cell r="C2814" t="str">
            <v>ซาติน เดรส+กางเกง ฟ้าเข้ม L ตัวโชว์</v>
          </cell>
        </row>
        <row r="2815">
          <cell r="A2815" t="str">
            <v>SK0006-M</v>
          </cell>
          <cell r="B2815" t="str">
            <v>JK6</v>
          </cell>
          <cell r="C2815" t="str">
            <v>ซาติน เดรส+กางเกง ฟ้าเข้ม M ตัวโชว์</v>
          </cell>
        </row>
        <row r="2816">
          <cell r="A2816" t="str">
            <v>SK0007-L</v>
          </cell>
          <cell r="B2816" t="str">
            <v>K7</v>
          </cell>
          <cell r="C2816" t="str">
            <v>ซาติน เดรสแขนสั้น สีขาว ขอบโอรส L</v>
          </cell>
        </row>
        <row r="2817">
          <cell r="A2817" t="str">
            <v>SK0007-M</v>
          </cell>
          <cell r="B2817" t="str">
            <v>K7</v>
          </cell>
          <cell r="C2817" t="str">
            <v>ซาติน เดรสแขนสั้น สีขาว ขอบโอรส M</v>
          </cell>
        </row>
        <row r="2818">
          <cell r="A2818" t="str">
            <v>SK0008-L</v>
          </cell>
          <cell r="B2818" t="str">
            <v>K8</v>
          </cell>
          <cell r="C2818" t="str">
            <v>ซาติน เดรสแขนสั้น ลายทางชมพู โบว์ดำ L</v>
          </cell>
        </row>
        <row r="2819">
          <cell r="A2819" t="str">
            <v>SK0008-M</v>
          </cell>
          <cell r="B2819" t="str">
            <v>K8</v>
          </cell>
          <cell r="C2819" t="str">
            <v>ซาติน เดรสแขนสั้น ลายทางชมพู โบว์ดำ M</v>
          </cell>
        </row>
        <row r="2820">
          <cell r="A2820" t="str">
            <v>SK0009-L</v>
          </cell>
          <cell r="B2820" t="str">
            <v>K9</v>
          </cell>
          <cell r="C2820" t="str">
            <v>ซาติน เดรส คอบัว นางฟ้า ขาวขอบดำ L</v>
          </cell>
        </row>
        <row r="2821">
          <cell r="A2821" t="str">
            <v>SK0009-M</v>
          </cell>
          <cell r="B2821" t="str">
            <v>K9</v>
          </cell>
          <cell r="C2821" t="str">
            <v>ซาติน เดรส คอบัว นางฟ้า ขาวขอบดำ M</v>
          </cell>
        </row>
        <row r="2822">
          <cell r="A2822" t="str">
            <v>SK0010-L</v>
          </cell>
          <cell r="B2822" t="str">
            <v>K10</v>
          </cell>
          <cell r="C2822" t="str">
            <v>ซาติน เดรส คอบัว นางฟ้า ชมพู ขอบม่วง L</v>
          </cell>
        </row>
        <row r="2823">
          <cell r="A2823" t="str">
            <v>SK0010-M</v>
          </cell>
          <cell r="B2823" t="str">
            <v>K10</v>
          </cell>
          <cell r="C2823" t="str">
            <v>ซาติน เดรส คอบัว นางฟ้า ชมพู ขอบม่วง M</v>
          </cell>
        </row>
        <row r="2824">
          <cell r="A2824" t="str">
            <v>SK0011-L</v>
          </cell>
          <cell r="B2824" t="str">
            <v>K11</v>
          </cell>
          <cell r="C2824" t="str">
            <v>ซาติน เดรส คอระบาย สีเขียวมิ้น L</v>
          </cell>
        </row>
        <row r="2825">
          <cell r="A2825" t="str">
            <v>SK0011-M</v>
          </cell>
          <cell r="B2825" t="str">
            <v>K11</v>
          </cell>
          <cell r="C2825" t="str">
            <v>ซาติน เดรส คอระบาย สีเขียวมิ้น M</v>
          </cell>
        </row>
        <row r="2826">
          <cell r="A2826" t="str">
            <v>SK0012-F</v>
          </cell>
          <cell r="B2826" t="str">
            <v>K12</v>
          </cell>
          <cell r="C2826" t="str">
            <v>ซาติน เดรสแขนสี่ส่วน น้องแมว Freesize</v>
          </cell>
        </row>
        <row r="2827">
          <cell r="A2827" t="str">
            <v>SK0013-L</v>
          </cell>
          <cell r="B2827" t="str">
            <v>K13</v>
          </cell>
          <cell r="C2827" t="str">
            <v>ซาติน เดรส ขาวจุดโอรส ขอบเขียว L</v>
          </cell>
        </row>
        <row r="2828">
          <cell r="A2828" t="str">
            <v>SK0013-M</v>
          </cell>
          <cell r="B2828" t="str">
            <v>K13</v>
          </cell>
          <cell r="C2828" t="str">
            <v>ซาติน เดรส ขาวจุดโอรส ขอบเขียว M</v>
          </cell>
        </row>
        <row r="2829">
          <cell r="A2829" t="str">
            <v>SK0014-L</v>
          </cell>
          <cell r="B2829" t="str">
            <v>K14</v>
          </cell>
          <cell r="C2829" t="str">
            <v>เดรส แขนสี่ส่วน สีชมพูอ่อน ลายจุด ขอบฟ้า L</v>
          </cell>
        </row>
        <row r="2830">
          <cell r="A2830" t="str">
            <v>SK0014-M</v>
          </cell>
          <cell r="B2830" t="str">
            <v>K14</v>
          </cell>
          <cell r="C2830" t="str">
            <v>เดรส แขนสี่ส่วน สีชมพูอ่อน ลายจุด ขอบฟ้า M</v>
          </cell>
        </row>
        <row r="2831">
          <cell r="A2831" t="str">
            <v>SK0015-L</v>
          </cell>
          <cell r="B2831" t="str">
            <v>K15</v>
          </cell>
          <cell r="C2831" t="str">
            <v>ซาติน เดรส แขนสั้น ลายหัวใจ ชมพูนู๊ด L</v>
          </cell>
        </row>
        <row r="2832">
          <cell r="A2832" t="str">
            <v>SK0015-M</v>
          </cell>
          <cell r="B2832" t="str">
            <v>K15</v>
          </cell>
          <cell r="C2832" t="str">
            <v>ซาติน เดรส แขนสั้น ลายหัวใจ ชมพูนู๊ด M</v>
          </cell>
        </row>
        <row r="2833">
          <cell r="A2833" t="str">
            <v>SK0016-L</v>
          </cell>
          <cell r="B2833" t="str">
            <v>K16</v>
          </cell>
          <cell r="C2833" t="str">
            <v>ซาติน เดรส แขนสั้น ลายหัวใจ ชมพูอ่อน L</v>
          </cell>
        </row>
        <row r="2834">
          <cell r="A2834" t="str">
            <v>SK0016-M</v>
          </cell>
          <cell r="B2834" t="str">
            <v>K16</v>
          </cell>
          <cell r="C2834" t="str">
            <v>ซาติน เดรส แขนสั้น ลายหัวใจ ชมพูอ่อน M</v>
          </cell>
        </row>
        <row r="2835">
          <cell r="A2835" t="str">
            <v>SK0017-L</v>
          </cell>
          <cell r="B2835" t="str">
            <v>K17</v>
          </cell>
          <cell r="C2835" t="str">
            <v>เดรสซาติน แขนสี่ส่วน ดาว L</v>
          </cell>
        </row>
        <row r="2836">
          <cell r="A2836" t="str">
            <v>SK0017-M</v>
          </cell>
          <cell r="B2836" t="str">
            <v>K17</v>
          </cell>
          <cell r="C2836" t="str">
            <v>ซาติน เดรสแขนสี่ส่วน ดาว M</v>
          </cell>
        </row>
        <row r="2837">
          <cell r="A2837" t="str">
            <v>SK0017-S</v>
          </cell>
          <cell r="B2837" t="str">
            <v>K17</v>
          </cell>
          <cell r="C2837" t="str">
            <v>เดรสซาติน แขนสี่ส่วน ดาว S</v>
          </cell>
        </row>
        <row r="2838">
          <cell r="A2838" t="str">
            <v>SK0018-L</v>
          </cell>
          <cell r="B2838" t="str">
            <v>K18</v>
          </cell>
          <cell r="C2838" t="str">
            <v>ซาติน เดรสแขนยาว สีดำ L</v>
          </cell>
        </row>
        <row r="2839">
          <cell r="A2839" t="str">
            <v>SK0018-M</v>
          </cell>
          <cell r="B2839" t="str">
            <v>K18</v>
          </cell>
          <cell r="C2839" t="str">
            <v>ซาติน เดรสแขนยาว สีดำ M</v>
          </cell>
        </row>
        <row r="2840">
          <cell r="A2840" t="str">
            <v>SK0019-L</v>
          </cell>
          <cell r="B2840" t="str">
            <v>K19</v>
          </cell>
          <cell r="C2840" t="str">
            <v>ซาติน เดรสแขนยาว ชมพู  L</v>
          </cell>
        </row>
        <row r="2841">
          <cell r="A2841" t="str">
            <v>SK0019-M</v>
          </cell>
          <cell r="B2841" t="str">
            <v>K19</v>
          </cell>
          <cell r="C2841" t="str">
            <v>ซาติน เดรสแขนยาว ชมพู  M</v>
          </cell>
        </row>
        <row r="2842">
          <cell r="A2842" t="str">
            <v>SK0020-L</v>
          </cell>
          <cell r="B2842" t="str">
            <v>K20</v>
          </cell>
          <cell r="C2842" t="str">
            <v>ซาตินเดรส แขนสั้น ชมพูแขนลูกไม้ L</v>
          </cell>
        </row>
        <row r="2843">
          <cell r="A2843" t="str">
            <v>SK0020-M</v>
          </cell>
          <cell r="B2843" t="str">
            <v>K20</v>
          </cell>
          <cell r="C2843" t="str">
            <v>ซาตินเดรส แขนสั้น ชมพูแขนลูกไม้ M</v>
          </cell>
        </row>
        <row r="2844">
          <cell r="A2844" t="str">
            <v>SK0020-XL</v>
          </cell>
          <cell r="B2844" t="str">
            <v>K20</v>
          </cell>
          <cell r="C2844" t="str">
            <v>ซาตินเดรส แขนสั้น ชมพูแขนลูกไม้ XL</v>
          </cell>
        </row>
        <row r="2845">
          <cell r="A2845" t="str">
            <v>SK0021-L</v>
          </cell>
          <cell r="B2845" t="str">
            <v>K21</v>
          </cell>
          <cell r="C2845" t="str">
            <v>ซาตินเดรส แขนสั้น ฟ้าแขนลูกไม้ L</v>
          </cell>
        </row>
        <row r="2846">
          <cell r="A2846" t="str">
            <v>SK0021-M</v>
          </cell>
          <cell r="B2846" t="str">
            <v>K21</v>
          </cell>
          <cell r="C2846" t="str">
            <v>ซาตินเดรส แขนสั้น ฟ้าแขนลูกไม้ M</v>
          </cell>
        </row>
        <row r="2847">
          <cell r="A2847" t="str">
            <v>SK0021-XL</v>
          </cell>
          <cell r="B2847" t="str">
            <v>K21</v>
          </cell>
          <cell r="C2847" t="str">
            <v>ซาตินเดรส แขนสั้น ฟ้าแขนลูกไม้ XL</v>
          </cell>
        </row>
        <row r="2848">
          <cell r="A2848" t="str">
            <v>SK0022-L</v>
          </cell>
          <cell r="B2848" t="str">
            <v>K22</v>
          </cell>
          <cell r="C2848" t="str">
            <v>ซาตินเดรส แขนยาว สีครีมขอบดำ ลายตัวอักษร L</v>
          </cell>
        </row>
        <row r="2849">
          <cell r="A2849" t="str">
            <v>SK0022-M</v>
          </cell>
          <cell r="B2849" t="str">
            <v>K22</v>
          </cell>
          <cell r="C2849" t="str">
            <v>ซาตินเดรส แขนยาว สีครีมขอบดำ ลายตัวอักษร M</v>
          </cell>
        </row>
        <row r="2850">
          <cell r="A2850" t="str">
            <v>SK0023-L</v>
          </cell>
          <cell r="B2850" t="str">
            <v>K23</v>
          </cell>
          <cell r="C2850" t="str">
            <v>ซาติน แเดรสแขนสี่ส่วน น้ำเงินชมพู hair love L</v>
          </cell>
        </row>
        <row r="2851">
          <cell r="A2851" t="str">
            <v>SK0023-M</v>
          </cell>
          <cell r="B2851" t="str">
            <v>K23</v>
          </cell>
          <cell r="C2851" t="str">
            <v>ซาติน แเดรสแขนสี่ส่วน น้ำเงินชมพู hair love M</v>
          </cell>
        </row>
        <row r="2852">
          <cell r="A2852" t="str">
            <v>SK0024-L</v>
          </cell>
          <cell r="B2852" t="str">
            <v>K24</v>
          </cell>
          <cell r="C2852" t="str">
            <v>ซาตินแเดรสแขนสี่ส่วน น้ำตาลเขียว hair love L</v>
          </cell>
        </row>
        <row r="2853">
          <cell r="A2853" t="str">
            <v>SK0024-M</v>
          </cell>
          <cell r="B2853" t="str">
            <v>K24</v>
          </cell>
          <cell r="C2853" t="str">
            <v>ซาตินแเดรสแขนสี่ส่วน น้ำตาลเขียว hair love M</v>
          </cell>
        </row>
        <row r="2854">
          <cell r="A2854" t="str">
            <v>SK0025-L</v>
          </cell>
          <cell r="B2854" t="str">
            <v>JK25</v>
          </cell>
          <cell r="C2854" t="str">
            <v>ซาติน เดรส+กางเกง สีกรมเข้ม L ตัวโชว์</v>
          </cell>
        </row>
        <row r="2855">
          <cell r="A2855" t="str">
            <v>SK0025-M</v>
          </cell>
          <cell r="B2855" t="str">
            <v>JK25</v>
          </cell>
          <cell r="C2855" t="str">
            <v>ซาติน เดรส+กางเกง สีกรมเข้ม M ตัวโชว์</v>
          </cell>
        </row>
        <row r="2856">
          <cell r="A2856" t="str">
            <v>SK0026-L</v>
          </cell>
          <cell r="B2856" t="str">
            <v>K26</v>
          </cell>
          <cell r="C2856" t="str">
            <v>เดรสซาติน แขนสั้น ม้าลาย L</v>
          </cell>
        </row>
        <row r="2857">
          <cell r="A2857" t="str">
            <v>SK0026-M</v>
          </cell>
          <cell r="B2857" t="str">
            <v>K26</v>
          </cell>
          <cell r="C2857" t="str">
            <v>เดรสซาติน แขนสั้น ม้าลาย M</v>
          </cell>
        </row>
        <row r="2858">
          <cell r="A2858" t="str">
            <v>SK0027-F</v>
          </cell>
          <cell r="B2858" t="str">
            <v>K27</v>
          </cell>
          <cell r="C2858" t="str">
            <v>เดรสฟรีไชส์ หน้ายิ้มสีส้ม ฟรีไซส์</v>
          </cell>
        </row>
        <row r="2859">
          <cell r="A2859" t="str">
            <v>SK0028-L</v>
          </cell>
          <cell r="B2859" t="str">
            <v>K28</v>
          </cell>
          <cell r="C2859" t="str">
            <v>ซาติน เดรสแขนสั้น โดนัดผู้หญิง พื้นกรม L</v>
          </cell>
        </row>
        <row r="2860">
          <cell r="A2860" t="str">
            <v>SK0028-M</v>
          </cell>
          <cell r="B2860" t="str">
            <v>K28</v>
          </cell>
          <cell r="C2860" t="str">
            <v>ซาติน เดรสแขนสั้น โดนัดผู้หญิง พื้นกรม M</v>
          </cell>
        </row>
        <row r="2861">
          <cell r="A2861" t="str">
            <v>SK0029-L</v>
          </cell>
          <cell r="B2861" t="str">
            <v>K29</v>
          </cell>
          <cell r="C2861" t="str">
            <v>ซาติน เดรสแขนสั้น โดนัดผู้หญิง พื้นขาว L</v>
          </cell>
        </row>
        <row r="2862">
          <cell r="A2862" t="str">
            <v>SK0029-M</v>
          </cell>
          <cell r="B2862" t="str">
            <v>K29</v>
          </cell>
          <cell r="C2862" t="str">
            <v>ซาติน เดรสแขนสั้น โดนัดผู้หญิง พื้นขาว M</v>
          </cell>
        </row>
        <row r="2863">
          <cell r="A2863" t="str">
            <v>SK0030-L</v>
          </cell>
          <cell r="B2863" t="str">
            <v>K30</v>
          </cell>
          <cell r="C2863" t="str">
            <v>ซาติน เดรสแขนห้าส่วน สีเหลือง ขอบเขียว ลายหัวใจ L</v>
          </cell>
        </row>
        <row r="2864">
          <cell r="A2864" t="str">
            <v>SK0030-M</v>
          </cell>
          <cell r="B2864" t="str">
            <v>K30</v>
          </cell>
          <cell r="C2864" t="str">
            <v>ซาติน เดรสแขนห้าส่วน สีเหลือง ขอบเขียว ลายหัวใจ M</v>
          </cell>
        </row>
        <row r="2865">
          <cell r="A2865" t="str">
            <v>SK0031-L</v>
          </cell>
          <cell r="B2865" t="str">
            <v>K31</v>
          </cell>
          <cell r="C2865" t="str">
            <v>ซาติน เดรสแขนห้าส่วน สีชมพูนู้ด ขอบเงิน ลายหัวใจ L</v>
          </cell>
        </row>
        <row r="2866">
          <cell r="A2866" t="str">
            <v>SK0031-M</v>
          </cell>
          <cell r="B2866" t="str">
            <v>K31</v>
          </cell>
          <cell r="C2866" t="str">
            <v>ซาติน เดรสแขนห้าส่วน สีชมพูนู้ด ขอบเงิน ลายหัวใจ M</v>
          </cell>
        </row>
        <row r="2867">
          <cell r="A2867" t="str">
            <v>SK0032-L</v>
          </cell>
          <cell r="B2867" t="str">
            <v>K32</v>
          </cell>
          <cell r="C2867" t="str">
            <v>ซาติน เดรสแขนห้าส่วน สีโอรส ขอบเงิน ลายหัวใจ L</v>
          </cell>
        </row>
        <row r="2868">
          <cell r="A2868" t="str">
            <v>SK0032-M</v>
          </cell>
          <cell r="B2868" t="str">
            <v>K32</v>
          </cell>
          <cell r="C2868" t="str">
            <v>ซาติน เดรสแขนห้าส่วน สีโอรส ขอบเงิน ลายหัวใจ M</v>
          </cell>
        </row>
        <row r="2869">
          <cell r="A2869" t="str">
            <v>SK0033-M</v>
          </cell>
          <cell r="B2869" t="str">
            <v>K33</v>
          </cell>
          <cell r="C2869" t="str">
            <v>ซาติน เดรส ลายทางส้มน้ำเงิน M</v>
          </cell>
        </row>
        <row r="2870">
          <cell r="A2870" t="str">
            <v>SK0033-S</v>
          </cell>
          <cell r="B2870" t="str">
            <v>K33</v>
          </cell>
          <cell r="C2870" t="str">
            <v>ซาติน เดรส ลายทางส้มน้ำเงิน S</v>
          </cell>
        </row>
        <row r="2871">
          <cell r="A2871" t="str">
            <v>SK0034-L</v>
          </cell>
          <cell r="B2871" t="str">
            <v>K34</v>
          </cell>
          <cell r="C2871" t="str">
            <v>ซาติน เดรสแขนสั้น สีฟ้า ลายจุดชมพู L</v>
          </cell>
        </row>
        <row r="2872">
          <cell r="A2872" t="str">
            <v>SK0034-M</v>
          </cell>
          <cell r="B2872" t="str">
            <v>K34</v>
          </cell>
          <cell r="C2872" t="str">
            <v>ซาติน เดรสแขนสั้น สีฟ้า ลายจุดชมพู M</v>
          </cell>
        </row>
        <row r="2873">
          <cell r="A2873" t="str">
            <v>SK0035-L</v>
          </cell>
          <cell r="B2873" t="str">
            <v>K35</v>
          </cell>
          <cell r="C2873" t="str">
            <v>ซาติน เดรสแขนสั้น สีขาว ลายจุดสีโอรส L</v>
          </cell>
        </row>
        <row r="2874">
          <cell r="A2874" t="str">
            <v>SK0035-M</v>
          </cell>
          <cell r="B2874" t="str">
            <v>K35</v>
          </cell>
          <cell r="C2874" t="str">
            <v>ซาติน เดรสแขนสั้น สีขาว ลายจุดสีโอรส M</v>
          </cell>
        </row>
        <row r="2875">
          <cell r="A2875" t="str">
            <v>SK0036-L</v>
          </cell>
          <cell r="B2875" t="str">
            <v>K36</v>
          </cell>
          <cell r="C2875" t="str">
            <v>ซาติน เดรสกระเป๋าลูกไม้ พื้นฟ้า L</v>
          </cell>
        </row>
        <row r="2876">
          <cell r="A2876" t="str">
            <v>SK0036-M</v>
          </cell>
          <cell r="B2876" t="str">
            <v>K36</v>
          </cell>
          <cell r="C2876" t="str">
            <v>ซาติน เดรสกระเป๋าลูกไม้ พื้นฟ้า M</v>
          </cell>
        </row>
        <row r="2877">
          <cell r="A2877" t="str">
            <v>SK0037-L</v>
          </cell>
          <cell r="B2877" t="str">
            <v>K37</v>
          </cell>
          <cell r="C2877" t="str">
            <v>ซาติน เดรสกระเป๋าลูกไม้ พื้นครีม L</v>
          </cell>
        </row>
        <row r="2878">
          <cell r="A2878" t="str">
            <v>SK0037-M</v>
          </cell>
          <cell r="B2878" t="str">
            <v>K37</v>
          </cell>
          <cell r="C2878" t="str">
            <v>ซาติน เดรสกระเป๋าลูกไม้ พื้นครีม M</v>
          </cell>
        </row>
        <row r="2879">
          <cell r="A2879" t="str">
            <v>SK0038-L</v>
          </cell>
          <cell r="B2879" t="str">
            <v>K38</v>
          </cell>
          <cell r="C2879" t="str">
            <v>ซาติน เดรสแขนยาว เหลือง L</v>
          </cell>
        </row>
        <row r="2880">
          <cell r="A2880" t="str">
            <v>SK0038-M</v>
          </cell>
          <cell r="B2880" t="str">
            <v>K38</v>
          </cell>
          <cell r="C2880" t="str">
            <v>ซาติน เดรสแขนยาว เหลือง M</v>
          </cell>
        </row>
        <row r="2881">
          <cell r="A2881" t="str">
            <v>SK0039-M</v>
          </cell>
          <cell r="B2881" t="str">
            <v>K39</v>
          </cell>
          <cell r="C2881" t="str">
            <v>ซาติน เดรสแขนสี่ส่วน ABC พื้นชมพู M</v>
          </cell>
        </row>
        <row r="2882">
          <cell r="A2882" t="str">
            <v>SK0039-S</v>
          </cell>
          <cell r="B2882" t="str">
            <v>K39</v>
          </cell>
          <cell r="C2882" t="str">
            <v>ซาติน เดรสแขนสี่ส่วน ABC พื้นชมพู S</v>
          </cell>
        </row>
        <row r="2883">
          <cell r="A2883" t="str">
            <v>SK0040-L</v>
          </cell>
          <cell r="B2883" t="str">
            <v>K40</v>
          </cell>
          <cell r="C2883" t="str">
            <v>ซาติน เดรส จุดขาว พื้นส้ม L</v>
          </cell>
        </row>
        <row r="2884">
          <cell r="A2884" t="str">
            <v>SK0040-M</v>
          </cell>
          <cell r="B2884" t="str">
            <v>K40</v>
          </cell>
          <cell r="C2884" t="str">
            <v>ซาติน เดรส จุดขาว พื้นส้ม M</v>
          </cell>
        </row>
        <row r="2885">
          <cell r="A2885" t="str">
            <v>SK0041-L</v>
          </cell>
          <cell r="B2885" t="str">
            <v>K41</v>
          </cell>
          <cell r="C2885" t="str">
            <v>ซาติน เดรส จุดขาว พื้นชมพู L</v>
          </cell>
        </row>
        <row r="2886">
          <cell r="A2886" t="str">
            <v>SK0041-M</v>
          </cell>
          <cell r="B2886" t="str">
            <v>K41</v>
          </cell>
          <cell r="C2886" t="str">
            <v>ซาติน เดรส จุดขาว พื้นชมพู M</v>
          </cell>
        </row>
        <row r="2887">
          <cell r="A2887" t="str">
            <v>SK0042-L</v>
          </cell>
          <cell r="B2887" t="str">
            <v>K42</v>
          </cell>
          <cell r="C2887" t="str">
            <v>ซาติน เดรสแขนสี่ส่วน ลายจุด L</v>
          </cell>
        </row>
        <row r="2888">
          <cell r="A2888" t="str">
            <v>SK0042-M</v>
          </cell>
          <cell r="B2888" t="str">
            <v>K42</v>
          </cell>
          <cell r="C2888" t="str">
            <v>ซาติน เดรสแขนสี่ส่วน ลายจุด M</v>
          </cell>
        </row>
        <row r="2889">
          <cell r="A2889" t="str">
            <v>SK0043-L</v>
          </cell>
          <cell r="B2889" t="str">
            <v>K43</v>
          </cell>
          <cell r="C2889" t="str">
            <v>ซาตินเดรส แขนยาว สีกรม ขอบขาว L</v>
          </cell>
        </row>
        <row r="2890">
          <cell r="A2890" t="str">
            <v>SK0043-M</v>
          </cell>
          <cell r="B2890" t="str">
            <v>JK43</v>
          </cell>
          <cell r="C2890" t="str">
            <v>ซาติน เดรสแขนยาว สีกรม ขอบขาว M ตัวโชว์</v>
          </cell>
        </row>
        <row r="2891">
          <cell r="A2891" t="str">
            <v>SK0044-L</v>
          </cell>
          <cell r="B2891" t="str">
            <v>K44</v>
          </cell>
          <cell r="C2891" t="str">
            <v>ซาตินเดรส แขนยาว สีครีมขอบดำ L</v>
          </cell>
        </row>
        <row r="2892">
          <cell r="A2892" t="str">
            <v>SK0044-M</v>
          </cell>
          <cell r="B2892" t="str">
            <v>K44</v>
          </cell>
          <cell r="C2892" t="str">
            <v>ซาตินเดรส แขนยาว สีครีมขอบดำ M</v>
          </cell>
        </row>
        <row r="2893">
          <cell r="A2893" t="str">
            <v>SK0045-L</v>
          </cell>
          <cell r="B2893" t="str">
            <v>K45</v>
          </cell>
          <cell r="C2893" t="str">
            <v>ซาติน เดรสแขนสี่ส่วน พื้นขาว ขอบดำ L</v>
          </cell>
        </row>
        <row r="2894">
          <cell r="A2894" t="str">
            <v>SK0045-M</v>
          </cell>
          <cell r="B2894" t="str">
            <v>K45</v>
          </cell>
          <cell r="C2894" t="str">
            <v>ซาติน เดรสแขนสี่ส่วน พื้นขาว ขอบดำ M</v>
          </cell>
        </row>
        <row r="2895">
          <cell r="A2895" t="str">
            <v>SK0046-L</v>
          </cell>
          <cell r="B2895" t="str">
            <v>K46</v>
          </cell>
          <cell r="C2895" t="str">
            <v>ซาติน เดรสแขนสี่ส่วน พื้นดำ ขอบขาว L</v>
          </cell>
        </row>
        <row r="2896">
          <cell r="A2896" t="str">
            <v>SK0046-M</v>
          </cell>
          <cell r="B2896" t="str">
            <v>K46</v>
          </cell>
          <cell r="C2896" t="str">
            <v>ซาติน เดรสแขนสี่ส่วน พื้นดำ ขอบขาว M</v>
          </cell>
        </row>
        <row r="2897">
          <cell r="A2897" t="str">
            <v>SK0047-L</v>
          </cell>
          <cell r="B2897" t="str">
            <v>K47</v>
          </cell>
          <cell r="C2897" t="str">
            <v>ซาติน เดรส กระเป๋าผีเสื้อ พื้นขาว L</v>
          </cell>
        </row>
        <row r="2898">
          <cell r="A2898" t="str">
            <v>SK0047-M</v>
          </cell>
          <cell r="B2898" t="str">
            <v>K47</v>
          </cell>
          <cell r="C2898" t="str">
            <v>ซาติน เดรส กระเป๋าผีเสื้อ พื้นขาว M</v>
          </cell>
        </row>
        <row r="2899">
          <cell r="A2899" t="str">
            <v>SK0048-L</v>
          </cell>
          <cell r="B2899" t="str">
            <v>K48</v>
          </cell>
          <cell r="C2899" t="str">
            <v>ซาติน เดรส กระเป๋าผีเสื้อ พื้นชมพู L</v>
          </cell>
        </row>
        <row r="2900">
          <cell r="A2900" t="str">
            <v>SK0048-M</v>
          </cell>
          <cell r="B2900" t="str">
            <v>K48</v>
          </cell>
          <cell r="C2900" t="str">
            <v>ซาติน เดรส กระเป๋าผีเสื้อ พื้นชมพู M</v>
          </cell>
        </row>
        <row r="2901">
          <cell r="A2901" t="str">
            <v>SK0049-L</v>
          </cell>
          <cell r="B2901" t="str">
            <v>K49</v>
          </cell>
          <cell r="C2901" t="str">
            <v>ซาติน เดรสแขนยาว BURB พื้นขาว L</v>
          </cell>
        </row>
        <row r="2902">
          <cell r="A2902" t="str">
            <v>SK0049-M</v>
          </cell>
          <cell r="B2902" t="str">
            <v>K49</v>
          </cell>
          <cell r="C2902" t="str">
            <v>ซาติน เดรสแขนยาว BURB พื้นขาว M</v>
          </cell>
        </row>
        <row r="2903">
          <cell r="A2903" t="str">
            <v>SK0050-L</v>
          </cell>
          <cell r="B2903" t="str">
            <v>K50</v>
          </cell>
          <cell r="C2903" t="str">
            <v>ซาติน เดรสแขนยาว ช้างดัมโบ้ พื้นขาว L</v>
          </cell>
        </row>
        <row r="2904">
          <cell r="A2904" t="str">
            <v>SK0050-M</v>
          </cell>
          <cell r="B2904" t="str">
            <v>K50</v>
          </cell>
          <cell r="C2904" t="str">
            <v>ซาติน เดรสแขนยาว ช้างดัมโบ้ พื้นขาว M</v>
          </cell>
        </row>
        <row r="2905">
          <cell r="A2905" t="str">
            <v>SK0051-L</v>
          </cell>
          <cell r="B2905" t="str">
            <v>K51</v>
          </cell>
          <cell r="C2905" t="str">
            <v>ซาติน เดรสแขนยาว ช้างดัมโบ้ พื้นชมพู L</v>
          </cell>
        </row>
        <row r="2906">
          <cell r="A2906" t="str">
            <v>SK0051-M</v>
          </cell>
          <cell r="B2906" t="str">
            <v>K51</v>
          </cell>
          <cell r="C2906" t="str">
            <v>ซาติน เดรสแขนยาว ช้างดัมโบ้ พื้นชมพู M</v>
          </cell>
        </row>
        <row r="2907">
          <cell r="A2907" t="str">
            <v>SK0052-L</v>
          </cell>
          <cell r="B2907" t="str">
            <v>K52</v>
          </cell>
          <cell r="C2907" t="str">
            <v>ซาติน เดรสแขนยาว ปกผีเสื้อ พื้นดำ L</v>
          </cell>
        </row>
        <row r="2908">
          <cell r="A2908" t="str">
            <v>SK0053-L</v>
          </cell>
          <cell r="B2908" t="str">
            <v>K53</v>
          </cell>
          <cell r="C2908" t="str">
            <v>ซาติน เดรสแขนยาว ปกผีเสื้อ พื้นขาว L</v>
          </cell>
        </row>
        <row r="2909">
          <cell r="A2909" t="str">
            <v>SK0053-M</v>
          </cell>
          <cell r="B2909" t="str">
            <v>K53</v>
          </cell>
          <cell r="C2909" t="str">
            <v>ซาติน เดรสแขนยาว ปกผีเสื้อ พื้นขาว M</v>
          </cell>
        </row>
        <row r="2910">
          <cell r="A2910" t="str">
            <v>SK0054-L</v>
          </cell>
          <cell r="B2910" t="str">
            <v>K54</v>
          </cell>
          <cell r="C2910" t="str">
            <v>ซาติน เดรสแขนยาว ลูกแพร พื้นขาว L</v>
          </cell>
        </row>
        <row r="2911">
          <cell r="A2911" t="str">
            <v>SK0054-M</v>
          </cell>
          <cell r="B2911" t="str">
            <v>K54</v>
          </cell>
          <cell r="C2911" t="str">
            <v>ซาติน เดรสแขนยาว ลูกแพร พื้นขาว M</v>
          </cell>
        </row>
        <row r="2912">
          <cell r="A2912" t="str">
            <v>SK0055-L</v>
          </cell>
          <cell r="B2912" t="str">
            <v>K55</v>
          </cell>
          <cell r="C2912" t="str">
            <v>ซาติน เดรสแขนยาว Happy Planet L</v>
          </cell>
        </row>
        <row r="2913">
          <cell r="A2913" t="str">
            <v>SK0055-M</v>
          </cell>
          <cell r="B2913" t="str">
            <v>K55</v>
          </cell>
          <cell r="C2913" t="str">
            <v>ซาติน เดรสแขนยาว Happy Planet M</v>
          </cell>
        </row>
        <row r="2914">
          <cell r="A2914" t="str">
            <v>SK0056-L</v>
          </cell>
          <cell r="B2914" t="str">
            <v>K56</v>
          </cell>
          <cell r="C2914" t="str">
            <v>ซาติน เดรสแขนห้าส่วน ลายทาง สีเขียว L</v>
          </cell>
        </row>
        <row r="2915">
          <cell r="A2915" t="str">
            <v>SK0056-M</v>
          </cell>
          <cell r="B2915" t="str">
            <v>K56</v>
          </cell>
          <cell r="C2915" t="str">
            <v>ซาติน เดรสแขนห้าส่วน ลายทาง สีเขียว M</v>
          </cell>
        </row>
        <row r="2916">
          <cell r="A2916" t="str">
            <v>SK0057-L</v>
          </cell>
          <cell r="B2916" t="str">
            <v>K57</v>
          </cell>
          <cell r="C2916" t="str">
            <v>ซาติน เดรสแขนห้าส่วน ลายทาง สีชมพู L</v>
          </cell>
        </row>
        <row r="2917">
          <cell r="A2917" t="str">
            <v>SK0057-M</v>
          </cell>
          <cell r="B2917" t="str">
            <v>K57</v>
          </cell>
          <cell r="C2917" t="str">
            <v>ซาติน เดรสแขนห้าส่วน ลายทาง สีชมพู M</v>
          </cell>
        </row>
        <row r="2918">
          <cell r="A2918" t="str">
            <v>SK0058-L</v>
          </cell>
          <cell r="B2918" t="str">
            <v>K58</v>
          </cell>
          <cell r="C2918" t="str">
            <v>ซาติน เดรสแขนยาว BURB พื้นขมพู L</v>
          </cell>
        </row>
        <row r="2919">
          <cell r="A2919" t="str">
            <v>SK0058-M</v>
          </cell>
          <cell r="B2919" t="str">
            <v>K58</v>
          </cell>
          <cell r="C2919" t="str">
            <v>ซาติน เดรสแขนยาว BURB พื้นขมพู M</v>
          </cell>
        </row>
        <row r="2920">
          <cell r="A2920" t="str">
            <v>SK0059-M</v>
          </cell>
          <cell r="B2920" t="str">
            <v>K59</v>
          </cell>
          <cell r="C2920" t="str">
            <v>ซาติน เดรสแขนยาว Four Bear พื้นขาว M</v>
          </cell>
        </row>
        <row r="2921">
          <cell r="A2921" t="str">
            <v>SK0061-L</v>
          </cell>
          <cell r="B2921" t="str">
            <v>K61</v>
          </cell>
          <cell r="C2921" t="str">
            <v>ซาติน เดรสแขนยาว Sunshine ปกดำ พื้นขมพู L</v>
          </cell>
        </row>
        <row r="2922">
          <cell r="A2922" t="str">
            <v>SK0061-M</v>
          </cell>
          <cell r="B2922" t="str">
            <v>K61</v>
          </cell>
          <cell r="C2922" t="str">
            <v>ซาติน เดรสแขนยาว Sunshine ปกดำ พื้นขมพู M</v>
          </cell>
        </row>
        <row r="2923">
          <cell r="A2923" t="str">
            <v>SK0062-L</v>
          </cell>
          <cell r="B2923" t="str">
            <v>K62</v>
          </cell>
          <cell r="C2923" t="str">
            <v>ซาติน เดรสแขนยาว Sunshine ปกดำ พื้นขาว L</v>
          </cell>
        </row>
        <row r="2924">
          <cell r="A2924" t="str">
            <v>SK0062-M</v>
          </cell>
          <cell r="B2924" t="str">
            <v>K62</v>
          </cell>
          <cell r="C2924" t="str">
            <v>ซาติน เดรสแขนยาว Sunshine ปกดำ พื้นขาว M</v>
          </cell>
        </row>
        <row r="2925">
          <cell r="A2925" t="str">
            <v>SK0063-L</v>
          </cell>
          <cell r="B2925" t="str">
            <v>K63</v>
          </cell>
          <cell r="C2925" t="str">
            <v>ซาติน เดรสแขนยาว WAFFFLE พื้นฟ้า L</v>
          </cell>
        </row>
        <row r="2926">
          <cell r="A2926" t="str">
            <v>SK0063-M</v>
          </cell>
          <cell r="B2926" t="str">
            <v>K63</v>
          </cell>
          <cell r="C2926" t="str">
            <v>ซาติน เดรสแขนยาว WAFFFLE พื้นฟ้า M</v>
          </cell>
        </row>
        <row r="2927">
          <cell r="A2927" t="str">
            <v>SK0064-L</v>
          </cell>
          <cell r="B2927" t="str">
            <v>K64</v>
          </cell>
          <cell r="C2927" t="str">
            <v>ซาติน เดรสแขนยาว WAFFFLE พื้นชมพู L</v>
          </cell>
        </row>
        <row r="2928">
          <cell r="A2928" t="str">
            <v>SK0064-M</v>
          </cell>
          <cell r="B2928" t="str">
            <v>K64</v>
          </cell>
          <cell r="C2928" t="str">
            <v>ซาติน เดรสแขนยาว WAFFFLE พื้นชมพู M</v>
          </cell>
        </row>
        <row r="2929">
          <cell r="A2929" t="str">
            <v>SK0065-L</v>
          </cell>
          <cell r="B2929" t="str">
            <v>K65</v>
          </cell>
          <cell r="C2929" t="str">
            <v>ซาติน เดรสแขนยาว Stawberry พื้นฟ้า L</v>
          </cell>
        </row>
        <row r="2930">
          <cell r="A2930" t="str">
            <v>SK0065-M</v>
          </cell>
          <cell r="B2930" t="str">
            <v>K65</v>
          </cell>
          <cell r="C2930" t="str">
            <v>ซาติน เดรสแขนยาว Stawberry พื้นฟ้า M</v>
          </cell>
        </row>
        <row r="2931">
          <cell r="A2931" t="str">
            <v>SK0066-L</v>
          </cell>
          <cell r="B2931" t="str">
            <v>K66</v>
          </cell>
          <cell r="C2931" t="str">
            <v>ซาติน เดรสแขนยาว Stawberry พื้นขาว L</v>
          </cell>
        </row>
        <row r="2932">
          <cell r="A2932" t="str">
            <v>SK0066-M</v>
          </cell>
          <cell r="B2932" t="str">
            <v>K66</v>
          </cell>
          <cell r="C2932" t="str">
            <v>ซาติน เดรสแขนยาว Stawberry พื้นขาว M</v>
          </cell>
        </row>
        <row r="2933">
          <cell r="A2933" t="str">
            <v>SK0067-L</v>
          </cell>
          <cell r="B2933" t="str">
            <v>K67</v>
          </cell>
          <cell r="C2933" t="str">
            <v>ซาติน เดรสแขนยาว Stawberry พื้นชมพู L</v>
          </cell>
        </row>
        <row r="2934">
          <cell r="A2934" t="str">
            <v>SK0067-M</v>
          </cell>
          <cell r="B2934" t="str">
            <v>K67</v>
          </cell>
          <cell r="C2934" t="str">
            <v>ซาติน เดรสแขนยาว Stawberry พื้นชมพู M</v>
          </cell>
        </row>
        <row r="2935">
          <cell r="A2935" t="str">
            <v>SK0068-L</v>
          </cell>
          <cell r="B2935" t="str">
            <v>K68</v>
          </cell>
          <cell r="C2935" t="str">
            <v>ซาติน เดรสแขนยาว ส้ม พื้นชมพู L</v>
          </cell>
        </row>
        <row r="2936">
          <cell r="A2936" t="str">
            <v>SK0069-L</v>
          </cell>
          <cell r="B2936" t="str">
            <v>K69</v>
          </cell>
          <cell r="C2936" t="str">
            <v>ซาติน เดรสแขนยาว WAFFFLE พื้นเทา L</v>
          </cell>
        </row>
        <row r="2937">
          <cell r="A2937" t="str">
            <v>SK0069-M</v>
          </cell>
          <cell r="B2937" t="str">
            <v>K69</v>
          </cell>
          <cell r="C2937" t="str">
            <v>ซาติน เดรสแขนยาว WAFFFLE พื้นเทา M</v>
          </cell>
        </row>
        <row r="2938">
          <cell r="A2938" t="str">
            <v>SK0070-L</v>
          </cell>
          <cell r="B2938" t="str">
            <v>K70</v>
          </cell>
          <cell r="C2938" t="str">
            <v>ซาติน เดรสแขนยาว WAFFFLE พื้นขาว L</v>
          </cell>
        </row>
        <row r="2939">
          <cell r="A2939" t="str">
            <v>SK0070-M</v>
          </cell>
          <cell r="B2939" t="str">
            <v>K70</v>
          </cell>
          <cell r="C2939" t="str">
            <v>ซาติน เดรสแขนยาว WAFFFLE พื้นขาว M</v>
          </cell>
        </row>
        <row r="2940">
          <cell r="A2940" t="str">
            <v>SK0071-L</v>
          </cell>
          <cell r="B2940" t="str">
            <v>K71</v>
          </cell>
          <cell r="C2940" t="str">
            <v>ซาติน เดรสแขนยาว ส้ม พื้นม่วง L</v>
          </cell>
        </row>
        <row r="2941">
          <cell r="A2941" t="str">
            <v>SK0071-M</v>
          </cell>
          <cell r="B2941" t="str">
            <v>K71</v>
          </cell>
          <cell r="C2941" t="str">
            <v>ซาติน เดรสแขนยาว ส้ม พื้นม่วง M</v>
          </cell>
        </row>
        <row r="2942">
          <cell r="A2942" t="str">
            <v>SK0072-L</v>
          </cell>
          <cell r="B2942" t="str">
            <v>K72</v>
          </cell>
          <cell r="C2942" t="str">
            <v>ซาติน เดรสแขนยาว Fat cat พื้นเขียว L</v>
          </cell>
        </row>
        <row r="2943">
          <cell r="A2943" t="str">
            <v>SK0072-M</v>
          </cell>
          <cell r="B2943" t="str">
            <v>K72</v>
          </cell>
          <cell r="C2943" t="str">
            <v>ซาติน เดรสแขนยาว Fat cat พื้นเขียว M</v>
          </cell>
        </row>
        <row r="2944">
          <cell r="A2944" t="str">
            <v>SK0073-L</v>
          </cell>
          <cell r="B2944" t="str">
            <v>K73</v>
          </cell>
          <cell r="C2944" t="str">
            <v>ซาติน เดรสแขนยาว Fat cat พื้นม่วง L</v>
          </cell>
        </row>
        <row r="2945">
          <cell r="A2945" t="str">
            <v>SK0073-M</v>
          </cell>
          <cell r="B2945" t="str">
            <v>K73</v>
          </cell>
          <cell r="C2945" t="str">
            <v>ซาติน เดรสแขนยาว Fat cat พื้นม่วง M</v>
          </cell>
        </row>
        <row r="2946">
          <cell r="A2946" t="str">
            <v>SK0074-L</v>
          </cell>
          <cell r="B2946" t="str">
            <v>K74</v>
          </cell>
          <cell r="C2946" t="str">
            <v>ซาติน เดรสแขนยาว Fat cat พื้นชมพู L</v>
          </cell>
        </row>
        <row r="2947">
          <cell r="A2947" t="str">
            <v>SK0074-M</v>
          </cell>
          <cell r="B2947" t="str">
            <v>K74</v>
          </cell>
          <cell r="C2947" t="str">
            <v>ซาติน เดรสแขนยาว Fat cat พื้นชมพู M</v>
          </cell>
        </row>
        <row r="2948">
          <cell r="A2948" t="str">
            <v>SK0075-L</v>
          </cell>
          <cell r="B2948" t="str">
            <v>K75</v>
          </cell>
          <cell r="C2948" t="str">
            <v>ซาติน เดรสแขนยาว Fat cat พื้นขาว L</v>
          </cell>
        </row>
        <row r="2949">
          <cell r="A2949" t="str">
            <v>SK0075-M</v>
          </cell>
          <cell r="B2949" t="str">
            <v>K75</v>
          </cell>
          <cell r="C2949" t="str">
            <v>ซาติน เดรสแขนยาว Fat cat พื้นขาว M</v>
          </cell>
        </row>
        <row r="2950">
          <cell r="A2950" t="str">
            <v>SK0076-L</v>
          </cell>
          <cell r="B2950" t="str">
            <v>K76</v>
          </cell>
          <cell r="C2950" t="str">
            <v>ซาติน เดรสแขนยาว Bear I miss you พื้นขาว L</v>
          </cell>
        </row>
        <row r="2951">
          <cell r="A2951" t="str">
            <v>SK0076-M</v>
          </cell>
          <cell r="B2951" t="str">
            <v>K76</v>
          </cell>
          <cell r="C2951" t="str">
            <v>ซาติน เดรสแขนยาว Bear I miss you พื้นขาว M</v>
          </cell>
        </row>
        <row r="2952">
          <cell r="A2952" t="str">
            <v>SK0077-L</v>
          </cell>
          <cell r="B2952" t="str">
            <v>K77</v>
          </cell>
          <cell r="C2952" t="str">
            <v>ซาติน เดรสแขนยาว Bear I miss you พื้นชมพู L</v>
          </cell>
        </row>
        <row r="2953">
          <cell r="A2953" t="str">
            <v>SK0077-M</v>
          </cell>
          <cell r="B2953" t="str">
            <v>K77</v>
          </cell>
          <cell r="C2953" t="str">
            <v>ซาติน เดรสแขนยาว Bear I miss you พื้นชมพู M</v>
          </cell>
        </row>
        <row r="2954">
          <cell r="A2954" t="str">
            <v>SK0078-L</v>
          </cell>
          <cell r="B2954" t="str">
            <v>K78</v>
          </cell>
          <cell r="C2954" t="str">
            <v>ซาติน เดรสแขนยาว Bear I miss you พื้นฟ้า L</v>
          </cell>
        </row>
        <row r="2955">
          <cell r="A2955" t="str">
            <v>SK0078-M</v>
          </cell>
          <cell r="B2955" t="str">
            <v>K78</v>
          </cell>
          <cell r="C2955" t="str">
            <v>ซาติน เดรสแขนยาว Bear I miss you พื้นฟ้า M</v>
          </cell>
        </row>
        <row r="2956">
          <cell r="A2956" t="str">
            <v>SK0079-L</v>
          </cell>
          <cell r="B2956" t="str">
            <v>K79</v>
          </cell>
          <cell r="C2956" t="str">
            <v>ซาติน เดรสแขนสั้น Chesscake พื้นขาว L</v>
          </cell>
        </row>
        <row r="2957">
          <cell r="A2957" t="str">
            <v>SK0079-M</v>
          </cell>
          <cell r="B2957" t="str">
            <v>K79</v>
          </cell>
          <cell r="C2957" t="str">
            <v>ซาติน เดรสแขนสั้น Chesscake พื้นขาว M</v>
          </cell>
        </row>
        <row r="2958">
          <cell r="A2958" t="str">
            <v>SK0080-L</v>
          </cell>
          <cell r="B2958" t="str">
            <v>K80</v>
          </cell>
          <cell r="C2958" t="str">
            <v>ซาติน เดรสแขนสั้น Chesscake พื้นฟ้า L</v>
          </cell>
        </row>
        <row r="2959">
          <cell r="A2959" t="str">
            <v>SK0080-M</v>
          </cell>
          <cell r="B2959" t="str">
            <v>K80</v>
          </cell>
          <cell r="C2959" t="str">
            <v>ซาติน เดรสแขนสั้น Chesscake พื้นฟ้า M</v>
          </cell>
        </row>
        <row r="2960">
          <cell r="A2960" t="str">
            <v>SK0081-L</v>
          </cell>
          <cell r="B2960" t="str">
            <v>K81</v>
          </cell>
          <cell r="C2960" t="str">
            <v>ซาติน เดรสแขนสั้น Chesscake พื้นชมพู L</v>
          </cell>
        </row>
        <row r="2961">
          <cell r="A2961" t="str">
            <v>SK0081-M</v>
          </cell>
          <cell r="B2961" t="str">
            <v>K81</v>
          </cell>
          <cell r="C2961" t="str">
            <v>ซาติน เดรสแขนสั้น Chesscake พื้นชมพู M</v>
          </cell>
        </row>
        <row r="2962">
          <cell r="A2962" t="str">
            <v>SK0082-L</v>
          </cell>
          <cell r="B2962" t="str">
            <v>K82</v>
          </cell>
          <cell r="C2962" t="str">
            <v>ซาติน เดรสแขนยาว We Bear พื้นเหลือง L</v>
          </cell>
        </row>
        <row r="2963">
          <cell r="A2963" t="str">
            <v>SK0082-M</v>
          </cell>
          <cell r="B2963" t="str">
            <v>K82</v>
          </cell>
          <cell r="C2963" t="str">
            <v>ซาติน เดรสแขนยาว We Bear พื้นเหลือง M</v>
          </cell>
        </row>
        <row r="2964">
          <cell r="A2964" t="str">
            <v>SK0083-L</v>
          </cell>
          <cell r="B2964" t="str">
            <v>K83</v>
          </cell>
          <cell r="C2964" t="str">
            <v>ซาติน เดรสแขนยาว We Bear พื้นเขียว L</v>
          </cell>
        </row>
        <row r="2965">
          <cell r="A2965" t="str">
            <v>SK0083-M</v>
          </cell>
          <cell r="B2965" t="str">
            <v>K83</v>
          </cell>
          <cell r="C2965" t="str">
            <v>ซาติน เดรสแขนยาว We Bear พื้นเขียว M</v>
          </cell>
        </row>
        <row r="2966">
          <cell r="A2966" t="str">
            <v>SK0084-L</v>
          </cell>
          <cell r="B2966" t="str">
            <v>K84</v>
          </cell>
          <cell r="C2966" t="str">
            <v>ซาติน เดรสแขนสั้น ผีเสื้อดอกไม้ เขียว L</v>
          </cell>
        </row>
        <row r="2967">
          <cell r="A2967" t="str">
            <v>SK0084-M</v>
          </cell>
          <cell r="B2967" t="str">
            <v>K84</v>
          </cell>
          <cell r="C2967" t="str">
            <v>ซาติน เดรสแขนสั้น ผีเสื้อดอกไม้ เขียว M</v>
          </cell>
        </row>
        <row r="2968">
          <cell r="A2968" t="str">
            <v>SK0084-XL</v>
          </cell>
          <cell r="B2968" t="str">
            <v>K84</v>
          </cell>
          <cell r="C2968" t="str">
            <v>ซาติน เดรสแขนสั้น ผีเสื้อดอกไม้ เขียว XL</v>
          </cell>
        </row>
        <row r="2969">
          <cell r="A2969" t="str">
            <v>SK0085-L</v>
          </cell>
          <cell r="B2969" t="str">
            <v>K85</v>
          </cell>
          <cell r="C2969" t="str">
            <v>ซาติน เดรส แขนสั้น กุหลาบ ขอบชมพู พื้นขาว L</v>
          </cell>
        </row>
        <row r="2970">
          <cell r="A2970" t="str">
            <v>SK0085-M</v>
          </cell>
          <cell r="B2970" t="str">
            <v>K85</v>
          </cell>
          <cell r="C2970" t="str">
            <v>ซาติน เดรส แขนสั้น กุหลาบ ขอบชมพู พื้นขาว M</v>
          </cell>
        </row>
        <row r="2971">
          <cell r="A2971" t="str">
            <v>SK0085-XL</v>
          </cell>
          <cell r="B2971" t="str">
            <v>K85</v>
          </cell>
          <cell r="C2971" t="str">
            <v>ซาติน เดรส แขนสั้น กุหลาบ ขอบชมพู พื้นขาว XL</v>
          </cell>
        </row>
        <row r="2972">
          <cell r="A2972" t="str">
            <v>SK0086-L</v>
          </cell>
          <cell r="B2972" t="str">
            <v>JK86</v>
          </cell>
          <cell r="C2972" t="str">
            <v>ซาติน เดรสแขนยาว fashion and girl ส้ม L ตัวโชว์</v>
          </cell>
        </row>
        <row r="2973">
          <cell r="A2973" t="str">
            <v>SK0086-M</v>
          </cell>
          <cell r="B2973" t="str">
            <v>JK86</v>
          </cell>
          <cell r="C2973" t="str">
            <v>ซาติน เดรสแขนยาว fashion and girl ส้ม M ตัวโชว์</v>
          </cell>
        </row>
        <row r="2974">
          <cell r="A2974" t="str">
            <v>SK0087-L</v>
          </cell>
          <cell r="B2974" t="str">
            <v>K87</v>
          </cell>
          <cell r="C2974" t="str">
            <v>ซาติน เดรสแขนยาว fashion and girl เขียว L</v>
          </cell>
        </row>
        <row r="2975">
          <cell r="A2975" t="str">
            <v>SK0087-M</v>
          </cell>
          <cell r="B2975" t="str">
            <v>K87</v>
          </cell>
          <cell r="C2975" t="str">
            <v>ซาติน เดรสแขนยาว fashion and girl เขียว M</v>
          </cell>
        </row>
        <row r="2976">
          <cell r="A2976" t="str">
            <v>SK0088-L</v>
          </cell>
          <cell r="B2976" t="str">
            <v>K88</v>
          </cell>
          <cell r="C2976" t="str">
            <v>ซาติน เดรสแขนยาว love and balloon ม่วง L</v>
          </cell>
        </row>
        <row r="2977">
          <cell r="A2977" t="str">
            <v>SK0088-M</v>
          </cell>
          <cell r="B2977" t="str">
            <v>K88</v>
          </cell>
          <cell r="C2977" t="str">
            <v>ซาติน เดรสแขนยาว love and balloon ม่วง M</v>
          </cell>
        </row>
        <row r="2978">
          <cell r="A2978" t="str">
            <v>SK0089-L</v>
          </cell>
          <cell r="B2978" t="str">
            <v>JK89</v>
          </cell>
          <cell r="C2978" t="str">
            <v>ซาติน เดรสแขนยาว love and balloon ชมพู L ตัวโชว์</v>
          </cell>
        </row>
        <row r="2979">
          <cell r="A2979" t="str">
            <v>SK0089-M</v>
          </cell>
          <cell r="B2979" t="str">
            <v>JK89</v>
          </cell>
          <cell r="C2979" t="str">
            <v>ซาติน เดรสแขนยาว love and balloon ชมพู M ตัวโชว์</v>
          </cell>
        </row>
        <row r="2980">
          <cell r="A2980" t="str">
            <v>SK0246-L</v>
          </cell>
          <cell r="B2980" t="str">
            <v>K246</v>
          </cell>
          <cell r="C2980" t="str">
            <v>ซาติน เดรสแขนยาว เสือ ชมพู L</v>
          </cell>
        </row>
        <row r="2981">
          <cell r="A2981" t="str">
            <v>SK0246-M</v>
          </cell>
          <cell r="B2981" t="str">
            <v>K246</v>
          </cell>
          <cell r="C2981" t="str">
            <v>ซาติน เดรสแขนยาว เสือ ชมพู M</v>
          </cell>
        </row>
        <row r="2982">
          <cell r="A2982" t="str">
            <v>SK0298-L</v>
          </cell>
          <cell r="B2982" t="str">
            <v>K298</v>
          </cell>
          <cell r="C2982" t="str">
            <v>ซาติน เดรส teddy bear พื้นน้ำตาล L</v>
          </cell>
        </row>
        <row r="2983">
          <cell r="A2983" t="str">
            <v>SK0298-M</v>
          </cell>
          <cell r="B2983" t="str">
            <v>K298</v>
          </cell>
          <cell r="C2983" t="str">
            <v>ซาติน เดรส teddy bear พื้นน้ำตาล M</v>
          </cell>
        </row>
        <row r="2984">
          <cell r="A2984" t="str">
            <v>SK0299-L</v>
          </cell>
          <cell r="B2984" t="str">
            <v>K299</v>
          </cell>
          <cell r="C2984" t="str">
            <v>ซาติน เดรสแขนยาว Night Day ขอบขาว พื้นดำ L</v>
          </cell>
        </row>
        <row r="2985">
          <cell r="A2985" t="str">
            <v>SK0299-M</v>
          </cell>
          <cell r="B2985" t="str">
            <v>K299</v>
          </cell>
          <cell r="C2985" t="str">
            <v>ซาติน เดรสแขนยาว Night Day ขอบขาว พื้นดำ M</v>
          </cell>
        </row>
        <row r="2986">
          <cell r="A2986" t="str">
            <v>SK0300-L</v>
          </cell>
          <cell r="B2986" t="str">
            <v>K300</v>
          </cell>
          <cell r="C2986" t="str">
            <v>ซาติน เดรสแขนยาว Night Day ขอบขาว พื้นขาว L</v>
          </cell>
        </row>
        <row r="2987">
          <cell r="A2987" t="str">
            <v>SK0300-M</v>
          </cell>
          <cell r="B2987" t="str">
            <v>K300</v>
          </cell>
          <cell r="C2987" t="str">
            <v>ซาติน เดรสแขนยาว Night Day ขอบขาว พื้นขาว M</v>
          </cell>
        </row>
        <row r="2988">
          <cell r="A2988" t="str">
            <v>SK0301-L</v>
          </cell>
          <cell r="B2988" t="str">
            <v>K301</v>
          </cell>
          <cell r="C2988" t="str">
            <v>ซาติน เดรสแขนยาว Bear Team พื้นฟ้า L</v>
          </cell>
        </row>
        <row r="2989">
          <cell r="A2989" t="str">
            <v>SK0301-M</v>
          </cell>
          <cell r="B2989" t="str">
            <v>K301</v>
          </cell>
          <cell r="C2989" t="str">
            <v>ซาติน เดรสแขนยาว Bear Team พื้นฟ้า M</v>
          </cell>
        </row>
        <row r="2990">
          <cell r="A2990" t="str">
            <v>SK0302-L</v>
          </cell>
          <cell r="B2990" t="str">
            <v>K302</v>
          </cell>
          <cell r="C2990" t="str">
            <v>ซาติน เดรสแขนยาว แมว FEN BOR พื้นฟ้า L</v>
          </cell>
        </row>
        <row r="2991">
          <cell r="A2991" t="str">
            <v>SK0302-M</v>
          </cell>
          <cell r="B2991" t="str">
            <v>K302</v>
          </cell>
          <cell r="C2991" t="str">
            <v>ซาติน เดรสแขนยาว แมว FEN BOR พื้นฟ้า M</v>
          </cell>
        </row>
        <row r="2992">
          <cell r="A2992" t="str">
            <v>SK0303-L</v>
          </cell>
          <cell r="B2992" t="str">
            <v>K303</v>
          </cell>
          <cell r="C2992" t="str">
            <v>ซาติน เดรสแขนยาว rabbit smile พื้นฟ้า L</v>
          </cell>
        </row>
        <row r="2993">
          <cell r="A2993" t="str">
            <v>SK0303-M</v>
          </cell>
          <cell r="B2993" t="str">
            <v>K303</v>
          </cell>
          <cell r="C2993" t="str">
            <v>ซาติน เดรสแขนยาว rabbit smile พื้นฟ้า M</v>
          </cell>
        </row>
        <row r="2994">
          <cell r="A2994" t="str">
            <v>SK0304-L</v>
          </cell>
          <cell r="B2994" t="str">
            <v>K304</v>
          </cell>
          <cell r="C2994" t="str">
            <v>ซาติน เดรสแขนยาว rabbit smile พื้นขาว L</v>
          </cell>
        </row>
        <row r="2995">
          <cell r="A2995" t="str">
            <v>SK0304-M</v>
          </cell>
          <cell r="B2995" t="str">
            <v>K304</v>
          </cell>
          <cell r="C2995" t="str">
            <v>ซาติน เดรสแขนยาว rabbit smile พื้นขาว M</v>
          </cell>
        </row>
        <row r="2996">
          <cell r="A2996" t="str">
            <v>SK0305-L</v>
          </cell>
          <cell r="B2996" t="str">
            <v>K305</v>
          </cell>
          <cell r="C2996" t="str">
            <v>ซาติน เดรสแขนยาว snowwhite พื้นชมพู L</v>
          </cell>
        </row>
        <row r="2997">
          <cell r="A2997" t="str">
            <v>SK0305-M</v>
          </cell>
          <cell r="B2997" t="str">
            <v>K305</v>
          </cell>
          <cell r="C2997" t="str">
            <v>ซาติน เดรสแขนยาว snowwhite พื้นชมพู M</v>
          </cell>
        </row>
        <row r="2998">
          <cell r="A2998" t="str">
            <v>SK0306-L</v>
          </cell>
          <cell r="B2998" t="str">
            <v>K306</v>
          </cell>
          <cell r="C2998" t="str">
            <v>ซาติน เดรสแขนยาว snowwhite พื้นขาว L</v>
          </cell>
        </row>
        <row r="2999">
          <cell r="A2999" t="str">
            <v>SK0307-L</v>
          </cell>
          <cell r="B2999" t="str">
            <v>K307</v>
          </cell>
          <cell r="C2999" t="str">
            <v>ซาติน เดรส แขนสั้น พื้นเขียว กระเป๋าแมว ปกขาว L</v>
          </cell>
        </row>
        <row r="3000">
          <cell r="A3000" t="str">
            <v>SK0307-M</v>
          </cell>
          <cell r="B3000" t="str">
            <v>K307</v>
          </cell>
          <cell r="C3000" t="str">
            <v>ซาติน เดรส แขนสั้น พื้นเขียว กระเป๋าแมว ปกขาว M</v>
          </cell>
        </row>
        <row r="3001">
          <cell r="A3001" t="str">
            <v>SK0308-L</v>
          </cell>
          <cell r="B3001" t="str">
            <v>K308</v>
          </cell>
          <cell r="C3001" t="str">
            <v>ซาติน เดรส แขนสั้น พื้นฟ้า กระเป๋าแมว ปกขาว L</v>
          </cell>
        </row>
        <row r="3002">
          <cell r="A3002" t="str">
            <v>SK0308-M</v>
          </cell>
          <cell r="B3002" t="str">
            <v>K308</v>
          </cell>
          <cell r="C3002" t="str">
            <v>ซาติน เดรส แขนสั้น พื้นฟ้า กระเป๋าแมว ปกขาว M</v>
          </cell>
        </row>
        <row r="3003">
          <cell r="A3003" t="str">
            <v>SK0309-L</v>
          </cell>
          <cell r="B3003" t="str">
            <v>K309</v>
          </cell>
          <cell r="C3003" t="str">
            <v>ซาติน เดรส แขนสั้น Cute Bear White L</v>
          </cell>
        </row>
        <row r="3004">
          <cell r="A3004" t="str">
            <v>SK0309-M</v>
          </cell>
          <cell r="B3004" t="str">
            <v>K309</v>
          </cell>
          <cell r="C3004" t="str">
            <v>ซาติน เดรส แขนสั้น Cute Bear White M</v>
          </cell>
        </row>
        <row r="3005">
          <cell r="A3005" t="str">
            <v>SK0310-L</v>
          </cell>
          <cell r="B3005" t="str">
            <v>K310</v>
          </cell>
          <cell r="C3005" t="str">
            <v>ซาติน เดรส แขนสั้น Cute Bear Pink L</v>
          </cell>
        </row>
        <row r="3006">
          <cell r="A3006" t="str">
            <v>SK0310-M</v>
          </cell>
          <cell r="B3006" t="str">
            <v>K310</v>
          </cell>
          <cell r="C3006" t="str">
            <v>ซาติน เดรส แขนสั้น Cute Bear Pink M</v>
          </cell>
        </row>
        <row r="3007">
          <cell r="A3007" t="str">
            <v>SK0311-L</v>
          </cell>
          <cell r="B3007" t="str">
            <v>K311</v>
          </cell>
          <cell r="C3007" t="str">
            <v>เดรสซาติน แขนสั้น BLACK PANDA L</v>
          </cell>
        </row>
        <row r="3008">
          <cell r="A3008" t="str">
            <v>SK0311-M</v>
          </cell>
          <cell r="B3008" t="str">
            <v>K311</v>
          </cell>
          <cell r="C3008" t="str">
            <v>เดรสซาติน แขนสั้น BLACK PANDA M</v>
          </cell>
        </row>
        <row r="3009">
          <cell r="A3009" t="str">
            <v>SK0311-XL</v>
          </cell>
          <cell r="B3009" t="str">
            <v>K311</v>
          </cell>
          <cell r="C3009" t="str">
            <v>เดรสซาติน แขนสั้น BLACK PANDA XL</v>
          </cell>
        </row>
        <row r="3010">
          <cell r="A3010" t="str">
            <v>SK0312-L</v>
          </cell>
          <cell r="B3010" t="str">
            <v>K312</v>
          </cell>
          <cell r="C3010" t="str">
            <v>ซาติน เดรส แขนยาว ขาวล้วน L</v>
          </cell>
        </row>
        <row r="3011">
          <cell r="A3011" t="str">
            <v>SK0312-M</v>
          </cell>
          <cell r="B3011" t="str">
            <v>K312</v>
          </cell>
          <cell r="C3011" t="str">
            <v>ซาติน เดรส แขนยาว ขาวล้วน M</v>
          </cell>
        </row>
        <row r="3012">
          <cell r="A3012" t="str">
            <v>SK0313-L</v>
          </cell>
          <cell r="B3012" t="str">
            <v>K313</v>
          </cell>
          <cell r="C3012" t="str">
            <v>ซาติน เดรส แขนสั้น พื้นชมพู ขอบฟ้า กระเป๋าแพร L</v>
          </cell>
        </row>
        <row r="3013">
          <cell r="A3013" t="str">
            <v>SK0313-M</v>
          </cell>
          <cell r="B3013" t="str">
            <v>K313</v>
          </cell>
          <cell r="C3013" t="str">
            <v>ซาติน เดรส แขนสั้น พื้นชมพู ขอบฟ้า กระเป๋าแพร M</v>
          </cell>
        </row>
        <row r="3014">
          <cell r="A3014" t="str">
            <v>SK0314-L</v>
          </cell>
          <cell r="B3014" t="str">
            <v>K314</v>
          </cell>
          <cell r="C3014" t="str">
            <v>ซาติน เดรส แขน 5 ส่วน Good Night ฟ้า L</v>
          </cell>
        </row>
        <row r="3015">
          <cell r="A3015" t="str">
            <v>SK0314-M</v>
          </cell>
          <cell r="B3015" t="str">
            <v>K314</v>
          </cell>
          <cell r="C3015" t="str">
            <v>ซาติน เดรส แขน 5 ส่วน Good Night ฟ้า M</v>
          </cell>
        </row>
        <row r="3016">
          <cell r="A3016" t="str">
            <v>SK0315-L</v>
          </cell>
          <cell r="B3016" t="str">
            <v>K315</v>
          </cell>
          <cell r="C3016" t="str">
            <v>ซาติน เดรส แขนสั้น ฟรุตตี้ L</v>
          </cell>
        </row>
        <row r="3017">
          <cell r="A3017" t="str">
            <v>SK0315-M</v>
          </cell>
          <cell r="B3017" t="str">
            <v>K315</v>
          </cell>
          <cell r="C3017" t="str">
            <v>ซาติน เดรส แขนสั้น ฟรุตตี้ M</v>
          </cell>
        </row>
        <row r="3018">
          <cell r="A3018" t="str">
            <v>SK0315-XL</v>
          </cell>
          <cell r="B3018" t="str">
            <v>K315</v>
          </cell>
          <cell r="C3018" t="str">
            <v>ซาติน เดรส แขนสั้น ฟรุตตี้ XL</v>
          </cell>
        </row>
        <row r="3019">
          <cell r="A3019" t="str">
            <v>SK0316-L</v>
          </cell>
          <cell r="B3019" t="str">
            <v>JK316</v>
          </cell>
          <cell r="C3019" t="str">
            <v>ซาติน เดรส แขนสั้น กางเกง ลาเวนเดอร์ L ตัวโชว์</v>
          </cell>
        </row>
        <row r="3020">
          <cell r="A3020" t="str">
            <v>SK0316-M</v>
          </cell>
          <cell r="B3020" t="str">
            <v>JK316</v>
          </cell>
          <cell r="C3020" t="str">
            <v>ซาติน เดรส แขนสั้น กางเกง ลาเวนเดอร์ M</v>
          </cell>
        </row>
        <row r="3021">
          <cell r="A3021" t="str">
            <v>SK0316-XL</v>
          </cell>
          <cell r="B3021" t="str">
            <v>JK316</v>
          </cell>
          <cell r="C3021" t="str">
            <v>ซาติน เดรส แขนสั้น กางเกง ลาเวนเดอร์ XL ตัวโชว์</v>
          </cell>
        </row>
        <row r="3022">
          <cell r="A3022" t="str">
            <v>SK0317-L</v>
          </cell>
          <cell r="B3022" t="str">
            <v>K317</v>
          </cell>
          <cell r="C3022" t="str">
            <v>ซาติน แขนสั้น ชุดคลุม สีครีม ลูกไม้ L</v>
          </cell>
        </row>
        <row r="3023">
          <cell r="A3023" t="str">
            <v>SK0317-M</v>
          </cell>
          <cell r="B3023" t="str">
            <v>K317</v>
          </cell>
          <cell r="C3023" t="str">
            <v>ซาติน แขนสั้น ชุดคลุม สีครีม ลูกไม้ M</v>
          </cell>
        </row>
        <row r="3024">
          <cell r="A3024" t="str">
            <v>SK0318-L</v>
          </cell>
          <cell r="B3024" t="str">
            <v>K318</v>
          </cell>
          <cell r="C3024" t="str">
            <v>ซาติน แขนสั้น ชุดคลุม สีแดง ลูกไม้ L</v>
          </cell>
        </row>
        <row r="3025">
          <cell r="A3025" t="str">
            <v>SK0318-M</v>
          </cell>
          <cell r="B3025" t="str">
            <v>K318</v>
          </cell>
          <cell r="C3025" t="str">
            <v>ซาติน แขนสั้น ชุดคลุม สีแดง ลูกไม้ M</v>
          </cell>
        </row>
        <row r="3026">
          <cell r="A3026" t="str">
            <v>SK0319-L</v>
          </cell>
          <cell r="B3026" t="str">
            <v>K319</v>
          </cell>
          <cell r="C3026" t="str">
            <v>ซาติน เดรสแขนสั้น Happy Day คอร์กี้ น้ำตาล L</v>
          </cell>
        </row>
        <row r="3027">
          <cell r="A3027" t="str">
            <v>SK0319-M</v>
          </cell>
          <cell r="B3027" t="str">
            <v>K319</v>
          </cell>
          <cell r="C3027" t="str">
            <v>ซาติน เดรสแขนสั้น Happy Day คอร์กี้ น้ำตาล M</v>
          </cell>
        </row>
        <row r="3028">
          <cell r="A3028" t="str">
            <v>SK0320-L</v>
          </cell>
          <cell r="B3028" t="str">
            <v>K320</v>
          </cell>
          <cell r="C3028" t="str">
            <v>ซาติน เดรสแขนสั้น Happy Day คอร์กี้ ขาว L</v>
          </cell>
        </row>
        <row r="3029">
          <cell r="A3029" t="str">
            <v>SK0320-M</v>
          </cell>
          <cell r="B3029" t="str">
            <v>K320</v>
          </cell>
          <cell r="C3029" t="str">
            <v>ซาติน เดรสแขนสั้น Happy Day คอร์กี้ ขาว M</v>
          </cell>
        </row>
        <row r="3030">
          <cell r="A3030" t="str">
            <v>SK0321-L</v>
          </cell>
          <cell r="B3030" t="str">
            <v>K321</v>
          </cell>
          <cell r="C3030" t="str">
            <v>ซาติน เดรสแขนสั้น Vintage Bear พื้นน้ำตาล L</v>
          </cell>
        </row>
        <row r="3031">
          <cell r="A3031" t="str">
            <v>SK0321-M</v>
          </cell>
          <cell r="B3031" t="str">
            <v>K321</v>
          </cell>
          <cell r="C3031" t="str">
            <v>ซาติน เดรสแขนสั้น Vintage Bear พื้นน้ำตาล M</v>
          </cell>
        </row>
        <row r="3032">
          <cell r="A3032" t="str">
            <v>SK0322-L</v>
          </cell>
          <cell r="B3032" t="str">
            <v>K322</v>
          </cell>
          <cell r="C3032" t="str">
            <v>ซาติน เดรสแขนสั้น Vintage Bear พื้นน้ำขาว L</v>
          </cell>
        </row>
        <row r="3033">
          <cell r="A3033" t="str">
            <v>SK0322-M</v>
          </cell>
          <cell r="B3033" t="str">
            <v>K322</v>
          </cell>
          <cell r="C3033" t="str">
            <v>ซาติน เดรสแขนสั้น Vintage Bear พื้นน้ำขาว M</v>
          </cell>
        </row>
        <row r="3034">
          <cell r="A3034" t="str">
            <v>SK0323-L</v>
          </cell>
          <cell r="B3034" t="str">
            <v>K323</v>
          </cell>
          <cell r="C3034" t="str">
            <v>ซาติน เดรส แขนสั้น เสี่ยวเอ้อ พื้นชมพู L</v>
          </cell>
        </row>
        <row r="3035">
          <cell r="A3035" t="str">
            <v>SK0323-M</v>
          </cell>
          <cell r="B3035" t="str">
            <v>K323</v>
          </cell>
          <cell r="C3035" t="str">
            <v>ซาติน เดรส แขนสั้น เสี่ยวเอ้อ พื้นชมพู M</v>
          </cell>
        </row>
        <row r="3036">
          <cell r="A3036" t="str">
            <v>SK0324-L</v>
          </cell>
          <cell r="B3036" t="str">
            <v>K324</v>
          </cell>
          <cell r="C3036" t="str">
            <v>ซาติน เดรส แขนสั้น เสี่ยวเอ้อ พื้นเขียว L</v>
          </cell>
        </row>
        <row r="3037">
          <cell r="A3037" t="str">
            <v>SK0324-M</v>
          </cell>
          <cell r="B3037" t="str">
            <v>K324</v>
          </cell>
          <cell r="C3037" t="str">
            <v>ซาติน เดรส แขนสั้น เสี่ยวเอ้อ พื้นเขียว M</v>
          </cell>
        </row>
        <row r="3038">
          <cell r="A3038" t="str">
            <v>SK0325-2XL</v>
          </cell>
          <cell r="B3038" t="str">
            <v>K325</v>
          </cell>
          <cell r="C3038" t="str">
            <v>ซาติน เดรส แขนสั้น ดอกไม้ นกยูง 2XL</v>
          </cell>
        </row>
        <row r="3039">
          <cell r="A3039" t="str">
            <v>SK0325-3XL</v>
          </cell>
          <cell r="B3039" t="str">
            <v>K325</v>
          </cell>
          <cell r="C3039" t="str">
            <v>ซาติน เดรส แขนสั้น ดอกไม้ นกยูง 3XL</v>
          </cell>
        </row>
        <row r="3040">
          <cell r="A3040" t="str">
            <v>SK0325-L</v>
          </cell>
          <cell r="B3040" t="str">
            <v>K325</v>
          </cell>
          <cell r="C3040" t="str">
            <v>ซาติน เดรส แขนสั้น ดอกไม้ นกยูง L</v>
          </cell>
        </row>
        <row r="3041">
          <cell r="A3041" t="str">
            <v>SK0325-M</v>
          </cell>
          <cell r="B3041" t="str">
            <v>K325</v>
          </cell>
          <cell r="C3041" t="str">
            <v>ซาติน เดรส แขนสั้น ดอกไม้ นกยูง M</v>
          </cell>
        </row>
        <row r="3042">
          <cell r="A3042" t="str">
            <v>SK0325-XL</v>
          </cell>
          <cell r="B3042" t="str">
            <v>K325</v>
          </cell>
          <cell r="C3042" t="str">
            <v>ซาติน เดรส แขนสั้น ดอกไม้ นกยูง XL</v>
          </cell>
        </row>
        <row r="3043">
          <cell r="A3043" t="str">
            <v>SK0326-L</v>
          </cell>
          <cell r="B3043" t="str">
            <v>K326</v>
          </cell>
          <cell r="C3043" t="str">
            <v>ซาติน เดรส แขนสั้น อาหมวย พื้นเขียว หมวกขาว L</v>
          </cell>
        </row>
        <row r="3044">
          <cell r="A3044" t="str">
            <v>SK0326-M</v>
          </cell>
          <cell r="B3044" t="str">
            <v>JK326</v>
          </cell>
          <cell r="C3044" t="str">
            <v>ซาติน เดรส แขนสั้น อาหมวย พื้นเขียว หมวกขาว M ตัวโชว์</v>
          </cell>
        </row>
        <row r="3045">
          <cell r="A3045" t="str">
            <v>SK0327-L</v>
          </cell>
          <cell r="B3045" t="str">
            <v>K327</v>
          </cell>
          <cell r="C3045" t="str">
            <v>ซาติน เดรส แขนสั้น อาหมวย พื้นชมพู หมวกแดง  L</v>
          </cell>
        </row>
        <row r="3046">
          <cell r="A3046" t="str">
            <v>SK0327-M</v>
          </cell>
          <cell r="B3046" t="str">
            <v>K327</v>
          </cell>
          <cell r="C3046" t="str">
            <v>ซาติน เดรส แขนสั้น อาหมวย พื้นชมพู หมวกแดง  M</v>
          </cell>
        </row>
        <row r="3047">
          <cell r="A3047" t="str">
            <v>SK0328-L</v>
          </cell>
          <cell r="B3047" t="str">
            <v>JK328</v>
          </cell>
          <cell r="C3047" t="str">
            <v>ซาติน เดรส แขนสั้น อาหมวย พื้นเขียว หมวกแดง  L ตัวโชว์</v>
          </cell>
        </row>
        <row r="3048">
          <cell r="A3048" t="str">
            <v>SK0328-M</v>
          </cell>
          <cell r="B3048" t="str">
            <v>JK328</v>
          </cell>
          <cell r="C3048" t="str">
            <v>ซาติน เดรส แขนสั้น อาหมวย พื้นเขียว หมวกแดง  M ตัวโชว์</v>
          </cell>
        </row>
        <row r="3049">
          <cell r="A3049" t="str">
            <v>SK0329-L</v>
          </cell>
          <cell r="B3049" t="str">
            <v>JK329</v>
          </cell>
          <cell r="C3049" t="str">
            <v>ซาติน เดรส แขนสั้น อาหมวย พื้นชมพู หมวกขาว L ตัวโชว์</v>
          </cell>
        </row>
        <row r="3050">
          <cell r="A3050" t="str">
            <v>SK0329-M</v>
          </cell>
          <cell r="B3050" t="str">
            <v>JK329</v>
          </cell>
          <cell r="C3050" t="str">
            <v>ซาติน เดรส แขนสั้น อาหมวย พื้นชมพู หมวกขาว M ตัวโชว์</v>
          </cell>
        </row>
        <row r="3051">
          <cell r="A3051" t="str">
            <v>SK0330-M</v>
          </cell>
          <cell r="B3051" t="str">
            <v>JK330</v>
          </cell>
          <cell r="C3051" t="str">
            <v>ซาติน แขนสั้น ลายทาง ดำเขียว M ตัวโชว์</v>
          </cell>
        </row>
        <row r="3052">
          <cell r="A3052" t="str">
            <v>SK0333-2XL</v>
          </cell>
          <cell r="B3052" t="str">
            <v>K333</v>
          </cell>
          <cell r="C3052" t="str">
            <v>ซาติน เดรสแขนสั้น ชมพู นู้ด 2XL</v>
          </cell>
        </row>
        <row r="3053">
          <cell r="A3053" t="str">
            <v>SK0333-3XL</v>
          </cell>
          <cell r="B3053" t="str">
            <v>K333</v>
          </cell>
          <cell r="C3053" t="str">
            <v>ซาติน เดรสแขนสั้น ชมพู นู้ด 3XL</v>
          </cell>
        </row>
        <row r="3054">
          <cell r="A3054" t="str">
            <v>SK0333-L</v>
          </cell>
          <cell r="B3054" t="str">
            <v>K333</v>
          </cell>
          <cell r="C3054" t="str">
            <v>ซาติน เดรสแขนสั้น ชมพู นู้ด L</v>
          </cell>
        </row>
        <row r="3055">
          <cell r="A3055" t="str">
            <v>SK0333-M</v>
          </cell>
          <cell r="B3055" t="str">
            <v>K333</v>
          </cell>
          <cell r="C3055" t="str">
            <v>ซาติน เดรสแขนสั้น ชมพู นู้ด M</v>
          </cell>
        </row>
        <row r="3056">
          <cell r="A3056" t="str">
            <v>SK0334-2XL</v>
          </cell>
          <cell r="B3056" t="str">
            <v>K334</v>
          </cell>
          <cell r="C3056" t="str">
            <v>ซาติน เดรสแขนสั้น สีกรมเข้ม 2XL</v>
          </cell>
        </row>
        <row r="3057">
          <cell r="A3057" t="str">
            <v>SK0334-3XL</v>
          </cell>
          <cell r="B3057" t="str">
            <v>K334</v>
          </cell>
          <cell r="C3057" t="str">
            <v>ซาติน เดรสแขนสั้น สีกรมเข้ม 3XL</v>
          </cell>
        </row>
        <row r="3058">
          <cell r="A3058" t="str">
            <v>SK0334-L</v>
          </cell>
          <cell r="B3058" t="str">
            <v>K334</v>
          </cell>
          <cell r="C3058" t="str">
            <v>ซาติน เดรสแขนสั้น สีกรมเข้ม L</v>
          </cell>
        </row>
        <row r="3059">
          <cell r="A3059" t="str">
            <v>SK0334-M</v>
          </cell>
          <cell r="B3059" t="str">
            <v>K334</v>
          </cell>
          <cell r="C3059" t="str">
            <v>ซาติน เดรสแขนสั้น สีกรมเข้ม M</v>
          </cell>
        </row>
        <row r="3060">
          <cell r="A3060" t="str">
            <v>SK0335-L</v>
          </cell>
          <cell r="B3060" t="str">
            <v>K335</v>
          </cell>
          <cell r="C3060" t="str">
            <v>ซาติน เดรสแขนสั้น ฟ้าเข้ม L</v>
          </cell>
        </row>
        <row r="3061">
          <cell r="A3061" t="str">
            <v>SK0335-M</v>
          </cell>
          <cell r="B3061" t="str">
            <v>K335</v>
          </cell>
          <cell r="C3061" t="str">
            <v>ซาติน เดรสแขนสั้น ฟ้าเข้ม M</v>
          </cell>
        </row>
        <row r="3062">
          <cell r="A3062" t="str">
            <v>SK0336-L</v>
          </cell>
          <cell r="B3062" t="str">
            <v>K336</v>
          </cell>
          <cell r="C3062" t="str">
            <v>ซาติน เดรสแขนสั้น ครีม L</v>
          </cell>
        </row>
        <row r="3063">
          <cell r="A3063" t="str">
            <v>SK0336-M</v>
          </cell>
          <cell r="B3063" t="str">
            <v>K336</v>
          </cell>
          <cell r="C3063" t="str">
            <v>ซาติน เดรสแขนสั้น ครีม M</v>
          </cell>
        </row>
        <row r="3064">
          <cell r="A3064" t="str">
            <v>SK0337-L</v>
          </cell>
          <cell r="B3064" t="str">
            <v>K337</v>
          </cell>
          <cell r="C3064" t="str">
            <v>ซาติน เดรส แขนสี่ส่วน Lovely Cat พื้นขาว L</v>
          </cell>
        </row>
        <row r="3065">
          <cell r="A3065" t="str">
            <v>SK0337-M</v>
          </cell>
          <cell r="B3065" t="str">
            <v>K337</v>
          </cell>
          <cell r="C3065" t="str">
            <v>ซาติน เดรส แขนสี่ส่วน Lovely Cat พื้นขาว M</v>
          </cell>
        </row>
        <row r="3066">
          <cell r="A3066" t="str">
            <v>SK0338-L</v>
          </cell>
          <cell r="B3066" t="str">
            <v>K338</v>
          </cell>
          <cell r="C3066" t="str">
            <v>ซาติน เดรส แขนสี่ส่วน Lovely Cat พื้นชมพู L</v>
          </cell>
        </row>
        <row r="3067">
          <cell r="A3067" t="str">
            <v>SK0338-M</v>
          </cell>
          <cell r="B3067" t="str">
            <v>K338</v>
          </cell>
          <cell r="C3067" t="str">
            <v>ซาติน เดรส แขนสี่ส่วน Lovely Cat พื้นชมพู M</v>
          </cell>
        </row>
        <row r="3068">
          <cell r="A3068" t="str">
            <v>SK0339-L</v>
          </cell>
          <cell r="B3068" t="str">
            <v>JK339</v>
          </cell>
          <cell r="C3068" t="str">
            <v>ซาติน เดรสแขนสั้น แคสเปอร์ ชมพู L ตัวโชว์</v>
          </cell>
        </row>
        <row r="3069">
          <cell r="A3069" t="str">
            <v>SK0339-M</v>
          </cell>
          <cell r="B3069" t="str">
            <v>JK339</v>
          </cell>
          <cell r="C3069" t="str">
            <v>ซาติน เดรสแขนสั้น แคสเปอร์ ชมพู M ตัวโชว์</v>
          </cell>
        </row>
        <row r="3070">
          <cell r="A3070" t="str">
            <v>SK0340-L</v>
          </cell>
          <cell r="B3070" t="str">
            <v>K340</v>
          </cell>
          <cell r="C3070" t="str">
            <v>ซาติน เดรสแขนสั้น แคสเปอร์ ฟ้า L</v>
          </cell>
        </row>
        <row r="3071">
          <cell r="A3071" t="str">
            <v>SK0340-M</v>
          </cell>
          <cell r="B3071" t="str">
            <v>JK340</v>
          </cell>
          <cell r="C3071" t="str">
            <v>ซาติน เดรสแขนสั้น แคสเปอร์ ฟ้า M ตัวโชว์</v>
          </cell>
        </row>
        <row r="3072">
          <cell r="A3072" t="str">
            <v>SK0341-L</v>
          </cell>
          <cell r="B3072" t="str">
            <v>K341</v>
          </cell>
          <cell r="C3072" t="str">
            <v>ซาติน เดรสแขนสั้น ขาว ขอบชมพู L</v>
          </cell>
        </row>
        <row r="3073">
          <cell r="A3073" t="str">
            <v>SK0341-M</v>
          </cell>
          <cell r="B3073" t="str">
            <v>K341</v>
          </cell>
          <cell r="C3073" t="str">
            <v>ซาติน เดรสแขนสั้น ขาว ขอบชมพู M</v>
          </cell>
        </row>
        <row r="3074">
          <cell r="A3074" t="str">
            <v>SK0342-L</v>
          </cell>
          <cell r="B3074" t="str">
            <v>K342</v>
          </cell>
          <cell r="C3074" t="str">
            <v>ซาติน เดรส แขนห้าส่วน พื้นม่วง ขอบขาว L</v>
          </cell>
        </row>
        <row r="3075">
          <cell r="A3075" t="str">
            <v>SK0342-M</v>
          </cell>
          <cell r="B3075" t="str">
            <v>K342</v>
          </cell>
          <cell r="C3075" t="str">
            <v>ซาติน เดรส แขนห้าส่วน พื้นม่วง ขอบขาว M</v>
          </cell>
        </row>
        <row r="3076">
          <cell r="A3076" t="str">
            <v>SK0343-L</v>
          </cell>
          <cell r="B3076" t="str">
            <v>K343</v>
          </cell>
          <cell r="C3076" t="str">
            <v>ซาติน แขนสั้นขาสั้น อาหมวย พื้นขาว หมวกขาว L</v>
          </cell>
        </row>
        <row r="3077">
          <cell r="A3077" t="str">
            <v>SK0343-M</v>
          </cell>
          <cell r="B3077" t="str">
            <v>K343</v>
          </cell>
          <cell r="C3077" t="str">
            <v>ซาติน แขนสั้นขาสั้น อาหมวย พื้นขาว หมวกขาว M</v>
          </cell>
        </row>
        <row r="3078">
          <cell r="A3078" t="str">
            <v>SK0347-2XL</v>
          </cell>
          <cell r="B3078" t="str">
            <v>K347</v>
          </cell>
          <cell r="C3078" t="str">
            <v>ซาติน เดรส แขนสั้น Coral Sea 2XL</v>
          </cell>
        </row>
        <row r="3079">
          <cell r="A3079" t="str">
            <v>SK0347-3XL</v>
          </cell>
          <cell r="B3079" t="str">
            <v>K347</v>
          </cell>
          <cell r="C3079" t="str">
            <v>ซาติน เดรส แขนสั้น Coral Sea 3XL</v>
          </cell>
        </row>
        <row r="3080">
          <cell r="A3080" t="str">
            <v>SK0347-L</v>
          </cell>
          <cell r="B3080" t="str">
            <v>K347</v>
          </cell>
          <cell r="C3080" t="str">
            <v>ซาติน เดรส แขนสั้น Coral Sea L</v>
          </cell>
        </row>
        <row r="3081">
          <cell r="A3081" t="str">
            <v>SK0347-M</v>
          </cell>
          <cell r="B3081" t="str">
            <v>K347</v>
          </cell>
          <cell r="C3081" t="str">
            <v>ซาติน เดรส แขนสั้น Coral Sea M</v>
          </cell>
        </row>
        <row r="3082">
          <cell r="A3082" t="str">
            <v>SK0347-S</v>
          </cell>
          <cell r="B3082" t="str">
            <v>K347</v>
          </cell>
          <cell r="C3082" t="str">
            <v>ซาติน เดรส แขนสั้น Coral Sea S</v>
          </cell>
        </row>
        <row r="3083">
          <cell r="A3083" t="str">
            <v>SK0347-XL</v>
          </cell>
          <cell r="B3083" t="str">
            <v>K347</v>
          </cell>
          <cell r="C3083" t="str">
            <v>ซาติน เดรส แขนสั้น Coral Sea XL</v>
          </cell>
        </row>
        <row r="3084">
          <cell r="A3084" t="str">
            <v>SK0348-L</v>
          </cell>
          <cell r="B3084" t="str">
            <v>K348</v>
          </cell>
          <cell r="C3084" t="str">
            <v>ซาติน เดรส แขนสั้น กวางเรนเดียร์ L</v>
          </cell>
        </row>
        <row r="3085">
          <cell r="A3085" t="str">
            <v>SK0348-M</v>
          </cell>
          <cell r="B3085" t="str">
            <v>K348</v>
          </cell>
          <cell r="C3085" t="str">
            <v>ซาติน เดรส แขนสั้น กวางเรนเดียร์ M</v>
          </cell>
        </row>
        <row r="3086">
          <cell r="A3086" t="str">
            <v>SK0348-XL</v>
          </cell>
          <cell r="B3086" t="str">
            <v>K348</v>
          </cell>
          <cell r="C3086" t="str">
            <v>ซาติน เดรส แขนสั้น กวางเรนเดียร์ XL</v>
          </cell>
        </row>
        <row r="3087">
          <cell r="A3087" t="str">
            <v>SK0349-2XL</v>
          </cell>
          <cell r="B3087" t="str">
            <v>K349</v>
          </cell>
          <cell r="C3087" t="str">
            <v>ซาติน เดรส แขนสั้น กางเกง ปีกัสโซ่  2XL</v>
          </cell>
        </row>
        <row r="3088">
          <cell r="A3088" t="str">
            <v>SK0349-3XL</v>
          </cell>
          <cell r="B3088" t="str">
            <v>K349</v>
          </cell>
          <cell r="C3088" t="str">
            <v>ซาติน เดรส แขนสั้น กางเกง ปีกัสโซ่  3XL</v>
          </cell>
        </row>
        <row r="3089">
          <cell r="A3089" t="str">
            <v>SK0349-4XL</v>
          </cell>
          <cell r="B3089" t="str">
            <v>K349</v>
          </cell>
          <cell r="C3089" t="str">
            <v>ซาติน เดรส แขนสั้น กางเกง ปีกัสโซ่  4XL</v>
          </cell>
        </row>
        <row r="3090">
          <cell r="A3090" t="str">
            <v>SK0349-L</v>
          </cell>
          <cell r="B3090" t="str">
            <v>K349</v>
          </cell>
          <cell r="C3090" t="str">
            <v>ซาติน เดรส แขนสั้น กางเกง ปีกัสโซ่  L</v>
          </cell>
        </row>
        <row r="3091">
          <cell r="A3091" t="str">
            <v>SK0349-M</v>
          </cell>
          <cell r="B3091" t="str">
            <v>K349</v>
          </cell>
          <cell r="C3091" t="str">
            <v>ซาติน เดรส แขนสั้น กางเกง ปีกัสโซ่  M</v>
          </cell>
        </row>
        <row r="3092">
          <cell r="A3092" t="str">
            <v>SK0349-XL</v>
          </cell>
          <cell r="B3092" t="str">
            <v>K349</v>
          </cell>
          <cell r="C3092" t="str">
            <v>ซาติน เดรส แขนสั้น กางเกง ปีกัสโซ่  XL</v>
          </cell>
        </row>
        <row r="3093">
          <cell r="A3093" t="str">
            <v>SK0350-2XL</v>
          </cell>
          <cell r="B3093" t="str">
            <v>K350</v>
          </cell>
          <cell r="C3093" t="str">
            <v>ซาติน เดรส แขนสั้น Flower Gray 2XL</v>
          </cell>
        </row>
        <row r="3094">
          <cell r="A3094" t="str">
            <v>SK0350-3XL</v>
          </cell>
          <cell r="B3094" t="str">
            <v>K350</v>
          </cell>
          <cell r="C3094" t="str">
            <v>ซาติน เดรส แขนสั้น Flower Gray 3XL</v>
          </cell>
        </row>
        <row r="3095">
          <cell r="A3095" t="str">
            <v>SK0350-L</v>
          </cell>
          <cell r="B3095" t="str">
            <v>K350</v>
          </cell>
          <cell r="C3095" t="str">
            <v>ซาติน เดรส แขนสั้น Flower Gray L</v>
          </cell>
        </row>
        <row r="3096">
          <cell r="A3096" t="str">
            <v>SK0350-M</v>
          </cell>
          <cell r="B3096" t="str">
            <v>K350</v>
          </cell>
          <cell r="C3096" t="str">
            <v>ซาติน เดรส แขนสั้น Flower Gray M</v>
          </cell>
        </row>
        <row r="3097">
          <cell r="A3097" t="str">
            <v>SK0350-XL</v>
          </cell>
          <cell r="B3097" t="str">
            <v>K350</v>
          </cell>
          <cell r="C3097" t="str">
            <v>ซาติน เดรส แขนสั้น Flower Gray XL</v>
          </cell>
        </row>
        <row r="3098">
          <cell r="A3098" t="str">
            <v>SK0351-2XL</v>
          </cell>
          <cell r="B3098" t="str">
            <v>K351</v>
          </cell>
          <cell r="C3098" t="str">
            <v>ซาติน เดรส แขนยาว Flower Gray 2XL</v>
          </cell>
        </row>
        <row r="3099">
          <cell r="A3099" t="str">
            <v>SK0351-3XL</v>
          </cell>
          <cell r="B3099" t="str">
            <v>K351</v>
          </cell>
          <cell r="C3099" t="str">
            <v>ซาติน เดรส แขนยาว Flower Gray 3XL</v>
          </cell>
        </row>
        <row r="3100">
          <cell r="A3100" t="str">
            <v>SK0351-L</v>
          </cell>
          <cell r="B3100" t="str">
            <v>K351</v>
          </cell>
          <cell r="C3100" t="str">
            <v>ซาติน เดรส แขนยาว Flower Gray L</v>
          </cell>
        </row>
        <row r="3101">
          <cell r="A3101" t="str">
            <v>SK0351-M</v>
          </cell>
          <cell r="B3101" t="str">
            <v>K351</v>
          </cell>
          <cell r="C3101" t="str">
            <v>ซาติน เดรส แขนยาว Flower Gray M</v>
          </cell>
        </row>
        <row r="3102">
          <cell r="A3102" t="str">
            <v>SK0351-XL</v>
          </cell>
          <cell r="B3102" t="str">
            <v>K351</v>
          </cell>
          <cell r="C3102" t="str">
            <v>ซาติน เดรส แขนยาว Flower Gray XL</v>
          </cell>
        </row>
        <row r="3103">
          <cell r="A3103" t="str">
            <v>SK0352-2XL</v>
          </cell>
          <cell r="B3103" t="str">
            <v>K352</v>
          </cell>
          <cell r="C3103" t="str">
            <v>ซาติน เดรส แขนสั้น กางเกง Jasmine Green 2XL</v>
          </cell>
        </row>
        <row r="3104">
          <cell r="A3104" t="str">
            <v>SK0352-4XL</v>
          </cell>
          <cell r="B3104" t="str">
            <v>K352</v>
          </cell>
          <cell r="C3104" t="str">
            <v>ซาติน เดรส แขนสั้น กางเกง Jasmine Green 4XL</v>
          </cell>
        </row>
        <row r="3105">
          <cell r="A3105" t="str">
            <v>SK0352-L</v>
          </cell>
          <cell r="B3105" t="str">
            <v>K352</v>
          </cell>
          <cell r="C3105" t="str">
            <v>ซาติน เดรส แขนสั้น กางเกง Jasmine Green L</v>
          </cell>
        </row>
        <row r="3106">
          <cell r="A3106" t="str">
            <v>SK0352-M</v>
          </cell>
          <cell r="B3106" t="str">
            <v>K352</v>
          </cell>
          <cell r="C3106" t="str">
            <v>ซาติน เดรส แขนสั้น กางเกง Jasmine Green M</v>
          </cell>
        </row>
        <row r="3107">
          <cell r="A3107" t="str">
            <v>SK0352-XL</v>
          </cell>
          <cell r="B3107" t="str">
            <v>K352</v>
          </cell>
          <cell r="C3107" t="str">
            <v>ซาติน เดรส แขนสั้น กางเกง Jasmine Green XL</v>
          </cell>
        </row>
        <row r="3108">
          <cell r="A3108" t="str">
            <v>SK0360-2XL</v>
          </cell>
          <cell r="B3108" t="str">
            <v>K360</v>
          </cell>
          <cell r="C3108" t="str">
            <v>ซาติน เดรส แขนสั้น Comic book 2XL</v>
          </cell>
        </row>
        <row r="3109">
          <cell r="A3109" t="str">
            <v>SK0360-3XL</v>
          </cell>
          <cell r="B3109" t="str">
            <v>K360</v>
          </cell>
          <cell r="C3109" t="str">
            <v>ซาติน เดรส แขนสั้น Comic book 3XL</v>
          </cell>
        </row>
        <row r="3110">
          <cell r="A3110" t="str">
            <v>SK0360-L</v>
          </cell>
          <cell r="B3110" t="str">
            <v>K360</v>
          </cell>
          <cell r="C3110" t="str">
            <v>ซาติน เดรส แขนสั้น Comic book L</v>
          </cell>
        </row>
        <row r="3111">
          <cell r="A3111" t="str">
            <v>SK0360-M</v>
          </cell>
          <cell r="B3111" t="str">
            <v>K360</v>
          </cell>
          <cell r="C3111" t="str">
            <v>ซาติน เดรส แขนสั้น Comic book M</v>
          </cell>
        </row>
        <row r="3112">
          <cell r="A3112" t="str">
            <v>SK0360-XL</v>
          </cell>
          <cell r="B3112" t="str">
            <v>K360</v>
          </cell>
          <cell r="C3112" t="str">
            <v>ซาติน เดรส แขนสั้น Comic book XL</v>
          </cell>
        </row>
        <row r="3113">
          <cell r="A3113" t="str">
            <v>SK0474-L</v>
          </cell>
          <cell r="B3113" t="str">
            <v>JK474</v>
          </cell>
          <cell r="C3113" t="str">
            <v>ซาติน เดรสแขน 5 ส่วน Good Night Dog พื้นชมพู L ตัวโชว์</v>
          </cell>
        </row>
        <row r="3114">
          <cell r="A3114" t="str">
            <v>SK0474-M</v>
          </cell>
          <cell r="B3114" t="str">
            <v>ป1</v>
          </cell>
          <cell r="C3114" t="str">
            <v>ซาติน เดรสแขน 5 ส่วน Good Night Dog พื้นชมพู M</v>
          </cell>
        </row>
        <row r="3115">
          <cell r="A3115" t="str">
            <v>SK0475-L</v>
          </cell>
          <cell r="B3115" t="str">
            <v>K475</v>
          </cell>
          <cell r="C3115" t="str">
            <v>ซาติน เดรสแขน 5 ส่วน Good Night Dog พื้นขาว L</v>
          </cell>
        </row>
        <row r="3116">
          <cell r="A3116" t="str">
            <v>SK0475-M</v>
          </cell>
          <cell r="B3116" t="str">
            <v>K475</v>
          </cell>
          <cell r="C3116" t="str">
            <v>ซาติน เดรสแขน 5 ส่วน Good Night Dog พื้นขาว M</v>
          </cell>
        </row>
        <row r="3117">
          <cell r="A3117" t="str">
            <v>SK0489-L</v>
          </cell>
          <cell r="B3117" t="str">
            <v>K489</v>
          </cell>
          <cell r="C3117" t="str">
            <v>ซาติน เดรสแขนยาว พื้นขาว คอปกชมพูนู้ด นกกระเรียน L</v>
          </cell>
        </row>
        <row r="3118">
          <cell r="A3118" t="str">
            <v>SK0489-M</v>
          </cell>
          <cell r="B3118" t="str">
            <v>K489</v>
          </cell>
          <cell r="C3118" t="str">
            <v>ซาติน เดรสแขนยาว พื้นขาว คอปกชมพูนู้ด นกกระเรียน M</v>
          </cell>
        </row>
        <row r="3119">
          <cell r="A3119" t="str">
            <v>SK0490-L</v>
          </cell>
          <cell r="B3119" t="str">
            <v>K490</v>
          </cell>
          <cell r="C3119" t="str">
            <v>ซาติน เดรสแขนยาว พื้นครีม MONTER L</v>
          </cell>
        </row>
        <row r="3120">
          <cell r="A3120" t="str">
            <v>SK0490-M</v>
          </cell>
          <cell r="B3120" t="str">
            <v>ป2</v>
          </cell>
          <cell r="C3120" t="str">
            <v>ซาติน เดรสแขนยาว พื้นครีม MONTER M</v>
          </cell>
        </row>
        <row r="3121">
          <cell r="A3121" t="str">
            <v>SK0491-L</v>
          </cell>
          <cell r="B3121" t="str">
            <v>K491</v>
          </cell>
          <cell r="C3121" t="str">
            <v>ซาติน เดรสแขนยาว พื้นชมพูอ่อน MONTER L</v>
          </cell>
        </row>
        <row r="3122">
          <cell r="A3122" t="str">
            <v>SK0491-M</v>
          </cell>
          <cell r="B3122" t="str">
            <v>JK491</v>
          </cell>
          <cell r="C3122" t="str">
            <v>ซาติน เดรสแขนยาว พื้นชมพูอ่อน MONTER M ตัวโชว์</v>
          </cell>
        </row>
        <row r="3123">
          <cell r="A3123" t="str">
            <v>SK0492-L</v>
          </cell>
          <cell r="B3123" t="str">
            <v>K492</v>
          </cell>
          <cell r="C3123" t="str">
            <v>ซาติน เดรสแขนยาว พื้นชมพู ลายจุด กระเป๋าลูกไม้ Couple L</v>
          </cell>
        </row>
        <row r="3124">
          <cell r="A3124" t="str">
            <v>SK0492-M</v>
          </cell>
          <cell r="B3124" t="str">
            <v>K492</v>
          </cell>
          <cell r="C3124" t="str">
            <v>ซาติน เดรสแขนยาว พื้นชมพู ลายจุด กระเป๋าลูกไม้ Couple M</v>
          </cell>
        </row>
        <row r="3125">
          <cell r="A3125" t="str">
            <v>SK0493-L</v>
          </cell>
          <cell r="B3125" t="str">
            <v>JK493</v>
          </cell>
          <cell r="C3125" t="str">
            <v>ซาติน เดรสแขนยาว พื้นขาว ลายจุด กระเป๋าลูกไม้ Couple L ตัวโชว์</v>
          </cell>
        </row>
        <row r="3126">
          <cell r="A3126" t="str">
            <v>SK0493-M</v>
          </cell>
          <cell r="B3126" t="str">
            <v>JK493</v>
          </cell>
          <cell r="C3126" t="str">
            <v>ซาติน เดรสแขนยาว พื้นขาว ลายจุด กระเป๋าลูกไม้ Couple M ตัวโชว์</v>
          </cell>
        </row>
        <row r="3127">
          <cell r="A3127" t="str">
            <v>SK0494-L</v>
          </cell>
          <cell r="B3127" t="str">
            <v>K494</v>
          </cell>
          <cell r="C3127" t="str">
            <v>ซาติน เดรส แขน 5 ส่วน Angel Bow L</v>
          </cell>
        </row>
        <row r="3128">
          <cell r="A3128" t="str">
            <v>SK0494-M</v>
          </cell>
          <cell r="B3128" t="str">
            <v>K494</v>
          </cell>
          <cell r="C3128" t="str">
            <v>ซาติน เดรส แขน 5 ส่วน Angel Bow M</v>
          </cell>
        </row>
        <row r="3129">
          <cell r="A3129" t="str">
            <v>SK0495-L</v>
          </cell>
          <cell r="B3129" t="str">
            <v>JK495</v>
          </cell>
          <cell r="C3129" t="str">
            <v>ซาติน เดรสแขนสั้น กางเกง ผีเสื้อดอกไม้ เขียว L</v>
          </cell>
        </row>
        <row r="3130">
          <cell r="A3130" t="str">
            <v>SK0495-M</v>
          </cell>
          <cell r="B3130" t="str">
            <v>JK495</v>
          </cell>
          <cell r="C3130" t="str">
            <v>ซาติน เดรสแขนสั้น กางเกง ผีเสื้อดอกไม้ เขียว M</v>
          </cell>
        </row>
        <row r="3131">
          <cell r="A3131" t="str">
            <v>SK0495-XL</v>
          </cell>
          <cell r="B3131" t="str">
            <v>JK495</v>
          </cell>
          <cell r="C3131" t="str">
            <v>ซาติน เดรสแขนสั้น กางเกง ผีเสื้อดอกไม้ เขียว XL ตัวโชว์</v>
          </cell>
        </row>
        <row r="3132">
          <cell r="A3132" t="str">
            <v>SK0496-L</v>
          </cell>
          <cell r="B3132" t="str">
            <v>JK496</v>
          </cell>
          <cell r="C3132" t="str">
            <v>ซาติน เดรสแขนสั้น กางเกง กุหลาบ ขอบชมพู พื้นขาว L ตัวโชว์</v>
          </cell>
        </row>
        <row r="3133">
          <cell r="A3133" t="str">
            <v>SK0496-M</v>
          </cell>
          <cell r="B3133" t="str">
            <v>JK496</v>
          </cell>
          <cell r="C3133" t="str">
            <v>ซาติน เดรสแขนสั้น กางเกง กุหลาบ ขอบชมพู พื้นขาว M ตัวโชว์</v>
          </cell>
        </row>
        <row r="3134">
          <cell r="A3134" t="str">
            <v>SK0496-XL</v>
          </cell>
          <cell r="B3134" t="str">
            <v>JK496</v>
          </cell>
          <cell r="C3134" t="str">
            <v>ซาติน เดรสแขนสั้น กางเกง กุหลาบ ขอบชมพู พื้นขาว XL ตัวโชว์</v>
          </cell>
        </row>
        <row r="3135">
          <cell r="A3135" t="str">
            <v>SK0497-L</v>
          </cell>
          <cell r="B3135" t="str">
            <v>JK497</v>
          </cell>
          <cell r="C3135" t="str">
            <v>ซาติน เดรสแขนสั้น กางเกง ลายมะพร้าว สีพาสเทล L</v>
          </cell>
        </row>
        <row r="3136">
          <cell r="A3136" t="str">
            <v>SK0497-M</v>
          </cell>
          <cell r="B3136" t="str">
            <v>JK497</v>
          </cell>
          <cell r="C3136" t="str">
            <v>ซาติน เดรสแขนสั้น กางเกง ลายมะพร้าว สีพาสเทล M ตัวโชว์</v>
          </cell>
        </row>
        <row r="3137">
          <cell r="A3137" t="str">
            <v>SK0497-XL</v>
          </cell>
          <cell r="B3137" t="str">
            <v>JK497</v>
          </cell>
          <cell r="C3137" t="str">
            <v>ซาติน เดรสแขนสั้น กางเกง ลายมะพร้าว สีพาสเทล XL ตัวโชว์</v>
          </cell>
        </row>
        <row r="3138">
          <cell r="A3138" t="str">
            <v>SK0498-L</v>
          </cell>
          <cell r="B3138" t="str">
            <v>K498</v>
          </cell>
          <cell r="C3138" t="str">
            <v>ซาติน เดรสแขนสั้น กางเกง ฟรุตตี้ L</v>
          </cell>
        </row>
        <row r="3139">
          <cell r="A3139" t="str">
            <v>SK0498-M</v>
          </cell>
          <cell r="B3139" t="str">
            <v>ป2</v>
          </cell>
          <cell r="C3139" t="str">
            <v>ซาติน เดรสแขนสั้น กางเกง ฟรุตตี้ M</v>
          </cell>
        </row>
        <row r="3140">
          <cell r="A3140" t="str">
            <v>SK0498-XL</v>
          </cell>
          <cell r="B3140" t="str">
            <v>K498</v>
          </cell>
          <cell r="C3140" t="str">
            <v>ซาติน เดรสแขนสั้น กางเกง ฟรุตตี้ XL</v>
          </cell>
        </row>
        <row r="3141">
          <cell r="A3141" t="str">
            <v>SK0499-L</v>
          </cell>
          <cell r="B3141" t="str">
            <v>K499</v>
          </cell>
          <cell r="C3141" t="str">
            <v>ซาติน เดรส กางเกง ดอกไม้ขาว พื้นครีม L</v>
          </cell>
        </row>
        <row r="3142">
          <cell r="A3142" t="str">
            <v>SK0499-M</v>
          </cell>
          <cell r="B3142" t="str">
            <v>K499</v>
          </cell>
          <cell r="C3142" t="str">
            <v>ซาติน เดรส กางเกง ดอกไม้ขาว พื้นครีม M</v>
          </cell>
        </row>
        <row r="3143">
          <cell r="A3143" t="str">
            <v>SK0499-XL</v>
          </cell>
          <cell r="B3143" t="str">
            <v>K499</v>
          </cell>
          <cell r="C3143" t="str">
            <v>ซาติน เดรส กางเกง ดอกไม้ขาว พื้นครีม XL</v>
          </cell>
        </row>
        <row r="3144">
          <cell r="A3144" t="str">
            <v>SK0500-L</v>
          </cell>
          <cell r="B3144" t="str">
            <v>K500</v>
          </cell>
          <cell r="C3144" t="str">
            <v>ซาติน เดรส กางเกง ฟ้ามินท์ ลายทาง L</v>
          </cell>
        </row>
        <row r="3145">
          <cell r="A3145" t="str">
            <v>SK0500-M</v>
          </cell>
          <cell r="B3145" t="str">
            <v>ป1</v>
          </cell>
          <cell r="C3145" t="str">
            <v>ซาติน เดรส กางเกง ฟ้ามินท์ ลายทาง M</v>
          </cell>
        </row>
        <row r="3146">
          <cell r="A3146" t="str">
            <v>SK0500-XL</v>
          </cell>
          <cell r="B3146" t="str">
            <v>K500</v>
          </cell>
          <cell r="C3146" t="str">
            <v>ซาติน เดรส กางเกง ฟ้ามินท์ ลายทาง XL</v>
          </cell>
        </row>
        <row r="3147">
          <cell r="A3147" t="str">
            <v>SK0501-L</v>
          </cell>
          <cell r="B3147" t="str">
            <v>K501</v>
          </cell>
          <cell r="C3147" t="str">
            <v>ซาติน เดรส แขนสั้น กางเกงพาสเทล แฟนตาซี  L</v>
          </cell>
        </row>
        <row r="3148">
          <cell r="A3148" t="str">
            <v>SK0501-M</v>
          </cell>
          <cell r="B3148" t="str">
            <v>K501</v>
          </cell>
          <cell r="C3148" t="str">
            <v>ซาติน เดรส แขนสั้น กางเกงพาสเทล แฟนตาซี  M</v>
          </cell>
        </row>
        <row r="3149">
          <cell r="A3149" t="str">
            <v>SK0501-XL</v>
          </cell>
          <cell r="B3149" t="str">
            <v>K501</v>
          </cell>
          <cell r="C3149" t="str">
            <v>ซาติน เดรส แขนสั้น กางเกงพาสเทล แฟนตาซี  XL</v>
          </cell>
        </row>
        <row r="3150">
          <cell r="A3150" t="str">
            <v>SK0519-L</v>
          </cell>
          <cell r="B3150" t="str">
            <v>K519</v>
          </cell>
          <cell r="C3150" t="str">
            <v>ซิลค์แจ็คการ์ด เดรสแขนสั้น ผีเสื้อ พาสเทล พื้นขาว L</v>
          </cell>
        </row>
        <row r="3151">
          <cell r="A3151" t="str">
            <v>SK0519-M</v>
          </cell>
          <cell r="B3151" t="str">
            <v>K519</v>
          </cell>
          <cell r="C3151" t="str">
            <v>ซิลค์แจ็คการ์ด เดรสแขนสั้น ผีเสื้อ พาสเทล พื้นขาว M</v>
          </cell>
        </row>
        <row r="3152">
          <cell r="A3152" t="str">
            <v>SK0519-XL</v>
          </cell>
          <cell r="B3152" t="str">
            <v>K519</v>
          </cell>
          <cell r="C3152" t="str">
            <v>ซิลค์แจ็คการ์ด เดรสแขนสั้น ผีเสื้อ พาสเทล พื้นขาว XL</v>
          </cell>
        </row>
        <row r="3153">
          <cell r="A3153" t="str">
            <v>SK0525-2XL</v>
          </cell>
          <cell r="B3153" t="str">
            <v>K525</v>
          </cell>
          <cell r="C3153" t="str">
            <v>ซาติน เดรส แขนสั้น ดอกไม้มายา 2XL</v>
          </cell>
        </row>
        <row r="3154">
          <cell r="A3154" t="str">
            <v>SK0525-3XL</v>
          </cell>
          <cell r="B3154" t="str">
            <v>K525</v>
          </cell>
          <cell r="C3154" t="str">
            <v>ซาติน เดรส แขนสั้น ดอกไม้มายา 3XL</v>
          </cell>
        </row>
        <row r="3155">
          <cell r="A3155" t="str">
            <v>SK0525-L</v>
          </cell>
          <cell r="B3155" t="str">
            <v>K525</v>
          </cell>
          <cell r="C3155" t="str">
            <v>ซาติน เดรส แขนสั้น ดอกไม้มายา L</v>
          </cell>
        </row>
        <row r="3156">
          <cell r="A3156" t="str">
            <v>SK0525-M</v>
          </cell>
          <cell r="B3156" t="str">
            <v>K525</v>
          </cell>
          <cell r="C3156" t="str">
            <v>ซาติน เดรส แขนสั้น ดอกไม้มายา M</v>
          </cell>
        </row>
        <row r="3157">
          <cell r="A3157" t="str">
            <v>SK0525-XL</v>
          </cell>
          <cell r="B3157" t="str">
            <v>K525</v>
          </cell>
          <cell r="C3157" t="str">
            <v>ซาติน เดรส แขนสั้น ดอกไม้มายา XL</v>
          </cell>
        </row>
        <row r="3158">
          <cell r="A3158" t="str">
            <v>SK0526-2XL</v>
          </cell>
          <cell r="B3158" t="str">
            <v>K526</v>
          </cell>
          <cell r="C3158" t="str">
            <v>ซาติน เดรส แขนสั้น Royal Art 2XL</v>
          </cell>
        </row>
        <row r="3159">
          <cell r="A3159" t="str">
            <v>SK0526-3XL</v>
          </cell>
          <cell r="B3159" t="str">
            <v>K526</v>
          </cell>
          <cell r="C3159" t="str">
            <v>ซาติน เดรส แขนสั้น Royal Art 3XL</v>
          </cell>
        </row>
        <row r="3160">
          <cell r="A3160" t="str">
            <v>SK0526-L</v>
          </cell>
          <cell r="B3160" t="str">
            <v>K526</v>
          </cell>
          <cell r="C3160" t="str">
            <v>ซาติน เดรส แขนสั้น Royal Art L</v>
          </cell>
        </row>
        <row r="3161">
          <cell r="A3161" t="str">
            <v>SK0526-M</v>
          </cell>
          <cell r="B3161" t="str">
            <v>K526</v>
          </cell>
          <cell r="C3161" t="str">
            <v>ซาติน เดรส แขนสั้น Royal Art M</v>
          </cell>
        </row>
        <row r="3162">
          <cell r="A3162" t="str">
            <v>SK0526-S</v>
          </cell>
          <cell r="B3162" t="str">
            <v>K526</v>
          </cell>
          <cell r="C3162" t="str">
            <v>ซาติน เดรส แขนสั้น Royal Art S</v>
          </cell>
        </row>
        <row r="3163">
          <cell r="A3163" t="str">
            <v>SK0526-XL</v>
          </cell>
          <cell r="B3163" t="str">
            <v>K526</v>
          </cell>
          <cell r="C3163" t="str">
            <v>ซาติน เดรส แขนสั้น Royal Art XL</v>
          </cell>
        </row>
        <row r="3164">
          <cell r="A3164" t="str">
            <v>SK0527-2XL</v>
          </cell>
          <cell r="B3164" t="str">
            <v>K527</v>
          </cell>
          <cell r="C3164" t="str">
            <v>ซาติน เดรส แขนยาว ใบไม้เขียว พื้นชมพู 2XL</v>
          </cell>
        </row>
        <row r="3165">
          <cell r="A3165" t="str">
            <v>SK0527-3XL</v>
          </cell>
          <cell r="B3165" t="str">
            <v>K527</v>
          </cell>
          <cell r="C3165" t="str">
            <v>ซาติน เดรส แขนยาว ใบไม้เขียว พื้นชมพู 3XL</v>
          </cell>
        </row>
        <row r="3166">
          <cell r="A3166" t="str">
            <v>SK0527-L</v>
          </cell>
          <cell r="B3166" t="str">
            <v>K527</v>
          </cell>
          <cell r="C3166" t="str">
            <v>ซาติน เดรส แขนยาว ใบไม้เขียว พื้นชมพู L</v>
          </cell>
        </row>
        <row r="3167">
          <cell r="A3167" t="str">
            <v>SK0527-M</v>
          </cell>
          <cell r="B3167" t="str">
            <v>K527</v>
          </cell>
          <cell r="C3167" t="str">
            <v>ซาติน เดรส แขนยาว ใบไม้เขียว พื้นชมพู M</v>
          </cell>
        </row>
        <row r="3168">
          <cell r="A3168" t="str">
            <v>SK0527-XL</v>
          </cell>
          <cell r="B3168" t="str">
            <v>K527</v>
          </cell>
          <cell r="C3168" t="str">
            <v>ซาติน เดรส แขนยาว ใบไม้เขียว พื้นชมพู XL</v>
          </cell>
        </row>
        <row r="3169">
          <cell r="A3169" t="str">
            <v>SK0604-2XL</v>
          </cell>
          <cell r="B3169" t="str">
            <v>K604</v>
          </cell>
          <cell r="C3169" t="str">
            <v>ซาติน เดรส แขนสั้น กางเกง Pink Rose 2XL</v>
          </cell>
        </row>
        <row r="3170">
          <cell r="A3170" t="str">
            <v>SK0604-4XL</v>
          </cell>
          <cell r="B3170" t="str">
            <v>K604</v>
          </cell>
          <cell r="C3170" t="str">
            <v>ซาติน เดรส แขนสั้น กางเกง Pink Rose 4XL</v>
          </cell>
        </row>
        <row r="3171">
          <cell r="A3171" t="str">
            <v>SK0604-L</v>
          </cell>
          <cell r="B3171" t="str">
            <v>K604</v>
          </cell>
          <cell r="C3171" t="str">
            <v>ซาติน เดรส แขนสั้น กางเกง Pink Rose L</v>
          </cell>
        </row>
        <row r="3172">
          <cell r="A3172" t="str">
            <v>SK0604-M</v>
          </cell>
          <cell r="B3172" t="str">
            <v>K604</v>
          </cell>
          <cell r="C3172" t="str">
            <v>ซาติน เดรส แขนสั้น กางเกง Pink Rose M</v>
          </cell>
        </row>
        <row r="3173">
          <cell r="A3173" t="str">
            <v>SK0604-XL</v>
          </cell>
          <cell r="B3173" t="str">
            <v>K604</v>
          </cell>
          <cell r="C3173" t="str">
            <v>ซาติน เดรส แขนสั้น กางเกง Pink Rose XL</v>
          </cell>
        </row>
        <row r="3174">
          <cell r="A3174" t="str">
            <v>SK0606-2XL</v>
          </cell>
          <cell r="B3174" t="str">
            <v>K606</v>
          </cell>
          <cell r="C3174" t="str">
            <v>ซาติน เดรส กางเกง มอนสเตอร่า พื้นเขียวมิ้นท์ 2XL</v>
          </cell>
        </row>
        <row r="3175">
          <cell r="A3175" t="str">
            <v>SK0606-4XL</v>
          </cell>
          <cell r="B3175" t="str">
            <v>K606</v>
          </cell>
          <cell r="C3175" t="str">
            <v>ซาติน เดรส กางเกง มอนสเตอร่า พื้นเขียวมิ้นท์ 4XL</v>
          </cell>
        </row>
        <row r="3176">
          <cell r="A3176" t="str">
            <v>SK0606-L</v>
          </cell>
          <cell r="B3176" t="str">
            <v>K606</v>
          </cell>
          <cell r="C3176" t="str">
            <v>ซาติน เดรส กางเกง มอนสเตอร่า พื้นเขียวมิ้นท์ L</v>
          </cell>
        </row>
        <row r="3177">
          <cell r="A3177" t="str">
            <v>SK0606-M</v>
          </cell>
          <cell r="B3177" t="str">
            <v>K606</v>
          </cell>
          <cell r="C3177" t="str">
            <v>ซาติน เดรส กางเกง มอนสเตอร่า พื้นเขียวมิ้นท์ M</v>
          </cell>
        </row>
        <row r="3178">
          <cell r="A3178" t="str">
            <v>SK0606-XL</v>
          </cell>
          <cell r="B3178" t="str">
            <v>K606</v>
          </cell>
          <cell r="C3178" t="str">
            <v>ซาติน เดรส กางเกง มอนสเตอร่า พื้นเขียวมิ้นท์ XL</v>
          </cell>
        </row>
        <row r="3179">
          <cell r="A3179" t="str">
            <v>SK0660-L</v>
          </cell>
          <cell r="B3179" t="str">
            <v>K660</v>
          </cell>
          <cell r="C3179" t="str">
            <v>ซาติน เดรส แขนสั้น กางเกง Pink Diamond Pastel  L</v>
          </cell>
        </row>
        <row r="3180">
          <cell r="A3180" t="str">
            <v>SK0660-M</v>
          </cell>
          <cell r="B3180" t="str">
            <v>K660</v>
          </cell>
          <cell r="C3180" t="str">
            <v>ซาติน เดรส แขนสั้น กางเกง Pink Diamond Pastel  M</v>
          </cell>
        </row>
        <row r="3181">
          <cell r="A3181" t="str">
            <v>SK0660-XL</v>
          </cell>
          <cell r="B3181" t="str">
            <v>K660</v>
          </cell>
          <cell r="C3181" t="str">
            <v>ซาติน เดรส แขนสั้น กางเกง Pink Diamond Pastel  XL</v>
          </cell>
        </row>
        <row r="3182">
          <cell r="A3182" t="str">
            <v>SK0663-2XL</v>
          </cell>
          <cell r="B3182" t="str">
            <v>K663</v>
          </cell>
          <cell r="C3182" t="str">
            <v>ซาติน เดรส แขนสั้น Black Rose 2XL</v>
          </cell>
        </row>
        <row r="3183">
          <cell r="A3183" t="str">
            <v>SK0663-4XL</v>
          </cell>
          <cell r="B3183" t="str">
            <v>K663</v>
          </cell>
          <cell r="C3183" t="str">
            <v>ซาติน เดรส แขนสั้น Black Rose 4XL</v>
          </cell>
        </row>
        <row r="3184">
          <cell r="A3184" t="str">
            <v>SK0663-L</v>
          </cell>
          <cell r="B3184" t="str">
            <v>K663</v>
          </cell>
          <cell r="C3184" t="str">
            <v>ซาติน เดรส แขนสั้น Black Rose L</v>
          </cell>
        </row>
        <row r="3185">
          <cell r="A3185" t="str">
            <v>SK0663-M</v>
          </cell>
          <cell r="B3185" t="str">
            <v>K663</v>
          </cell>
          <cell r="C3185" t="str">
            <v>ซาติน เดรส แขนสั้น Black Rose M</v>
          </cell>
        </row>
        <row r="3186">
          <cell r="A3186" t="str">
            <v>SK0663-XL</v>
          </cell>
          <cell r="B3186" t="str">
            <v>K663</v>
          </cell>
          <cell r="C3186" t="str">
            <v>ซาติน เดรส แขนสั้น Black Rose XL</v>
          </cell>
        </row>
        <row r="3187">
          <cell r="A3187" t="str">
            <v>SK0800-2XL</v>
          </cell>
          <cell r="B3187" t="str">
            <v>K800</v>
          </cell>
          <cell r="C3187" t="str">
            <v>ซาติน เดรส แขนสั้น กุหลาบ พื้นขาว ปกชมพู 2XL</v>
          </cell>
        </row>
        <row r="3188">
          <cell r="A3188" t="str">
            <v>SK0800-3XL</v>
          </cell>
          <cell r="B3188" t="str">
            <v>K800</v>
          </cell>
          <cell r="C3188" t="str">
            <v>ซาติน เดรส แขนสั้น กุหลาบ พื้นขาว ปกชมพู 3XL</v>
          </cell>
        </row>
        <row r="3189">
          <cell r="A3189" t="str">
            <v>SK0800-L</v>
          </cell>
          <cell r="B3189" t="str">
            <v>K800</v>
          </cell>
          <cell r="C3189" t="str">
            <v>ซาติน เดรส แขนสั้น กุหลาบ พื้นขาว ปกชมพู L</v>
          </cell>
        </row>
        <row r="3190">
          <cell r="A3190" t="str">
            <v>SK0800-M</v>
          </cell>
          <cell r="B3190" t="str">
            <v>K800</v>
          </cell>
          <cell r="C3190" t="str">
            <v>ซาติน เดรส แขนสั้น กุหลาบ พื้นขาว ปกชมพู M</v>
          </cell>
        </row>
        <row r="3191">
          <cell r="A3191" t="str">
            <v>SK0800-XL</v>
          </cell>
          <cell r="B3191" t="str">
            <v>K800</v>
          </cell>
          <cell r="C3191" t="str">
            <v>ซาติน เดรส แขนสั้น กุหลาบ พื้นขาว ปกชมพู XL</v>
          </cell>
        </row>
        <row r="3192">
          <cell r="A3192" t="str">
            <v>SK0803-F</v>
          </cell>
          <cell r="B3192" t="str">
            <v>K803</v>
          </cell>
          <cell r="C3192" t="str">
            <v>ซาติน เดรส แขนสั้น Mini Black Heart F</v>
          </cell>
        </row>
        <row r="3193">
          <cell r="A3193" t="str">
            <v>SK0808-2XL</v>
          </cell>
          <cell r="B3193" t="str">
            <v>K808</v>
          </cell>
          <cell r="C3193" t="str">
            <v>ซาติน เดรส แขนสั้น tulip ม่วง 2XL</v>
          </cell>
        </row>
        <row r="3194">
          <cell r="A3194" t="str">
            <v>SK0808-3XL</v>
          </cell>
          <cell r="B3194" t="str">
            <v>K808</v>
          </cell>
          <cell r="C3194" t="str">
            <v>ซาติน เดรส แขนสั้น tulip ม่วง 3XL</v>
          </cell>
        </row>
        <row r="3195">
          <cell r="A3195" t="str">
            <v>SK0808-L</v>
          </cell>
          <cell r="B3195" t="str">
            <v>K808</v>
          </cell>
          <cell r="C3195" t="str">
            <v>ซาติน เดรส แขนสั้น tulip ม่วง L</v>
          </cell>
        </row>
        <row r="3196">
          <cell r="A3196" t="str">
            <v>SK0808-M</v>
          </cell>
          <cell r="B3196" t="str">
            <v>K808</v>
          </cell>
          <cell r="C3196" t="str">
            <v>ซาติน เดรส แขนสั้น tulip ม่วง M</v>
          </cell>
        </row>
        <row r="3197">
          <cell r="A3197" t="str">
            <v>SK0808-S</v>
          </cell>
          <cell r="B3197" t="str">
            <v>K808</v>
          </cell>
          <cell r="C3197" t="str">
            <v>ซาติน เดรส แขนสั้น tulip ม่วง S</v>
          </cell>
        </row>
        <row r="3198">
          <cell r="A3198" t="str">
            <v>SK0808-XL</v>
          </cell>
          <cell r="B3198" t="str">
            <v>K808</v>
          </cell>
          <cell r="C3198" t="str">
            <v>ซาติน เดรส แขนสั้น tulip ม่วง XL</v>
          </cell>
        </row>
        <row r="3199">
          <cell r="A3199" t="str">
            <v>SK0813-2XL</v>
          </cell>
          <cell r="B3199" t="str">
            <v>K813</v>
          </cell>
          <cell r="C3199" t="str">
            <v>ซาติน เดรส แขนยาว ดอกโสน พื้นฟ้า 2XL</v>
          </cell>
        </row>
        <row r="3200">
          <cell r="A3200" t="str">
            <v>SK0813-3XL</v>
          </cell>
          <cell r="B3200" t="str">
            <v>K813</v>
          </cell>
          <cell r="C3200" t="str">
            <v>ซาติน เดรส แขนยาว ดอกโสน พื้นฟ้า 3XL</v>
          </cell>
        </row>
        <row r="3201">
          <cell r="A3201" t="str">
            <v>SK0813-L</v>
          </cell>
          <cell r="B3201" t="str">
            <v>K813</v>
          </cell>
          <cell r="C3201" t="str">
            <v>ซาติน เดรส แขนยาว ดอกโสน พื้นฟ้า L</v>
          </cell>
        </row>
        <row r="3202">
          <cell r="A3202" t="str">
            <v>SK0813-M</v>
          </cell>
          <cell r="B3202" t="str">
            <v>K813</v>
          </cell>
          <cell r="C3202" t="str">
            <v>ซาติน เดรส แขนยาว ดอกโสน พื้นฟ้า M</v>
          </cell>
        </row>
        <row r="3203">
          <cell r="A3203" t="str">
            <v>SK0813-XL</v>
          </cell>
          <cell r="B3203" t="str">
            <v>K813</v>
          </cell>
          <cell r="C3203" t="str">
            <v>ซาติน เดรส แขนยาว ดอกโสน พื้นฟ้า XL</v>
          </cell>
        </row>
        <row r="3204">
          <cell r="A3204" t="str">
            <v>SK0818-2XL</v>
          </cell>
          <cell r="B3204" t="str">
            <v>K818</v>
          </cell>
          <cell r="C3204" t="str">
            <v>ซาติน เดรสแขนสั้น Royal Green Art 2XL</v>
          </cell>
        </row>
        <row r="3205">
          <cell r="A3205" t="str">
            <v>SK0818-3XL</v>
          </cell>
          <cell r="B3205" t="str">
            <v>K818</v>
          </cell>
          <cell r="C3205" t="str">
            <v>ซาติน เดรสแขนสั้น Royal Green Art 3XL</v>
          </cell>
        </row>
        <row r="3206">
          <cell r="A3206" t="str">
            <v>SK0818-L</v>
          </cell>
          <cell r="B3206" t="str">
            <v>K818</v>
          </cell>
          <cell r="C3206" t="str">
            <v>ซาติน เดรสแขนสั้น Royal Green Art L</v>
          </cell>
        </row>
        <row r="3207">
          <cell r="A3207" t="str">
            <v>SK0818-M</v>
          </cell>
          <cell r="B3207" t="str">
            <v>K818</v>
          </cell>
          <cell r="C3207" t="str">
            <v>ซาติน เดรสแขนสั้น Royal Green Art M</v>
          </cell>
        </row>
        <row r="3208">
          <cell r="A3208" t="str">
            <v>SK0818-S</v>
          </cell>
          <cell r="B3208" t="str">
            <v>K818</v>
          </cell>
          <cell r="C3208" t="str">
            <v>ซาติน เดรสแขนสั้น Royal Green Art S</v>
          </cell>
        </row>
        <row r="3209">
          <cell r="A3209" t="str">
            <v>SK0818-XL</v>
          </cell>
          <cell r="B3209" t="str">
            <v>K818</v>
          </cell>
          <cell r="C3209" t="str">
            <v>ซาติน เดรสแขนสั้น Royal Green Art XL</v>
          </cell>
        </row>
        <row r="3210">
          <cell r="A3210" t="str">
            <v>SK0819-2XL</v>
          </cell>
          <cell r="B3210" t="str">
            <v>K819</v>
          </cell>
          <cell r="C3210" t="str">
            <v>ซาติน เดรส แขนสั้น กางเกง ดอกมะลิ พื้นฟ้า 2XL</v>
          </cell>
        </row>
        <row r="3211">
          <cell r="A3211" t="str">
            <v>SK0819-4XL</v>
          </cell>
          <cell r="B3211" t="str">
            <v>K819</v>
          </cell>
          <cell r="C3211" t="str">
            <v>ซาติน เดรส แขนสั้น กางเกง ดอกมะลิ พื้นฟ้า 4XL</v>
          </cell>
        </row>
        <row r="3212">
          <cell r="A3212" t="str">
            <v>SK0819-L</v>
          </cell>
          <cell r="B3212" t="str">
            <v>K819</v>
          </cell>
          <cell r="C3212" t="str">
            <v>ซาติน เดรส แขนสั้น กางเกง ดอกมะลิ พื้นฟ้า L</v>
          </cell>
        </row>
        <row r="3213">
          <cell r="A3213" t="str">
            <v>SK0819-M</v>
          </cell>
          <cell r="B3213" t="str">
            <v>K819</v>
          </cell>
          <cell r="C3213" t="str">
            <v>ซาติน เดรส แขนสั้น กางเกง ดอกมะลิ พื้นฟ้า M</v>
          </cell>
        </row>
        <row r="3214">
          <cell r="A3214" t="str">
            <v>SK0819-XL</v>
          </cell>
          <cell r="B3214" t="str">
            <v>K819</v>
          </cell>
          <cell r="C3214" t="str">
            <v>ซาติน เดรส แขนสั้น กางเกง ดอกมะลิ พื้นฟ้า XL</v>
          </cell>
        </row>
        <row r="3215">
          <cell r="A3215" t="str">
            <v>SK0820-2XL</v>
          </cell>
          <cell r="B3215" t="str">
            <v>K820</v>
          </cell>
          <cell r="C3215" t="str">
            <v>ซาติน เดรส แขนสั้น กางเกง Blue Lotus 2XL</v>
          </cell>
        </row>
        <row r="3216">
          <cell r="A3216" t="str">
            <v>SK0820-4XL</v>
          </cell>
          <cell r="B3216" t="str">
            <v>K820</v>
          </cell>
          <cell r="C3216" t="str">
            <v>ซาติน เดรส แขนสั้น กางเกง Blue Lotus 4XL</v>
          </cell>
        </row>
        <row r="3217">
          <cell r="A3217" t="str">
            <v>SK0820-L</v>
          </cell>
          <cell r="B3217" t="str">
            <v>K820</v>
          </cell>
          <cell r="C3217" t="str">
            <v>ซาติน เดรส แขนสั้น กางเกง Blue Lotus L</v>
          </cell>
        </row>
        <row r="3218">
          <cell r="A3218" t="str">
            <v>SK0820-M</v>
          </cell>
          <cell r="B3218" t="str">
            <v>K820</v>
          </cell>
          <cell r="C3218" t="str">
            <v>ซาติน เดรส แขนสั้น กางเกง Blue Lotus M</v>
          </cell>
        </row>
        <row r="3219">
          <cell r="A3219" t="str">
            <v>SK0820-XL</v>
          </cell>
          <cell r="B3219" t="str">
            <v>K820</v>
          </cell>
          <cell r="C3219" t="str">
            <v>ซาติน เดรส แขนสั้น กางเกง Blue Lotus XL</v>
          </cell>
        </row>
        <row r="3220">
          <cell r="A3220" t="str">
            <v>SK0878-2XL</v>
          </cell>
          <cell r="B3220" t="str">
            <v>K878</v>
          </cell>
          <cell r="C3220" t="str">
            <v>ซาติน เดรส แขนสั้น กางเกง Romance Flowers 2XL</v>
          </cell>
        </row>
        <row r="3221">
          <cell r="A3221" t="str">
            <v>SK0878-3XL</v>
          </cell>
          <cell r="B3221" t="str">
            <v>K878</v>
          </cell>
          <cell r="C3221" t="str">
            <v>ซาติน เดรส แขนสั้น กางเกง Romance Flowers 3XL</v>
          </cell>
        </row>
        <row r="3222">
          <cell r="A3222" t="str">
            <v>SK0878-L</v>
          </cell>
          <cell r="B3222" t="str">
            <v>K878</v>
          </cell>
          <cell r="C3222" t="str">
            <v>ซาติน เดรส แขนสั้น กางเกง Romance Flowers L</v>
          </cell>
        </row>
        <row r="3223">
          <cell r="A3223" t="str">
            <v>SK0878-M</v>
          </cell>
          <cell r="B3223" t="str">
            <v>K878</v>
          </cell>
          <cell r="C3223" t="str">
            <v>ซาติน เดรส แขนสั้น กางเกง Romance Flowers M</v>
          </cell>
        </row>
        <row r="3224">
          <cell r="A3224" t="str">
            <v>SK0878-XL</v>
          </cell>
          <cell r="B3224" t="str">
            <v>K878</v>
          </cell>
          <cell r="C3224" t="str">
            <v>ซาติน เดรส แขนสั้น กางเกง Romance Flowers XL</v>
          </cell>
        </row>
        <row r="3225">
          <cell r="A3225" t="str">
            <v>SK0882-2XL</v>
          </cell>
          <cell r="B3225" t="str">
            <v>K882</v>
          </cell>
          <cell r="C3225" t="str">
            <v>ซาติน เดรส แขนสั้น กางเกง กุหลาบและผีเสื้อ พื้นครีม 2XL</v>
          </cell>
        </row>
        <row r="3226">
          <cell r="A3226" t="str">
            <v>SK0882-3XL</v>
          </cell>
          <cell r="B3226" t="str">
            <v>K882</v>
          </cell>
          <cell r="C3226" t="str">
            <v>ซาติน เดรส แขนสั้น กางเกง กุหลาบและผีเสื้อ พื้นครีม 3XL</v>
          </cell>
        </row>
        <row r="3227">
          <cell r="A3227" t="str">
            <v>SK0882-4XL</v>
          </cell>
          <cell r="B3227" t="str">
            <v>K882</v>
          </cell>
          <cell r="C3227" t="str">
            <v>ซาติน เดรส แขนสั้น กางเกง กุหลาบและผีเสื้อ พื้นครีม 4XL</v>
          </cell>
        </row>
        <row r="3228">
          <cell r="A3228" t="str">
            <v>SK0882-L</v>
          </cell>
          <cell r="B3228" t="str">
            <v>K882</v>
          </cell>
          <cell r="C3228" t="str">
            <v>ซาติน เดรส แขนสั้น กางเกง กุหลาบและผีเสื้อ พื้นครีม L</v>
          </cell>
        </row>
        <row r="3229">
          <cell r="A3229" t="str">
            <v>SK0882-M</v>
          </cell>
          <cell r="B3229" t="str">
            <v>K882</v>
          </cell>
          <cell r="C3229" t="str">
            <v>ซาติน เดรส แขนสั้น กางเกง กุหลาบและผีเสื้อ พื้นครีม M</v>
          </cell>
        </row>
        <row r="3230">
          <cell r="A3230" t="str">
            <v>SK0882-XL</v>
          </cell>
          <cell r="B3230" t="str">
            <v>K882</v>
          </cell>
          <cell r="C3230" t="str">
            <v>ซาติน เดรส แขนสั้น กางเกง กุหลาบและผีเสื้อ พื้นครีม XL</v>
          </cell>
        </row>
        <row r="3231">
          <cell r="A3231" t="str">
            <v>SK0884-2XL</v>
          </cell>
          <cell r="B3231" t="str">
            <v>K884</v>
          </cell>
          <cell r="C3231" t="str">
            <v>ซาติน เดรส แขนห้าส่วน กางเกง สวนดอกไม้ พื้นฟ้า 2XL</v>
          </cell>
        </row>
        <row r="3232">
          <cell r="A3232" t="str">
            <v>SK0884-3XL</v>
          </cell>
          <cell r="B3232" t="str">
            <v>K884</v>
          </cell>
          <cell r="C3232" t="str">
            <v>ซาติน เดรส แขนห้าส่วน กางเกง สวนดอกไม้ พื้นฟ้า 3XL</v>
          </cell>
        </row>
        <row r="3233">
          <cell r="A3233" t="str">
            <v>SK0884-4XL</v>
          </cell>
          <cell r="B3233" t="str">
            <v>K884</v>
          </cell>
          <cell r="C3233" t="str">
            <v>ซาติน เดรส แขนห้าส่วน กางเกง สวนดอกไม้ พื้นฟ้า 4XL</v>
          </cell>
        </row>
        <row r="3234">
          <cell r="A3234" t="str">
            <v>SK0884-L</v>
          </cell>
          <cell r="B3234" t="str">
            <v>K884</v>
          </cell>
          <cell r="C3234" t="str">
            <v>ซาติน เดรส แขนห้าส่วน กางเกง สวนดอกไม้ พื้นฟ้า L</v>
          </cell>
        </row>
        <row r="3235">
          <cell r="A3235" t="str">
            <v>SK0884-M</v>
          </cell>
          <cell r="B3235" t="str">
            <v>K884</v>
          </cell>
          <cell r="C3235" t="str">
            <v>ซาติน เดรส แขนห้าส่วน กางเกง สวนดอกไม้ พื้นฟ้า M</v>
          </cell>
        </row>
        <row r="3236">
          <cell r="A3236" t="str">
            <v>SK0884-XL</v>
          </cell>
          <cell r="B3236" t="str">
            <v>K884</v>
          </cell>
          <cell r="C3236" t="str">
            <v>ซาติน เดรส แขนห้าส่วน กางเกง สวนดอกไม้ พื้นฟ้า XL</v>
          </cell>
        </row>
        <row r="3237">
          <cell r="A3237" t="str">
            <v>SK0906-2XL</v>
          </cell>
          <cell r="B3237" t="str">
            <v>K906</v>
          </cell>
          <cell r="C3237" t="str">
            <v>ซาติน เดรส แขนสั้น ใบไม้ขาว พื้นดำ 2XL</v>
          </cell>
        </row>
        <row r="3238">
          <cell r="A3238" t="str">
            <v>SK0906-3XL</v>
          </cell>
          <cell r="B3238" t="str">
            <v>K906</v>
          </cell>
          <cell r="C3238" t="str">
            <v>ซาติน เดรส แขนสั้น ใบไม้ขาว พื้นดำ 3XL</v>
          </cell>
        </row>
        <row r="3239">
          <cell r="A3239" t="str">
            <v>SK0906-L</v>
          </cell>
          <cell r="B3239" t="str">
            <v>K906</v>
          </cell>
          <cell r="C3239" t="str">
            <v>ซาติน เดรส แขนสั้น ใบไม้ขาว พื้นดำ L</v>
          </cell>
        </row>
        <row r="3240">
          <cell r="A3240" t="str">
            <v>SK0906-M</v>
          </cell>
          <cell r="B3240" t="str">
            <v>K906</v>
          </cell>
          <cell r="C3240" t="str">
            <v>ซาติน เดรส แขนสั้น ใบไม้ขาว พื้นดำ M</v>
          </cell>
        </row>
        <row r="3241">
          <cell r="A3241" t="str">
            <v>SK0906-XL</v>
          </cell>
          <cell r="B3241" t="str">
            <v>K906</v>
          </cell>
          <cell r="C3241" t="str">
            <v>ซาติน เดรส แขนสั้น ใบไม้ขาว พื้นดำ XL</v>
          </cell>
        </row>
        <row r="3242">
          <cell r="A3242" t="str">
            <v>SK0911-L</v>
          </cell>
          <cell r="B3242" t="str">
            <v>K911</v>
          </cell>
          <cell r="C3242" t="str">
            <v>ซาติน เดรส แขนสั้น Dough Bear พื้นขาว L</v>
          </cell>
        </row>
        <row r="3243">
          <cell r="A3243" t="str">
            <v>SK0911-M</v>
          </cell>
          <cell r="B3243" t="str">
            <v>K911</v>
          </cell>
          <cell r="C3243" t="str">
            <v>ซาติน เดรส แขนสั้น Dough Bear พื้นขาว M</v>
          </cell>
        </row>
        <row r="3244">
          <cell r="A3244" t="str">
            <v>SK0912-L</v>
          </cell>
          <cell r="B3244" t="str">
            <v>K912</v>
          </cell>
          <cell r="C3244" t="str">
            <v>ซาติน เดรส แขนสั้น Dough Bear พื้นครีม L</v>
          </cell>
        </row>
        <row r="3245">
          <cell r="A3245" t="str">
            <v>SK0912-M</v>
          </cell>
          <cell r="B3245" t="str">
            <v>K912</v>
          </cell>
          <cell r="C3245" t="str">
            <v>ซาติน เดรส แขนสั้น Dough Bear พื้นครีม M</v>
          </cell>
        </row>
        <row r="3246">
          <cell r="A3246" t="str">
            <v>SK0935-2XL</v>
          </cell>
          <cell r="B3246" t="str">
            <v>K935</v>
          </cell>
          <cell r="C3246" t="str">
            <v>ซาติน เดรส แขนสั้น Cute old totoro 2XL</v>
          </cell>
        </row>
        <row r="3247">
          <cell r="A3247" t="str">
            <v>SK0935-3XL</v>
          </cell>
          <cell r="B3247" t="str">
            <v>K935</v>
          </cell>
          <cell r="C3247" t="str">
            <v>ซาติน เดรส แขนสั้น Cute old totoro 3XL</v>
          </cell>
        </row>
        <row r="3248">
          <cell r="A3248" t="str">
            <v>SK0935-L</v>
          </cell>
          <cell r="B3248" t="str">
            <v>K935</v>
          </cell>
          <cell r="C3248" t="str">
            <v>ซาติน เดรส แขนสั้น Cute old totoro L</v>
          </cell>
        </row>
        <row r="3249">
          <cell r="A3249" t="str">
            <v>SK0935-M</v>
          </cell>
          <cell r="B3249" t="str">
            <v>K935</v>
          </cell>
          <cell r="C3249" t="str">
            <v>ซาติน เดรส แขนสั้น Cute old totoro M</v>
          </cell>
        </row>
        <row r="3250">
          <cell r="A3250" t="str">
            <v>SK0935-XL</v>
          </cell>
          <cell r="B3250" t="str">
            <v>K935</v>
          </cell>
          <cell r="C3250" t="str">
            <v>ซาติน เดรส แขนสั้น Cute old totoro XL</v>
          </cell>
        </row>
        <row r="3251">
          <cell r="A3251" t="str">
            <v>SK0945-2XL</v>
          </cell>
          <cell r="B3251" t="str">
            <v>K945</v>
          </cell>
          <cell r="C3251" t="str">
            <v>ซาติน เดรส แขนสั้น พื้นกรม ดอกกุหลาบแดง กล้วยไม้ 2XL</v>
          </cell>
        </row>
        <row r="3252">
          <cell r="A3252" t="str">
            <v>SK0945-3XL</v>
          </cell>
          <cell r="B3252" t="str">
            <v>K945</v>
          </cell>
          <cell r="C3252" t="str">
            <v>ซาติน เดรส แขนสั้น พื้นกรม ดอกกุหลาบแดง กล้วยไม้ 3XL</v>
          </cell>
        </row>
        <row r="3253">
          <cell r="A3253" t="str">
            <v>SK0945-L</v>
          </cell>
          <cell r="B3253" t="str">
            <v>K945</v>
          </cell>
          <cell r="C3253" t="str">
            <v>ซาติน เดรส แขนสั้น พื้นกรม ดอกกุหลาบแดง กล้วยไม้ L</v>
          </cell>
        </row>
        <row r="3254">
          <cell r="A3254" t="str">
            <v>SK0945-M</v>
          </cell>
          <cell r="B3254" t="str">
            <v>K945</v>
          </cell>
          <cell r="C3254" t="str">
            <v>ซาติน เดรส แขนสั้น พื้นกรม ดอกกุหลาบแดง กล้วยไม้ M</v>
          </cell>
        </row>
        <row r="3255">
          <cell r="A3255" t="str">
            <v>SK0945-XL</v>
          </cell>
          <cell r="B3255" t="str">
            <v>K945</v>
          </cell>
          <cell r="C3255" t="str">
            <v>ซาติน เดรส แขนสั้น พื้นกรม ดอกกุหลาบแดง กล้วยไม้ XL</v>
          </cell>
        </row>
        <row r="3256">
          <cell r="A3256" t="str">
            <v>SK0946-2XL</v>
          </cell>
          <cell r="B3256" t="str">
            <v>K946</v>
          </cell>
          <cell r="C3256" t="str">
            <v>ซาติน เดรส แขนสั้น เกสรดอกไม้ พื้นขาว 2XL</v>
          </cell>
        </row>
        <row r="3257">
          <cell r="A3257" t="str">
            <v>SK0946-3XL</v>
          </cell>
          <cell r="B3257" t="str">
            <v>K946</v>
          </cell>
          <cell r="C3257" t="str">
            <v>ซาติน เดรส แขนสั้น เกสรดอกไม้ พื้นขาว 3XL</v>
          </cell>
        </row>
        <row r="3258">
          <cell r="A3258" t="str">
            <v>SK0946-L</v>
          </cell>
          <cell r="B3258" t="str">
            <v>K946</v>
          </cell>
          <cell r="C3258" t="str">
            <v>ซาติน เดรส แขนสั้น เกสรดอกไม้ พื้นขาว L</v>
          </cell>
        </row>
        <row r="3259">
          <cell r="A3259" t="str">
            <v>SK0946-M</v>
          </cell>
          <cell r="B3259" t="str">
            <v>K946</v>
          </cell>
          <cell r="C3259" t="str">
            <v>ซาติน เดรส แขนสั้น เกสรดอกไม้ พื้นขาว M</v>
          </cell>
        </row>
        <row r="3260">
          <cell r="A3260" t="str">
            <v>SK0946-XL</v>
          </cell>
          <cell r="B3260" t="str">
            <v>K946</v>
          </cell>
          <cell r="C3260" t="str">
            <v>ซาติน เดรส แขนสั้น เกสรดอกไม้ พื้นขาว XL</v>
          </cell>
        </row>
        <row r="3261">
          <cell r="A3261" t="str">
            <v>SK0954-L</v>
          </cell>
          <cell r="B3261" t="str">
            <v>K954</v>
          </cell>
          <cell r="C3261" t="str">
            <v>ซาติน เดรส แขนยาว ตารางฟ้าขาว ผลไม้ L</v>
          </cell>
        </row>
        <row r="3262">
          <cell r="A3262" t="str">
            <v>SK0954-M</v>
          </cell>
          <cell r="B3262" t="str">
            <v>K954</v>
          </cell>
          <cell r="C3262" t="str">
            <v>ซาติน เดรส แขนยาว ตารางฟ้าขาว ผลไม้ M</v>
          </cell>
        </row>
        <row r="3263">
          <cell r="A3263" t="str">
            <v>SKSK006-L</v>
          </cell>
          <cell r="B3263" t="str">
            <v>K6</v>
          </cell>
        </row>
        <row r="3264">
          <cell r="A3264" t="str">
            <v>SL0001-2XL</v>
          </cell>
          <cell r="B3264" t="str">
            <v>L1</v>
          </cell>
          <cell r="C3264" t="str">
            <v>ซาติน สี่ส่วน พื้นเขียวมินท์ ลูกไม้ 2XL</v>
          </cell>
        </row>
        <row r="3265">
          <cell r="A3265" t="str">
            <v>SL0001-L</v>
          </cell>
          <cell r="B3265" t="str">
            <v>L1</v>
          </cell>
          <cell r="C3265" t="str">
            <v>ซาติน สี่ส่วน พื้นเขียวมินท์ ลูกไม้ L</v>
          </cell>
        </row>
        <row r="3266">
          <cell r="A3266" t="str">
            <v>SL0001-M</v>
          </cell>
          <cell r="B3266" t="str">
            <v>L1</v>
          </cell>
          <cell r="C3266" t="str">
            <v>ซาติน สี่ส่วน พื้นเขียวมินท์ ลูกไม้ M</v>
          </cell>
        </row>
        <row r="3267">
          <cell r="A3267" t="str">
            <v>SL0001-XL</v>
          </cell>
          <cell r="B3267" t="str">
            <v>L1</v>
          </cell>
          <cell r="C3267" t="str">
            <v>ซาติน สี่ส่วน พื้นเขียวมินท์ ลูกไม้ XL</v>
          </cell>
        </row>
        <row r="3268">
          <cell r="A3268" t="str">
            <v>SL0002-2XL</v>
          </cell>
          <cell r="B3268" t="str">
            <v>L2</v>
          </cell>
          <cell r="C3268" t="str">
            <v>ซาติน สี่ส่วน พื้นกรม ลูกไม้ 2XL</v>
          </cell>
        </row>
        <row r="3269">
          <cell r="A3269" t="str">
            <v>SL0002-L</v>
          </cell>
          <cell r="B3269" t="str">
            <v>L2</v>
          </cell>
          <cell r="C3269" t="str">
            <v>ซาติน สี่ส่วน พื้นกรม ลูกไม้ L</v>
          </cell>
        </row>
        <row r="3270">
          <cell r="A3270" t="str">
            <v>SL0002-M</v>
          </cell>
          <cell r="B3270" t="str">
            <v>L2</v>
          </cell>
          <cell r="C3270" t="str">
            <v>ซาติน สี่ส่วน พื้นกรม ลูกไม้ M</v>
          </cell>
        </row>
        <row r="3271">
          <cell r="A3271" t="str">
            <v>SL0002-XL</v>
          </cell>
          <cell r="B3271" t="str">
            <v>L2</v>
          </cell>
          <cell r="C3271" t="str">
            <v>ซาติน สี่ส่วน พื้นกรม ลูกไม้ XL</v>
          </cell>
        </row>
        <row r="3272">
          <cell r="A3272" t="str">
            <v>SL0003-2XL</v>
          </cell>
          <cell r="B3272" t="str">
            <v>JL3</v>
          </cell>
          <cell r="C3272" t="str">
            <v>ซาติน สี่ส่วน พื้นแดง ลูกไม้ 2XL ตัวโชว์</v>
          </cell>
        </row>
        <row r="3273">
          <cell r="A3273" t="str">
            <v>SL0003-L</v>
          </cell>
          <cell r="B3273" t="str">
            <v>JL3</v>
          </cell>
          <cell r="C3273" t="str">
            <v>ซาติน สี่ส่วน พื้นแดง ลูกไม้ L ตัวโชว์</v>
          </cell>
        </row>
        <row r="3274">
          <cell r="A3274" t="str">
            <v>SL0003-M</v>
          </cell>
          <cell r="B3274" t="str">
            <v>JL3</v>
          </cell>
          <cell r="C3274" t="str">
            <v>ซาติน สี่ส่วน พื้นแดง ลูกไม้ M ตัวโชว์</v>
          </cell>
        </row>
        <row r="3275">
          <cell r="A3275" t="str">
            <v>SL0003-XL</v>
          </cell>
          <cell r="B3275" t="str">
            <v>L3</v>
          </cell>
          <cell r="C3275" t="str">
            <v>ซาติน สี่ส่วน พื้นแดง ลูกไม้ XL</v>
          </cell>
        </row>
        <row r="3276">
          <cell r="A3276" t="str">
            <v>SL0004-2XL</v>
          </cell>
          <cell r="B3276" t="str">
            <v>L4</v>
          </cell>
          <cell r="C3276" t="str">
            <v>ซาติน สี่ส่วน พื้นม่วงอ่อน ลูกไม้ 2XL</v>
          </cell>
        </row>
        <row r="3277">
          <cell r="A3277" t="str">
            <v>SL0004-L</v>
          </cell>
          <cell r="B3277" t="str">
            <v>L4</v>
          </cell>
          <cell r="C3277" t="str">
            <v>ซาติน สี่ส่วน พื้นม่วงอ่อน ลูกไม้ L</v>
          </cell>
        </row>
        <row r="3278">
          <cell r="A3278" t="str">
            <v>SL0004-M</v>
          </cell>
          <cell r="B3278" t="str">
            <v>L4</v>
          </cell>
          <cell r="C3278" t="str">
            <v>ซาติน สี่ส่วน พื้นม่วงอ่อน ลูกไม้ M</v>
          </cell>
        </row>
        <row r="3279">
          <cell r="A3279" t="str">
            <v>SL0004-XL</v>
          </cell>
          <cell r="B3279" t="str">
            <v>L4</v>
          </cell>
          <cell r="C3279" t="str">
            <v>ซาติน สี่ส่วน พื้นม่วงอ่อน ลูกไม้ XL</v>
          </cell>
        </row>
        <row r="3280">
          <cell r="A3280" t="str">
            <v>SL0005-2XL</v>
          </cell>
          <cell r="B3280" t="str">
            <v>L5</v>
          </cell>
          <cell r="C3280" t="str">
            <v>ซาติน สี่ส่วน พื้นชมพูอ่อน ลูกไม้ 2XL</v>
          </cell>
        </row>
        <row r="3281">
          <cell r="A3281" t="str">
            <v>SL0005-L</v>
          </cell>
          <cell r="B3281" t="str">
            <v>L5</v>
          </cell>
          <cell r="C3281" t="str">
            <v>ซาติน สี่ส่วน พื้นชมพูอ่อน ลูกไม้ L</v>
          </cell>
        </row>
        <row r="3282">
          <cell r="A3282" t="str">
            <v>SL0005-M</v>
          </cell>
          <cell r="B3282" t="str">
            <v>L5</v>
          </cell>
          <cell r="C3282" t="str">
            <v>ซาติน สี่ส่วน พื้นชมพูอ่อน ลูกไม้ M</v>
          </cell>
        </row>
        <row r="3283">
          <cell r="A3283" t="str">
            <v>SL0005-XL</v>
          </cell>
          <cell r="B3283" t="str">
            <v>L5</v>
          </cell>
          <cell r="C3283" t="str">
            <v>ซาติน สี่ส่วน พื้นชมพูอ่อน ลูกไม้ XL</v>
          </cell>
        </row>
        <row r="3284">
          <cell r="A3284" t="str">
            <v>SL0006-2XL</v>
          </cell>
          <cell r="B3284" t="str">
            <v>L6</v>
          </cell>
          <cell r="C3284" t="str">
            <v>ซาติน แขนสั้นขาสี่ส่วน Pancake And Flowers 2XL (กปก)</v>
          </cell>
        </row>
        <row r="3285">
          <cell r="A3285" t="str">
            <v>SL0006-3XL</v>
          </cell>
          <cell r="B3285" t="str">
            <v>L6</v>
          </cell>
          <cell r="C3285" t="str">
            <v>ซาติน แขนสั้นขาสี่ส่วน Pancake And Flowers 3XL (กปก)</v>
          </cell>
        </row>
        <row r="3286">
          <cell r="A3286" t="str">
            <v>SL0006-L</v>
          </cell>
          <cell r="B3286" t="str">
            <v>L6</v>
          </cell>
          <cell r="C3286" t="str">
            <v>ซาติน แขนสั้นขาสี่ส่วน Pancake And Flowers L (กปก)</v>
          </cell>
        </row>
        <row r="3287">
          <cell r="A3287" t="str">
            <v>SL0006-M</v>
          </cell>
          <cell r="B3287" t="str">
            <v>L6</v>
          </cell>
          <cell r="C3287" t="str">
            <v>ซาติน แขนสั้นขาสี่ส่วน Pancake And Flowers M (กปก)</v>
          </cell>
        </row>
        <row r="3288">
          <cell r="A3288" t="str">
            <v>SL0006-XL</v>
          </cell>
          <cell r="B3288" t="str">
            <v>L6</v>
          </cell>
          <cell r="C3288" t="str">
            <v>ซาติน แขนสั้นขาสี่ส่วน Pancake And Flowers XL (กปก)</v>
          </cell>
        </row>
        <row r="3289">
          <cell r="A3289" t="str">
            <v>SL0007-2XL</v>
          </cell>
          <cell r="B3289" t="str">
            <v>L7</v>
          </cell>
          <cell r="C3289" t="str">
            <v>ซาติน แขนสั้นขาสี่ส่วน ควีน สตรอเบอร์รี่ พื้นชมพู 2XL (กปก)</v>
          </cell>
        </row>
        <row r="3290">
          <cell r="A3290" t="str">
            <v>SL0007-3XL</v>
          </cell>
          <cell r="B3290" t="str">
            <v>L7</v>
          </cell>
          <cell r="C3290" t="str">
            <v>ซาติน แขนสั้นขาสี่ส่วน ควีน สตรอเบอร์รี่ พื้นชมพู 3XL (กปก)</v>
          </cell>
        </row>
        <row r="3291">
          <cell r="A3291" t="str">
            <v>SL0007-L</v>
          </cell>
          <cell r="B3291" t="str">
            <v>L7</v>
          </cell>
          <cell r="C3291" t="str">
            <v>ซาติน แขนสั้นขาสี่ส่วน ควีน สตรอเบอร์รี่ พื้นชมพู L (กปก)</v>
          </cell>
        </row>
        <row r="3292">
          <cell r="A3292" t="str">
            <v>SL0007-M</v>
          </cell>
          <cell r="B3292" t="str">
            <v>L7</v>
          </cell>
          <cell r="C3292" t="str">
            <v>ซาติน แขนสั้นขาสี่ส่วน ควีน สตรอเบอร์รี่ พื้นชมพู M (กปก)</v>
          </cell>
        </row>
        <row r="3293">
          <cell r="A3293" t="str">
            <v>SL0007-XL</v>
          </cell>
          <cell r="B3293" t="str">
            <v>L7</v>
          </cell>
          <cell r="C3293" t="str">
            <v>ซาติน แขนสั้นขาสี่ส่วน ควีน สตรอเบอร์รี่ พื้นชมพู XL (กปก)</v>
          </cell>
        </row>
        <row r="3294">
          <cell r="A3294" t="str">
            <v>SL0035-2XL</v>
          </cell>
          <cell r="B3294" t="str">
            <v>JL35</v>
          </cell>
          <cell r="C3294" t="str">
            <v>ซาติน แขนสั้นขาสี่ส่วน ฟรุตตี้ 2XL (กปก)</v>
          </cell>
        </row>
        <row r="3295">
          <cell r="A3295" t="str">
            <v>SL0035-L</v>
          </cell>
          <cell r="B3295" t="str">
            <v>L35</v>
          </cell>
          <cell r="C3295" t="str">
            <v>ซาติน แขนสั้นขาสี่ส่วน ฟรุตตี้ L (กปก)</v>
          </cell>
        </row>
        <row r="3296">
          <cell r="A3296" t="str">
            <v>SL0035-M</v>
          </cell>
          <cell r="B3296" t="str">
            <v>JL35</v>
          </cell>
          <cell r="C3296" t="str">
            <v>ซาติน แขนสั้นขาสี่ส่วน ฟรุตตี้ M (กปก) ตัวโชว์</v>
          </cell>
        </row>
        <row r="3297">
          <cell r="A3297" t="str">
            <v>SL0035-XL</v>
          </cell>
          <cell r="B3297" t="str">
            <v>JL35</v>
          </cell>
          <cell r="C3297" t="str">
            <v>ซาติน แขนสั้นขาสี่ส่วน ฟรุตตี้ XL (กปก) ตัวโชว์</v>
          </cell>
        </row>
        <row r="3298">
          <cell r="A3298" t="str">
            <v>SL0128-2XL</v>
          </cell>
          <cell r="B3298" t="str">
            <v>L128</v>
          </cell>
          <cell r="C3298" t="str">
            <v>ซาติน แขนสั้นขาสี่ส่วน ผีเสื้อดอกไม้ เขียว 2XL (กปก)</v>
          </cell>
        </row>
        <row r="3299">
          <cell r="A3299" t="str">
            <v>SL0128-3XL</v>
          </cell>
          <cell r="B3299" t="str">
            <v>L128</v>
          </cell>
          <cell r="C3299" t="str">
            <v>ซาติน แขนสั้นขาสี่ส่วน ผีเสื้อดอกไม้ เขียว 3XL (กปก)</v>
          </cell>
        </row>
        <row r="3300">
          <cell r="A3300" t="str">
            <v>SL0128-L</v>
          </cell>
          <cell r="B3300" t="str">
            <v>L128</v>
          </cell>
          <cell r="C3300" t="str">
            <v>ซาติน แขนสั้นขาสี่ส่วน ผีเสื้อดอกไม้ เขียว L (กปก)</v>
          </cell>
        </row>
        <row r="3301">
          <cell r="A3301" t="str">
            <v>SL0128-M</v>
          </cell>
          <cell r="B3301" t="str">
            <v>L128</v>
          </cell>
          <cell r="C3301" t="str">
            <v>ซาติน แขนสั้นขาสี่ส่วน ผีเสื้อดอกไม้ เขียว M (กปก)</v>
          </cell>
        </row>
        <row r="3302">
          <cell r="A3302" t="str">
            <v>SL0128-XL</v>
          </cell>
          <cell r="B3302" t="str">
            <v>L128</v>
          </cell>
          <cell r="C3302" t="str">
            <v>ซาติน แขนสั้นขาสี่ส่วน ผีเสื้อดอกไม้ เขียว XL (กปก)</v>
          </cell>
        </row>
        <row r="3303">
          <cell r="A3303" t="str">
            <v>SL0237-2XL</v>
          </cell>
          <cell r="B3303" t="str">
            <v>L237</v>
          </cell>
          <cell r="C3303" t="str">
            <v>ซาติน แขนสั้นขาสี่ส่วน ภาพวาด 2XL (กปก)</v>
          </cell>
        </row>
        <row r="3304">
          <cell r="A3304" t="str">
            <v>SL0237-L</v>
          </cell>
          <cell r="B3304" t="str">
            <v>L237</v>
          </cell>
          <cell r="C3304" t="str">
            <v>ซาติน แขนสั้นขาสี่ส่วน ภาพวาด L (กปก)</v>
          </cell>
        </row>
        <row r="3305">
          <cell r="A3305" t="str">
            <v>SL0237-M</v>
          </cell>
          <cell r="B3305" t="str">
            <v>L237</v>
          </cell>
          <cell r="C3305" t="str">
            <v>ซาติน แขนสั้นขาสี่ส่วน ภาพวาด M (กปก)</v>
          </cell>
        </row>
        <row r="3306">
          <cell r="A3306" t="str">
            <v>SL0237-XL</v>
          </cell>
          <cell r="B3306" t="str">
            <v>L237</v>
          </cell>
          <cell r="C3306" t="str">
            <v>ซาติน แขนสั้นขาสี่ส่วน ภาพวาด XL (กปก)</v>
          </cell>
        </row>
        <row r="3307">
          <cell r="A3307" t="str">
            <v>SL0320-2XL</v>
          </cell>
          <cell r="B3307" t="str">
            <v>L320</v>
          </cell>
          <cell r="C3307" t="str">
            <v>ซาติน แขนสั้นขาสี่ส่วน ลายมะพร้าว สีพาสเทล 2XL (กปก)</v>
          </cell>
        </row>
        <row r="3308">
          <cell r="A3308" t="str">
            <v>SL0320-3XL</v>
          </cell>
          <cell r="B3308" t="str">
            <v>L320</v>
          </cell>
          <cell r="C3308" t="str">
            <v>ซาติน แขนสั้นขาสี่ส่วน ลายมะพร้าว สีพาสเทล 3XL (กปก)</v>
          </cell>
        </row>
        <row r="3309">
          <cell r="A3309" t="str">
            <v>SL0320-L</v>
          </cell>
          <cell r="B3309" t="str">
            <v>L320</v>
          </cell>
          <cell r="C3309" t="str">
            <v>ซาติน แขนสั้นขาสี่ส่วน ลายมะพร้าว สีพาสเทล L (กปก)</v>
          </cell>
        </row>
        <row r="3310">
          <cell r="A3310" t="str">
            <v>SL0320-M</v>
          </cell>
          <cell r="B3310" t="str">
            <v>L320</v>
          </cell>
          <cell r="C3310" t="str">
            <v>ซาติน แขนสั้นขาสี่ส่วน ลายมะพร้าว สีพาสเทล M (กปก)</v>
          </cell>
        </row>
        <row r="3311">
          <cell r="A3311" t="str">
            <v>SL0320-XL</v>
          </cell>
          <cell r="B3311" t="str">
            <v>L320</v>
          </cell>
          <cell r="C3311" t="str">
            <v>ซาติน แขนสั้นขาสี่ส่วน ลายมะพร้าว สีพาสเทล XL (กปก)</v>
          </cell>
        </row>
        <row r="3312">
          <cell r="A3312" t="str">
            <v>SL0326-2XL</v>
          </cell>
          <cell r="B3312" t="str">
            <v>L326</v>
          </cell>
          <cell r="C3312" t="str">
            <v>ซาติน แขนสั้นขาสี่ส่วน แคนวาส พื้นครีม 2XL กปก</v>
          </cell>
        </row>
        <row r="3313">
          <cell r="A3313" t="str">
            <v>SL0326-3XL</v>
          </cell>
          <cell r="B3313" t="str">
            <v>L326</v>
          </cell>
          <cell r="C3313" t="str">
            <v>ซาติน แขนสั้นขาสี่ส่วน แคนวาส พื้นครีม 3XL กปก</v>
          </cell>
        </row>
        <row r="3314">
          <cell r="A3314" t="str">
            <v>SL0326-L</v>
          </cell>
          <cell r="B3314" t="str">
            <v>L326</v>
          </cell>
          <cell r="C3314" t="str">
            <v>ซาติน แขนสั้นขาสี่ส่วน แคนวาส พื้นครีม L กปก</v>
          </cell>
        </row>
        <row r="3315">
          <cell r="A3315" t="str">
            <v>SL0326-M</v>
          </cell>
          <cell r="B3315" t="str">
            <v>L326</v>
          </cell>
          <cell r="C3315" t="str">
            <v>ซาติน แขนสั้นขาสี่ส่วน แคนวาส พื้นครีม M กปก</v>
          </cell>
        </row>
        <row r="3316">
          <cell r="A3316" t="str">
            <v>SL0326-XL</v>
          </cell>
          <cell r="B3316" t="str">
            <v>L326</v>
          </cell>
          <cell r="C3316" t="str">
            <v>ซาติน แขนสั้นขาสี่ส่วน แคนวาส พื้นครีม XL กปก</v>
          </cell>
        </row>
        <row r="3317">
          <cell r="A3317" t="str">
            <v>SL0330-2XL</v>
          </cell>
          <cell r="B3317" t="str">
            <v>L330</v>
          </cell>
          <cell r="C3317" t="str">
            <v>ซาติน แขนสั้นขาสี่ส่วน ปีกัสโซ่ 2XL (กปก)</v>
          </cell>
        </row>
        <row r="3318">
          <cell r="A3318" t="str">
            <v>SL0330-3XL</v>
          </cell>
          <cell r="B3318" t="str">
            <v>L330</v>
          </cell>
          <cell r="C3318" t="str">
            <v>ซาติน แขนสั้นขาสี่ส่วน ปีกัสโซ่ 3XL (กปก)</v>
          </cell>
        </row>
        <row r="3319">
          <cell r="A3319" t="str">
            <v>SL0330-L</v>
          </cell>
          <cell r="B3319" t="str">
            <v>L330</v>
          </cell>
          <cell r="C3319" t="str">
            <v>ซาติน แขนสั้นขาสี่ส่วน ปีกัสโซ่ L (กปก)</v>
          </cell>
        </row>
        <row r="3320">
          <cell r="A3320" t="str">
            <v>SL0330-M</v>
          </cell>
          <cell r="B3320" t="str">
            <v>L330</v>
          </cell>
          <cell r="C3320" t="str">
            <v>ซาติน แขนสั้นขาสี่ส่วน ปีกัสโซ่ M (กปก)</v>
          </cell>
        </row>
        <row r="3321">
          <cell r="A3321" t="str">
            <v>SL0330-XL</v>
          </cell>
          <cell r="B3321" t="str">
            <v>L330</v>
          </cell>
          <cell r="C3321" t="str">
            <v>ซาติน แขนสั้นขาสี่ส่วน ปีกัสโซ่ XL (กปก)</v>
          </cell>
        </row>
        <row r="3322">
          <cell r="A3322" t="str">
            <v>SL0333-2XL</v>
          </cell>
          <cell r="B3322" t="str">
            <v>BL333</v>
          </cell>
          <cell r="C3322" t="str">
            <v>ซาติน แขนสั้นขาสี่ส่วน ชมพู นู้ด 2XL (กปก)</v>
          </cell>
        </row>
        <row r="3323">
          <cell r="A3323" t="str">
            <v>SL0333-L</v>
          </cell>
          <cell r="B3323" t="str">
            <v>BL333</v>
          </cell>
          <cell r="C3323" t="str">
            <v>ซาติน แขนสั้นขาสี่ส่วน ชมพู นู้ด L (กปก)</v>
          </cell>
        </row>
        <row r="3324">
          <cell r="A3324" t="str">
            <v>SL0333-M</v>
          </cell>
          <cell r="B3324" t="str">
            <v>L333</v>
          </cell>
          <cell r="C3324" t="str">
            <v>ซาติน แขนสั้นขาสี่ส่วน ชมพู นู้ด M (กปก)</v>
          </cell>
        </row>
        <row r="3325">
          <cell r="A3325" t="str">
            <v>SL0333-XL</v>
          </cell>
          <cell r="B3325" t="str">
            <v>L333</v>
          </cell>
          <cell r="C3325" t="str">
            <v>ซาติน แขนสั้นขาสี่ส่วน ชมพู นู้ด XL (กปก)</v>
          </cell>
        </row>
        <row r="3326">
          <cell r="A3326" t="str">
            <v>SL0334-2XL</v>
          </cell>
          <cell r="B3326" t="str">
            <v>L334</v>
          </cell>
          <cell r="C3326" t="str">
            <v>ซาติน แขนสั้นขาสี่ส่วน สีกรมเข้ม 2XL (กปก)</v>
          </cell>
        </row>
        <row r="3327">
          <cell r="A3327" t="str">
            <v>SL0334-L</v>
          </cell>
          <cell r="B3327" t="str">
            <v>L334</v>
          </cell>
          <cell r="C3327" t="str">
            <v>ซาติน แขนสั้นขาสี่ส่วน สีกรมเข้ม L (กปก)</v>
          </cell>
        </row>
        <row r="3328">
          <cell r="A3328" t="str">
            <v>SL0334-M</v>
          </cell>
          <cell r="B3328" t="str">
            <v>L334</v>
          </cell>
          <cell r="C3328" t="str">
            <v>ซาติน แขนสั้นขาสี่ส่วน สีกรมเข้ม M (กปก)</v>
          </cell>
        </row>
        <row r="3329">
          <cell r="A3329" t="str">
            <v>SL0334-XL</v>
          </cell>
          <cell r="B3329" t="str">
            <v>L334</v>
          </cell>
          <cell r="C3329" t="str">
            <v>ซาติน แขนสั้นขาสี่ส่วน สีกรมเข้ม XL (กปก)</v>
          </cell>
        </row>
        <row r="3330">
          <cell r="A3330" t="str">
            <v>SL0347-2XL</v>
          </cell>
          <cell r="B3330" t="str">
            <v>L347</v>
          </cell>
          <cell r="C3330" t="str">
            <v>ซาติน แขนสั้นขาสี่ส่วน Coral Sea 2XL (กปก)</v>
          </cell>
        </row>
        <row r="3331">
          <cell r="A3331" t="str">
            <v>SL0347-3XL</v>
          </cell>
          <cell r="B3331" t="str">
            <v>L347</v>
          </cell>
          <cell r="C3331" t="str">
            <v>ซาติน แขนสั้นขาสี่ส่วน Coral Sea 3XL (กปก)</v>
          </cell>
        </row>
        <row r="3332">
          <cell r="A3332" t="str">
            <v>SL0347-L</v>
          </cell>
          <cell r="B3332" t="str">
            <v>L347</v>
          </cell>
          <cell r="C3332" t="str">
            <v>ซาติน แขนสั้นขาสี่ส่วน Coral Sea L (กปก)</v>
          </cell>
        </row>
        <row r="3333">
          <cell r="A3333" t="str">
            <v>SL0347-M</v>
          </cell>
          <cell r="B3333" t="str">
            <v>L347</v>
          </cell>
          <cell r="C3333" t="str">
            <v>ซาติน แขนสั้นขาสี่ส่วน Coral Sea M (กปก)</v>
          </cell>
        </row>
        <row r="3334">
          <cell r="A3334" t="str">
            <v>SL0347-XL</v>
          </cell>
          <cell r="B3334" t="str">
            <v>L347</v>
          </cell>
          <cell r="C3334" t="str">
            <v>ซาติน แขนสั้นขาสี่ส่วน Coral Sea XL (กปก)</v>
          </cell>
        </row>
        <row r="3335">
          <cell r="A3335" t="str">
            <v>SL0348-2XL</v>
          </cell>
          <cell r="B3335" t="str">
            <v>L348</v>
          </cell>
          <cell r="C3335" t="str">
            <v>ซาติน แขนสั้นขาสี่ส่วน กวางเรนเดียร์ 2XL</v>
          </cell>
        </row>
        <row r="3336">
          <cell r="A3336" t="str">
            <v>SL0348-L</v>
          </cell>
          <cell r="B3336" t="str">
            <v>L348</v>
          </cell>
          <cell r="C3336" t="str">
            <v>ซาติน แขนสั้นขาสี่ส่วน กวางเรนเดียร์ L</v>
          </cell>
        </row>
        <row r="3337">
          <cell r="A3337" t="str">
            <v>SL0348-M</v>
          </cell>
          <cell r="B3337" t="str">
            <v>L348</v>
          </cell>
          <cell r="C3337" t="str">
            <v>ซาติน แขนสั้นขาสี่ส่วน กวางเรนเดียร์ M</v>
          </cell>
        </row>
        <row r="3338">
          <cell r="A3338" t="str">
            <v>SL0348-XL</v>
          </cell>
          <cell r="B3338" t="str">
            <v>L348</v>
          </cell>
          <cell r="C3338" t="str">
            <v>ซาติน แขนสั้นขาสี่ส่วน กวางเรนเดียร์ XL</v>
          </cell>
        </row>
        <row r="3339">
          <cell r="A3339" t="str">
            <v>SL0350-2XL</v>
          </cell>
          <cell r="B3339" t="str">
            <v>L350</v>
          </cell>
          <cell r="C3339" t="str">
            <v>ซาติน แขนสั้นขาสี่ส่วน Flower Gray 2XL</v>
          </cell>
        </row>
        <row r="3340">
          <cell r="A3340" t="str">
            <v>SL0350-3XL</v>
          </cell>
          <cell r="B3340" t="str">
            <v>L350</v>
          </cell>
          <cell r="C3340" t="str">
            <v>ซาติน แขนสั้นขาสี่ส่วน Flower Gray 3XL</v>
          </cell>
        </row>
        <row r="3341">
          <cell r="A3341" t="str">
            <v>SL0350-L</v>
          </cell>
          <cell r="B3341" t="str">
            <v>L350</v>
          </cell>
          <cell r="C3341" t="str">
            <v>ซาติน แขนสั้นขาสี่ส่วน Flower Gray L</v>
          </cell>
        </row>
        <row r="3342">
          <cell r="A3342" t="str">
            <v>SL0350-M</v>
          </cell>
          <cell r="B3342" t="str">
            <v>L350</v>
          </cell>
          <cell r="C3342" t="str">
            <v>ซาติน แขนสั้นขาสี่ส่วน Flower Gray M</v>
          </cell>
        </row>
        <row r="3343">
          <cell r="A3343" t="str">
            <v>SL0350-XL</v>
          </cell>
          <cell r="B3343" t="str">
            <v>L350</v>
          </cell>
          <cell r="C3343" t="str">
            <v>ซาติน แขนสั้นขาสี่ส่วน Flower Gray XL</v>
          </cell>
        </row>
        <row r="3344">
          <cell r="A3344" t="str">
            <v>SL0352-2XL</v>
          </cell>
          <cell r="B3344" t="str">
            <v>L352</v>
          </cell>
          <cell r="C3344" t="str">
            <v>ซาติน แขนสั้นขาสี่ส่วน Jasmine Green 2XL (กปก)</v>
          </cell>
        </row>
        <row r="3345">
          <cell r="A3345" t="str">
            <v>SL0352-L</v>
          </cell>
          <cell r="B3345" t="str">
            <v>L352</v>
          </cell>
          <cell r="C3345" t="str">
            <v>ซาติน แขนสั้นขาสี่ส่วน Jasmine Green L (กปก)</v>
          </cell>
        </row>
        <row r="3346">
          <cell r="A3346" t="str">
            <v>SL0352-M</v>
          </cell>
          <cell r="B3346" t="str">
            <v>L352</v>
          </cell>
          <cell r="C3346" t="str">
            <v>ซาติน แขนสั้นขาสี่ส่วน Jasmine Green M (กปก)</v>
          </cell>
        </row>
        <row r="3347">
          <cell r="A3347" t="str">
            <v>SL0352-XL</v>
          </cell>
          <cell r="B3347" t="str">
            <v>L352</v>
          </cell>
          <cell r="C3347" t="str">
            <v>ซาติน แขนสั้นขาสี่ส่วน Jasmine Green XL (กปก)</v>
          </cell>
        </row>
        <row r="3348">
          <cell r="A3348" t="str">
            <v>SL0360-2XL</v>
          </cell>
          <cell r="B3348" t="str">
            <v>L360</v>
          </cell>
          <cell r="C3348" t="str">
            <v>ซาติน แขนสั้นขาสี่ส่วน Comic book 2XL</v>
          </cell>
        </row>
        <row r="3349">
          <cell r="A3349" t="str">
            <v>SL0360-3XL</v>
          </cell>
          <cell r="B3349" t="str">
            <v>L360</v>
          </cell>
          <cell r="C3349" t="str">
            <v>ซาติน แขนสั้นขาสี่ส่วน Comic book 3XL</v>
          </cell>
        </row>
        <row r="3350">
          <cell r="A3350" t="str">
            <v>SL0360-L</v>
          </cell>
          <cell r="B3350" t="str">
            <v>L360</v>
          </cell>
          <cell r="C3350" t="str">
            <v>ซาติน แขนสั้นขาสี่ส่วน Comic book L</v>
          </cell>
        </row>
        <row r="3351">
          <cell r="A3351" t="str">
            <v>SL0360-M</v>
          </cell>
          <cell r="B3351" t="str">
            <v>L360</v>
          </cell>
          <cell r="C3351" t="str">
            <v>ซาติน แขนสั้นขาสี่ส่วน Comic book M</v>
          </cell>
        </row>
        <row r="3352">
          <cell r="A3352" t="str">
            <v>SL0360-XL</v>
          </cell>
          <cell r="B3352" t="str">
            <v>L360</v>
          </cell>
          <cell r="C3352" t="str">
            <v>ซาติน แขนสั้นขาสี่ส่วน Comic book XL</v>
          </cell>
        </row>
        <row r="3353">
          <cell r="A3353" t="str">
            <v>SL0362-2XL</v>
          </cell>
          <cell r="B3353" t="str">
            <v>L362</v>
          </cell>
          <cell r="C3353" t="str">
            <v>ซาติน แขนสั้นขาสี่ส่วน New moon Art 2XL</v>
          </cell>
        </row>
        <row r="3354">
          <cell r="A3354" t="str">
            <v>SL0362-3XL</v>
          </cell>
          <cell r="B3354" t="str">
            <v>L362</v>
          </cell>
          <cell r="C3354" t="str">
            <v>ซาติน แขนสั้นขาสี่ส่วน New moon Art 3XL</v>
          </cell>
        </row>
        <row r="3355">
          <cell r="A3355" t="str">
            <v>SL0362-L</v>
          </cell>
          <cell r="B3355" t="str">
            <v>L362</v>
          </cell>
          <cell r="C3355" t="str">
            <v>ซาติน แขนสั้นขาสี่ส่วน New moon Art L</v>
          </cell>
        </row>
        <row r="3356">
          <cell r="A3356" t="str">
            <v>SL0362-M</v>
          </cell>
          <cell r="B3356" t="str">
            <v>L362</v>
          </cell>
          <cell r="C3356" t="str">
            <v>ซาติน แขนสั้นขาสี่ส่วน New moon Art M</v>
          </cell>
        </row>
        <row r="3357">
          <cell r="A3357" t="str">
            <v>SL0362-XL</v>
          </cell>
          <cell r="B3357" t="str">
            <v>L362</v>
          </cell>
          <cell r="C3357" t="str">
            <v>ซาติน แขนสั้นขาสี่ส่วน New moon Art XL</v>
          </cell>
        </row>
        <row r="3358">
          <cell r="A3358" t="str">
            <v>SL0368-2XL</v>
          </cell>
          <cell r="B3358" t="str">
            <v>L368</v>
          </cell>
          <cell r="C3358" t="str">
            <v>ซาติน แขนสั้นขาสี่ส่วน เสือ เขียว (กปก) 2XL</v>
          </cell>
        </row>
        <row r="3359">
          <cell r="A3359" t="str">
            <v>SL0368-3XL</v>
          </cell>
          <cell r="B3359" t="str">
            <v>L368</v>
          </cell>
          <cell r="C3359" t="str">
            <v>ซาติน แขนสั้นขาสี่ส่วน เสือ เขียว (กปก) 3XL</v>
          </cell>
        </row>
        <row r="3360">
          <cell r="A3360" t="str">
            <v>SL0368-L</v>
          </cell>
          <cell r="B3360" t="str">
            <v>L368</v>
          </cell>
          <cell r="C3360" t="str">
            <v>ซาติน แขนสั้นขาสี่ส่วน เสือ เขียว (กปก) L</v>
          </cell>
        </row>
        <row r="3361">
          <cell r="A3361" t="str">
            <v>SL0368-M</v>
          </cell>
          <cell r="B3361" t="str">
            <v>L368</v>
          </cell>
          <cell r="C3361" t="str">
            <v>ซาติน แขนสั้นขาสี่ส่วน เสือ เขียว (กปก) M</v>
          </cell>
        </row>
        <row r="3362">
          <cell r="A3362" t="str">
            <v>SL0368-XL</v>
          </cell>
          <cell r="B3362" t="str">
            <v>L368</v>
          </cell>
          <cell r="C3362" t="str">
            <v>ซาติน แขนสั้นขาสี่ส่วน เสือ เขียว (กปก) XL</v>
          </cell>
        </row>
        <row r="3363">
          <cell r="A3363" t="str">
            <v>SL0369-2XL</v>
          </cell>
          <cell r="B3363" t="str">
            <v>L369</v>
          </cell>
          <cell r="C3363" t="str">
            <v>ซาติน แขนสั้นขาสี่ส่วน กุหลาบ ขอบชมพู พื้นขาว 2XL (กปก)</v>
          </cell>
        </row>
        <row r="3364">
          <cell r="A3364" t="str">
            <v>SL0369-L</v>
          </cell>
          <cell r="B3364" t="str">
            <v>L369</v>
          </cell>
          <cell r="C3364" t="str">
            <v>ซาติน แขนสั้นขาสี่ส่วน กุหลาบ ขอบชมพู พื้นขาว L (กปก)</v>
          </cell>
        </row>
        <row r="3365">
          <cell r="A3365" t="str">
            <v>SL0369-M</v>
          </cell>
          <cell r="B3365" t="str">
            <v>BL369</v>
          </cell>
          <cell r="C3365" t="str">
            <v>ซาติน แขนสั้นขาสี่ส่วน กุหลาบ ขอบชมพู พื้นขาว M (กปก)</v>
          </cell>
        </row>
        <row r="3366">
          <cell r="A3366" t="str">
            <v>SL0369-XL</v>
          </cell>
          <cell r="B3366" t="str">
            <v>L369</v>
          </cell>
          <cell r="C3366" t="str">
            <v>ซาติน แขนสั้นขาสี่ส่วน กุหลาบ ขอบชมพู พื้นขาว XL (กปก)</v>
          </cell>
        </row>
        <row r="3367">
          <cell r="A3367" t="str">
            <v>SL0499-2XL</v>
          </cell>
          <cell r="B3367" t="str">
            <v>JL499</v>
          </cell>
          <cell r="C3367" t="str">
            <v>ซาติน แขนสั้นขาสี่ส่วน ดอกไม้ขาว พื้นครีม 2XL ตัวโชว์</v>
          </cell>
        </row>
        <row r="3368">
          <cell r="A3368" t="str">
            <v>SL0499-L</v>
          </cell>
          <cell r="B3368" t="str">
            <v>JL499</v>
          </cell>
          <cell r="C3368" t="str">
            <v>ซาติน แขนสั้นขาสี่ส่วน ดอกไม้ขาว พื้นครีม L ตัวโชว์</v>
          </cell>
        </row>
        <row r="3369">
          <cell r="A3369" t="str">
            <v>SL0499-M</v>
          </cell>
          <cell r="B3369" t="str">
            <v>BL499</v>
          </cell>
          <cell r="C3369" t="str">
            <v>ซาติน แขนสั้นขาสี่ส่วน ดอกไม้ขาว พื้นครีม M</v>
          </cell>
        </row>
        <row r="3370">
          <cell r="A3370" t="str">
            <v>SL0499-XL</v>
          </cell>
          <cell r="B3370" t="str">
            <v>JL499</v>
          </cell>
          <cell r="C3370" t="str">
            <v>ซาติน แขนสั้นขาสี่ส่วน ดอกไม้ขาว พื้นครีม XL ตัวโชว์</v>
          </cell>
        </row>
        <row r="3371">
          <cell r="A3371" t="str">
            <v>SL0500-2XL</v>
          </cell>
          <cell r="B3371" t="str">
            <v>L500</v>
          </cell>
          <cell r="C3371" t="str">
            <v>ซาติน แขนสั้นขาสี่ส่วน ฟ้ามินท์ ลายทาง  2XL</v>
          </cell>
        </row>
        <row r="3372">
          <cell r="A3372" t="str">
            <v>SL0500-L</v>
          </cell>
          <cell r="B3372" t="str">
            <v>L500</v>
          </cell>
          <cell r="C3372" t="str">
            <v>ซาติน แขนสั้นขาสี่ส่วน ฟ้ามินท์ ลายทาง  L</v>
          </cell>
        </row>
        <row r="3373">
          <cell r="A3373" t="str">
            <v>SL0500-M</v>
          </cell>
          <cell r="B3373" t="str">
            <v>L500</v>
          </cell>
          <cell r="C3373" t="str">
            <v>ซาติน แขนสั้นขาสี่ส่วน ฟ้ามินท์ ลายทาง  M</v>
          </cell>
        </row>
        <row r="3374">
          <cell r="A3374" t="str">
            <v>SL0500-XL</v>
          </cell>
          <cell r="B3374" t="str">
            <v>L500</v>
          </cell>
          <cell r="C3374" t="str">
            <v>ซาติน แขนสั้นขาสี่ส่วน ฟ้ามินท์ ลายทาง  XL</v>
          </cell>
        </row>
        <row r="3375">
          <cell r="A3375" t="str">
            <v>SL0523-2XL</v>
          </cell>
          <cell r="B3375" t="str">
            <v>L523</v>
          </cell>
          <cell r="C3375" t="str">
            <v>ซาติน แขนสั้นขาสี่ส่วน Flower พื้นเขียว ปกชมพู 2XL (กปก)</v>
          </cell>
        </row>
        <row r="3376">
          <cell r="A3376" t="str">
            <v>SL0523-L</v>
          </cell>
          <cell r="B3376" t="str">
            <v>L523</v>
          </cell>
          <cell r="C3376" t="str">
            <v>ซาติน แขนสั้นขาสี่ส่วน Flower พื้นเขียว ปกชมพู L (กปก)</v>
          </cell>
        </row>
        <row r="3377">
          <cell r="A3377" t="str">
            <v>SL0523-M</v>
          </cell>
          <cell r="B3377" t="str">
            <v>L523</v>
          </cell>
          <cell r="C3377" t="str">
            <v>ซาติน แขนสั้นขาสี่ส่วน Flower พื้นเขียว ปกชมพู M (กปก)</v>
          </cell>
        </row>
        <row r="3378">
          <cell r="A3378" t="str">
            <v>SL0523-XL</v>
          </cell>
          <cell r="B3378" t="str">
            <v>L523</v>
          </cell>
          <cell r="C3378" t="str">
            <v>ซาติน แขนสั้นขาสี่ส่วน Flower พื้นเขียว ปกชมพู XL (กปก)</v>
          </cell>
        </row>
        <row r="3379">
          <cell r="A3379" t="str">
            <v>SL0524-2XL</v>
          </cell>
          <cell r="B3379" t="str">
            <v>L524</v>
          </cell>
          <cell r="C3379" t="str">
            <v>ซาติน แขนสั้นขาสี่ส่วน ดอกไม้เขียว พื้นเขียว 2XL (กปก)</v>
          </cell>
        </row>
        <row r="3380">
          <cell r="A3380" t="str">
            <v>SL0524-L</v>
          </cell>
          <cell r="B3380" t="str">
            <v>L524</v>
          </cell>
          <cell r="C3380" t="str">
            <v>ซาติน แขนสั้นขาสี่ส่วน ดอกไม้เขียว พื้นเขียว L (กปก)</v>
          </cell>
        </row>
        <row r="3381">
          <cell r="A3381" t="str">
            <v>SL0524-M</v>
          </cell>
          <cell r="B3381" t="str">
            <v>L524</v>
          </cell>
          <cell r="C3381" t="str">
            <v>ซาติน แขนสั้นขาสี่ส่วน ดอกไม้เขียว พื้นเขียว M (กปก)</v>
          </cell>
        </row>
        <row r="3382">
          <cell r="A3382" t="str">
            <v>SL0524-XL</v>
          </cell>
          <cell r="B3382" t="str">
            <v>L524</v>
          </cell>
          <cell r="C3382" t="str">
            <v>ซาติน แขนสั้นขาสี่ส่วน ดอกไม้เขียว พื้นเขียว XL (กปก)</v>
          </cell>
        </row>
        <row r="3383">
          <cell r="A3383" t="str">
            <v>SL0525-2XL</v>
          </cell>
          <cell r="B3383" t="str">
            <v>L525</v>
          </cell>
          <cell r="C3383" t="str">
            <v>ซาติน แขนสั้นขาสี่ส่วน ดอกไม้มายา 2XL</v>
          </cell>
        </row>
        <row r="3384">
          <cell r="A3384" t="str">
            <v>SL0525-3XL</v>
          </cell>
          <cell r="B3384" t="str">
            <v>L525</v>
          </cell>
          <cell r="C3384" t="str">
            <v>ซาติน แขนสั้นขาสี่ส่วน ดอกไม้มายา 3XL</v>
          </cell>
        </row>
        <row r="3385">
          <cell r="A3385" t="str">
            <v>SL0525-L</v>
          </cell>
          <cell r="B3385" t="str">
            <v>L525</v>
          </cell>
          <cell r="C3385" t="str">
            <v>ซาติน แขนสั้นขาสี่ส่วน ดอกไม้มายา L</v>
          </cell>
        </row>
        <row r="3386">
          <cell r="A3386" t="str">
            <v>SL0525-M</v>
          </cell>
          <cell r="B3386" t="str">
            <v>L525</v>
          </cell>
          <cell r="C3386" t="str">
            <v>ซาติน แขนสั้นขาสี่ส่วน ดอกไม้มายา M</v>
          </cell>
        </row>
        <row r="3387">
          <cell r="A3387" t="str">
            <v>SL0525-XL</v>
          </cell>
          <cell r="B3387" t="str">
            <v>L525</v>
          </cell>
          <cell r="C3387" t="str">
            <v>ซาติน แขนสั้นขาสี่ส่วน ดอกไม้มายา XL</v>
          </cell>
        </row>
        <row r="3388">
          <cell r="A3388" t="str">
            <v>SL0542-2XL</v>
          </cell>
          <cell r="B3388" t="str">
            <v>L542</v>
          </cell>
          <cell r="C3388" t="str">
            <v>ซาติน แขนสั้นขาสี่ส่วน Green Garden ปกชมพูจุด 2XL (กปก)</v>
          </cell>
        </row>
        <row r="3389">
          <cell r="A3389" t="str">
            <v>SL0542-L</v>
          </cell>
          <cell r="B3389" t="str">
            <v>L542</v>
          </cell>
          <cell r="C3389" t="str">
            <v>ซาติน แขนสั้นขาสี่ส่วน Green Garden ปกชมพูจุด L (กปก)</v>
          </cell>
        </row>
        <row r="3390">
          <cell r="A3390" t="str">
            <v>SL0542-M</v>
          </cell>
          <cell r="B3390" t="str">
            <v>L542</v>
          </cell>
          <cell r="C3390" t="str">
            <v>ซาติน แขนสั้นขาสี่ส่วน Green Garden ปกชมพูจุด M (กปก)</v>
          </cell>
        </row>
        <row r="3391">
          <cell r="A3391" t="str">
            <v>SL0542-XL</v>
          </cell>
          <cell r="B3391" t="str">
            <v>L542</v>
          </cell>
          <cell r="C3391" t="str">
            <v>ซาติน แขนสั้นขาสี่ส่วน Green Garden ปกชมพูจุด XL (กปก)</v>
          </cell>
        </row>
        <row r="3392">
          <cell r="A3392" t="str">
            <v>SL0604-2XL</v>
          </cell>
          <cell r="B3392" t="str">
            <v>L604</v>
          </cell>
          <cell r="C3392" t="str">
            <v>ซาติน แขนสั้นขาสี่ส่วน Pink Rose 2XL (กปก)</v>
          </cell>
        </row>
        <row r="3393">
          <cell r="A3393" t="str">
            <v>SL0604-L</v>
          </cell>
          <cell r="B3393" t="str">
            <v>L604</v>
          </cell>
          <cell r="C3393" t="str">
            <v>ซาติน แขนสั้นขาสี่ส่วน Pink Rose L (กปก)</v>
          </cell>
        </row>
        <row r="3394">
          <cell r="A3394" t="str">
            <v>SL0604-M</v>
          </cell>
          <cell r="B3394" t="str">
            <v>L604</v>
          </cell>
          <cell r="C3394" t="str">
            <v>ซาติน แขนสั้นขาสี่ส่วน Pink Rose M (กปก)</v>
          </cell>
        </row>
        <row r="3395">
          <cell r="A3395" t="str">
            <v>SL0604-XL</v>
          </cell>
          <cell r="B3395" t="str">
            <v>L604</v>
          </cell>
          <cell r="C3395" t="str">
            <v>ซาติน แขนสั้นขาสี่ส่วน Pink Rose XL (กปก)</v>
          </cell>
        </row>
        <row r="3396">
          <cell r="A3396" t="str">
            <v>SL0606-2XL</v>
          </cell>
          <cell r="B3396" t="str">
            <v>L606</v>
          </cell>
          <cell r="C3396" t="str">
            <v>ซาติน แขนสั้นขาสี่ส่วน มอนสเตอร่า พื้นเขียวมินท์ 2XL (กปก)</v>
          </cell>
        </row>
        <row r="3397">
          <cell r="A3397" t="str">
            <v>SL0606-3XL</v>
          </cell>
          <cell r="B3397" t="str">
            <v>L606</v>
          </cell>
          <cell r="C3397" t="str">
            <v>ซาติน แขนสั้นขาสี่ส่วน มอนสเตอร่า พื้นเขียวมินท์ 3XL (กปก)</v>
          </cell>
        </row>
        <row r="3398">
          <cell r="A3398" t="str">
            <v>SL0606-L</v>
          </cell>
          <cell r="B3398" t="str">
            <v>L606</v>
          </cell>
          <cell r="C3398" t="str">
            <v>ซาติน แขนสั้นขาสี่ส่วน มอนสเตอร่า พื้นเขียวมินท์ L (กปก)</v>
          </cell>
        </row>
        <row r="3399">
          <cell r="A3399" t="str">
            <v>SL0606-M</v>
          </cell>
          <cell r="B3399" t="str">
            <v>L606</v>
          </cell>
          <cell r="C3399" t="str">
            <v>ซาติน แขนสั้นขาสี่ส่วน มอนสเตอร่า พื้นเขียวมินท์ M (กปก)</v>
          </cell>
        </row>
        <row r="3400">
          <cell r="A3400" t="str">
            <v>SL0606-XL</v>
          </cell>
          <cell r="B3400" t="str">
            <v>L606</v>
          </cell>
          <cell r="C3400" t="str">
            <v>ซาติน แขนสั้นขาสี่ส่วน มอนสเตอร่า พื้นเขียวมินท์ XL (กปก)</v>
          </cell>
        </row>
        <row r="3401">
          <cell r="A3401" t="str">
            <v>SL0660-2XL</v>
          </cell>
          <cell r="B3401" t="str">
            <v>L660</v>
          </cell>
          <cell r="C3401" t="str">
            <v>ซาติน แขนสั้นขาสี่ส่วน Pink Diamond Pastel 2XL (กปก)</v>
          </cell>
        </row>
        <row r="3402">
          <cell r="A3402" t="str">
            <v>SL0660-L</v>
          </cell>
          <cell r="B3402" t="str">
            <v>L660</v>
          </cell>
          <cell r="C3402" t="str">
            <v>ซาติน แขนสั้นขาสี่ส่วน Pink Diamond Pastel L (กปก)</v>
          </cell>
        </row>
        <row r="3403">
          <cell r="A3403" t="str">
            <v>SL0660-M</v>
          </cell>
          <cell r="B3403" t="str">
            <v>L660</v>
          </cell>
          <cell r="C3403" t="str">
            <v>ซาติน แขนสั้นขาสี่ส่วน Pink Diamond Pastel M (กปก)</v>
          </cell>
        </row>
        <row r="3404">
          <cell r="A3404" t="str">
            <v>SL0660-XL</v>
          </cell>
          <cell r="B3404" t="str">
            <v>L660</v>
          </cell>
          <cell r="C3404" t="str">
            <v>ซาติน แขนสั้นขาสี่ส่วน Pink Diamond Pastel XL (กปก)</v>
          </cell>
        </row>
        <row r="3405">
          <cell r="A3405" t="str">
            <v>SL0663-2XL</v>
          </cell>
          <cell r="B3405" t="str">
            <v>L663</v>
          </cell>
          <cell r="C3405" t="str">
            <v>ซาติน แขนสั้นขาสี่ส่วน Black Rose 2XL (กปก)</v>
          </cell>
        </row>
        <row r="3406">
          <cell r="A3406" t="str">
            <v>SL0663-L</v>
          </cell>
          <cell r="B3406" t="str">
            <v>BL663</v>
          </cell>
          <cell r="C3406" t="str">
            <v>ซาติน แขนสั้นขาสี่ส่วน Black Rose L (กปก)</v>
          </cell>
        </row>
        <row r="3407">
          <cell r="A3407" t="str">
            <v>SL0663-M</v>
          </cell>
          <cell r="B3407" t="str">
            <v>L663</v>
          </cell>
          <cell r="C3407" t="str">
            <v>ซาติน แขนสั้นขาสี่ส่วน Black Rose M (กปก)</v>
          </cell>
        </row>
        <row r="3408">
          <cell r="A3408" t="str">
            <v>SL0663-XL</v>
          </cell>
          <cell r="B3408" t="str">
            <v>BL663</v>
          </cell>
          <cell r="C3408" t="str">
            <v>ซาติน แขนสั้นขาสี่ส่วน Black Rose XL (กปก)</v>
          </cell>
        </row>
        <row r="3409">
          <cell r="A3409" t="str">
            <v>SL0675-2XL</v>
          </cell>
          <cell r="B3409" t="str">
            <v>L675</v>
          </cell>
          <cell r="C3409" t="str">
            <v>ซาติน แขนสั้นสี่ส่วน Blue Sky 2XL (กปก)</v>
          </cell>
        </row>
        <row r="3410">
          <cell r="A3410" t="str">
            <v>SL0675-L</v>
          </cell>
          <cell r="B3410" t="str">
            <v>L675</v>
          </cell>
          <cell r="C3410" t="str">
            <v>ซาติน แขนสั้นสี่ส่วน Blue Sky L (กปก)</v>
          </cell>
        </row>
        <row r="3411">
          <cell r="A3411" t="str">
            <v>SL0675-M</v>
          </cell>
          <cell r="B3411" t="str">
            <v>L675</v>
          </cell>
          <cell r="C3411" t="str">
            <v>ซาติน แขนสั้นสี่ส่วน Blue Sky M (กปก)</v>
          </cell>
        </row>
        <row r="3412">
          <cell r="A3412" t="str">
            <v>SL0675-XL</v>
          </cell>
          <cell r="B3412" t="str">
            <v>L675</v>
          </cell>
          <cell r="C3412" t="str">
            <v>ซาติน แขนสั้นสี่ส่วน Blue Sky XL (กปก)</v>
          </cell>
        </row>
        <row r="3413">
          <cell r="A3413" t="str">
            <v>SL0676-2XL</v>
          </cell>
          <cell r="B3413" t="str">
            <v>L676</v>
          </cell>
          <cell r="C3413" t="str">
            <v>ซาติน แขนสั้นสี่ส่วน Pink Sky 2XL (กปก)</v>
          </cell>
        </row>
        <row r="3414">
          <cell r="A3414" t="str">
            <v>SL0676-L</v>
          </cell>
          <cell r="B3414" t="str">
            <v>L676</v>
          </cell>
          <cell r="C3414" t="str">
            <v>ซาติน แขนสั้นสี่ส่วน Pink Sky L (กปก)</v>
          </cell>
        </row>
        <row r="3415">
          <cell r="A3415" t="str">
            <v>SL0676-M</v>
          </cell>
          <cell r="B3415" t="str">
            <v>L676</v>
          </cell>
          <cell r="C3415" t="str">
            <v>ซาติน แขนสั้นสี่ส่วน Pink Sky M (กปก)</v>
          </cell>
        </row>
        <row r="3416">
          <cell r="A3416" t="str">
            <v>SL0676-XL</v>
          </cell>
          <cell r="B3416" t="str">
            <v>L676</v>
          </cell>
          <cell r="C3416" t="str">
            <v>ซาติน แขนสั้นสี่ส่วน Pink Sky XL (กปก)</v>
          </cell>
        </row>
        <row r="3417">
          <cell r="A3417" t="str">
            <v>SL0780-2XL</v>
          </cell>
          <cell r="B3417" t="str">
            <v>L780</v>
          </cell>
          <cell r="C3417" t="str">
            <v>ซาติน แขนสั้นขาสี่ส่วน พื้นฟ้า เถาวัลย์ฟ้า 2XL (กปก)</v>
          </cell>
        </row>
        <row r="3418">
          <cell r="A3418" t="str">
            <v>SL0780-3XL</v>
          </cell>
          <cell r="B3418" t="str">
            <v>L780</v>
          </cell>
          <cell r="C3418" t="str">
            <v>ซาติน แขนสั้นขาสี่ส่วน พื้นฟ้า เถาวัลย์ฟ้า 3XL (กปก)</v>
          </cell>
        </row>
        <row r="3419">
          <cell r="A3419" t="str">
            <v>SL0780-L</v>
          </cell>
          <cell r="B3419" t="str">
            <v>L780</v>
          </cell>
          <cell r="C3419" t="str">
            <v>ซาติน แขนสั้นขาสี่ส่วน พื้นฟ้า เถาวัลย์ฟ้า L (กปก)</v>
          </cell>
        </row>
        <row r="3420">
          <cell r="A3420" t="str">
            <v>SL0780-M</v>
          </cell>
          <cell r="B3420" t="str">
            <v>L780</v>
          </cell>
          <cell r="C3420" t="str">
            <v>ซาติน แขนสั้นขาสี่ส่วน พื้นฟ้า เถาวัลย์ฟ้า M (กปก)</v>
          </cell>
        </row>
        <row r="3421">
          <cell r="A3421" t="str">
            <v>SL0780-XL</v>
          </cell>
          <cell r="B3421" t="str">
            <v>L780</v>
          </cell>
          <cell r="C3421" t="str">
            <v>ซาติน แขนสั้นขาสี่ส่วน พื้นฟ้า เถาวัลย์ฟ้า XL (กปก)</v>
          </cell>
        </row>
        <row r="3422">
          <cell r="A3422" t="str">
            <v>SL0790-2XL</v>
          </cell>
          <cell r="B3422" t="str">
            <v>L790</v>
          </cell>
          <cell r="C3422" t="str">
            <v>ซาติน แขนสั้นขาสี่ส่วน แฟนซี่ พิ้งค์ 2XL</v>
          </cell>
        </row>
        <row r="3423">
          <cell r="A3423" t="str">
            <v>SL0790-L</v>
          </cell>
          <cell r="B3423" t="str">
            <v>L790</v>
          </cell>
          <cell r="C3423" t="str">
            <v>ซาติน แขนสั้นขาสี่ส่วน แฟนซี่ พิ้งค์ L</v>
          </cell>
        </row>
        <row r="3424">
          <cell r="A3424" t="str">
            <v>SL0790-M</v>
          </cell>
          <cell r="B3424" t="str">
            <v>L790</v>
          </cell>
          <cell r="C3424" t="str">
            <v>ซาติน แขนสั้นขาสี่ส่วน แฟนซี่ พิ้งค์ M</v>
          </cell>
        </row>
        <row r="3425">
          <cell r="A3425" t="str">
            <v>SL0790-XL</v>
          </cell>
          <cell r="B3425" t="str">
            <v>L790</v>
          </cell>
          <cell r="C3425" t="str">
            <v>ซาติน แขนสั้นขาสี่ส่วน แฟนซี่ พิ้งค์ XL</v>
          </cell>
        </row>
        <row r="3426">
          <cell r="A3426" t="str">
            <v>SL0797-2XL</v>
          </cell>
          <cell r="B3426" t="str">
            <v>L797</v>
          </cell>
          <cell r="C3426" t="str">
            <v>ซาติน แขนสั้นขาสี่ส่วน Green Village 2XL</v>
          </cell>
        </row>
        <row r="3427">
          <cell r="A3427" t="str">
            <v>SL0797-3XL</v>
          </cell>
          <cell r="B3427" t="str">
            <v>L797</v>
          </cell>
          <cell r="C3427" t="str">
            <v>ซาติน แขนสั้นขาสี่ส่วน Green Village 3XL</v>
          </cell>
        </row>
        <row r="3428">
          <cell r="A3428" t="str">
            <v>SL0797-L</v>
          </cell>
          <cell r="B3428" t="str">
            <v>L797</v>
          </cell>
          <cell r="C3428" t="str">
            <v>ซาติน แขนสั้นขาสี่ส่วน Green Village L</v>
          </cell>
        </row>
        <row r="3429">
          <cell r="A3429" t="str">
            <v>SL0797-M</v>
          </cell>
          <cell r="B3429" t="str">
            <v>L797</v>
          </cell>
          <cell r="C3429" t="str">
            <v>ซาติน แขนสั้นขาสี่ส่วน Green Village M</v>
          </cell>
        </row>
        <row r="3430">
          <cell r="A3430" t="str">
            <v>SL0797-XL</v>
          </cell>
          <cell r="B3430" t="str">
            <v>L797</v>
          </cell>
          <cell r="C3430" t="str">
            <v>ซาติน แขนสั้นขาสี่ส่วน Green Village XL</v>
          </cell>
        </row>
        <row r="3431">
          <cell r="A3431" t="str">
            <v>SL0798-2XL</v>
          </cell>
          <cell r="B3431" t="str">
            <v>L798</v>
          </cell>
          <cell r="C3431" t="str">
            <v>ซาติน แขนสั้นขาสี่ส่วน Red Village 2XL</v>
          </cell>
        </row>
        <row r="3432">
          <cell r="A3432" t="str">
            <v>SL0798-3XL</v>
          </cell>
          <cell r="B3432" t="str">
            <v>L798</v>
          </cell>
          <cell r="C3432" t="str">
            <v>ซาติน แขนสั้นขาสี่ส่วน Red Village 3XL</v>
          </cell>
        </row>
        <row r="3433">
          <cell r="A3433" t="str">
            <v>SL0798-L</v>
          </cell>
          <cell r="B3433" t="str">
            <v>L798</v>
          </cell>
          <cell r="C3433" t="str">
            <v>ซาติน แขนสั้นขาสี่ส่วน Red Village L</v>
          </cell>
        </row>
        <row r="3434">
          <cell r="A3434" t="str">
            <v>SL0798-M</v>
          </cell>
          <cell r="B3434" t="str">
            <v>L798</v>
          </cell>
          <cell r="C3434" t="str">
            <v>ซาติน แขนสั้นขาสี่ส่วน Red Village M</v>
          </cell>
        </row>
        <row r="3435">
          <cell r="A3435" t="str">
            <v>SL0798-XL</v>
          </cell>
          <cell r="B3435" t="str">
            <v>L798</v>
          </cell>
          <cell r="C3435" t="str">
            <v>ซาติน แขนสั้นขาสี่ส่วน Red Village XL</v>
          </cell>
        </row>
        <row r="3436">
          <cell r="A3436" t="str">
            <v>SL0800-2XL</v>
          </cell>
          <cell r="B3436" t="str">
            <v>BL800</v>
          </cell>
          <cell r="C3436" t="str">
            <v>ซาติน แขนสั้นขาสี่ส่วน กุหลาบ พื้นขาว ปกชมพู 2XL</v>
          </cell>
        </row>
        <row r="3437">
          <cell r="A3437" t="str">
            <v>SL0800-3XL</v>
          </cell>
          <cell r="B3437" t="str">
            <v>L800</v>
          </cell>
          <cell r="C3437" t="str">
            <v>ซาติน แขนสั้นขาสี่ส่วน กุหลาบ พื้นขาว ปกชมพู 3XL</v>
          </cell>
        </row>
        <row r="3438">
          <cell r="A3438" t="str">
            <v>SL0800-L</v>
          </cell>
          <cell r="B3438" t="str">
            <v>L800</v>
          </cell>
          <cell r="C3438" t="str">
            <v>ซาติน แขนสั้นขาสี่ส่วน กุหลาบ พื้นขาว ปกชมพู L</v>
          </cell>
        </row>
        <row r="3439">
          <cell r="A3439" t="str">
            <v>SL0800-M</v>
          </cell>
          <cell r="B3439" t="str">
            <v>L800</v>
          </cell>
          <cell r="C3439" t="str">
            <v>ซาติน แขนสั้นขาสี่ส่วน กุหลาบ พื้นขาว ปกชมพู M</v>
          </cell>
        </row>
        <row r="3440">
          <cell r="A3440" t="str">
            <v>SL0800-XL</v>
          </cell>
          <cell r="B3440" t="str">
            <v>BL800</v>
          </cell>
          <cell r="C3440" t="str">
            <v>ซาติน แขนสั้นขาสี่ส่วน กุหลาบ พื้นขาว ปกชมพู XL</v>
          </cell>
        </row>
        <row r="3441">
          <cell r="A3441" t="str">
            <v>SL0819-2XL</v>
          </cell>
          <cell r="B3441" t="str">
            <v>L819</v>
          </cell>
          <cell r="C3441" t="str">
            <v>ซาติน แขนสั้นขาสี่ส่วน ดอกมะลิ พื้นฟ้า 2XL (กปก)</v>
          </cell>
        </row>
        <row r="3442">
          <cell r="A3442" t="str">
            <v>SL0819-L</v>
          </cell>
          <cell r="B3442" t="str">
            <v>L819</v>
          </cell>
          <cell r="C3442" t="str">
            <v>ซาติน แขนสั้นขาสี่ส่วน ดอกมะลิ พื้นฟ้า L (กปก)</v>
          </cell>
        </row>
        <row r="3443">
          <cell r="A3443" t="str">
            <v>SL0819-M</v>
          </cell>
          <cell r="B3443" t="str">
            <v>L819</v>
          </cell>
          <cell r="C3443" t="str">
            <v>ซาติน แขนสั้นขาสี่ส่วน ดอกมะลิ พื้นฟ้า M (กปก)</v>
          </cell>
        </row>
        <row r="3444">
          <cell r="A3444" t="str">
            <v>SL0819-XL</v>
          </cell>
          <cell r="B3444" t="str">
            <v>L819</v>
          </cell>
          <cell r="C3444" t="str">
            <v>ซาติน แขนสั้นขาสี่ส่วน ดอกมะลิ พื้นฟ้า XL (กปก)</v>
          </cell>
        </row>
        <row r="3445">
          <cell r="A3445" t="str">
            <v>SL0820-2XL</v>
          </cell>
          <cell r="B3445" t="str">
            <v>L820</v>
          </cell>
          <cell r="C3445" t="str">
            <v>ซาติน แขนสั้นขาสี่ส่วน ดอกไม้ขาว คอปก พื้นฟ้า 2XL</v>
          </cell>
        </row>
        <row r="3446">
          <cell r="A3446" t="str">
            <v>SL0820-3XL</v>
          </cell>
          <cell r="B3446" t="str">
            <v>L820</v>
          </cell>
          <cell r="C3446" t="str">
            <v>ซาติน แขนสั้นขาสี่ส่วน ดอกไม้ขาว คอปก พื้นฟ้า 3XL</v>
          </cell>
        </row>
        <row r="3447">
          <cell r="A3447" t="str">
            <v>SL0820-L</v>
          </cell>
          <cell r="B3447" t="str">
            <v>L820</v>
          </cell>
          <cell r="C3447" t="str">
            <v>ซาติน แขนสั้นขาสี่ส่วน ดอกไม้ขาว คอปก พื้นฟ้า L</v>
          </cell>
        </row>
        <row r="3448">
          <cell r="A3448" t="str">
            <v>SL0820-M</v>
          </cell>
          <cell r="B3448" t="str">
            <v>L820</v>
          </cell>
          <cell r="C3448" t="str">
            <v>ซาติน แขนสั้นขาสี่ส่วน ดอกไม้ขาว คอปก พื้นฟ้า M</v>
          </cell>
        </row>
        <row r="3449">
          <cell r="A3449" t="str">
            <v>SL0820-XL</v>
          </cell>
          <cell r="B3449" t="str">
            <v>L820</v>
          </cell>
          <cell r="C3449" t="str">
            <v>ซาติน แขนสั้นขาสี่ส่วน ดอกไม้ขาว คอปก พื้นฟ้า XL</v>
          </cell>
        </row>
        <row r="3450">
          <cell r="A3450" t="str">
            <v>SL0844-2XL</v>
          </cell>
          <cell r="B3450" t="str">
            <v>L844</v>
          </cell>
          <cell r="C3450" t="str">
            <v>ซาติน แขนสั้นขาสี่ส่วน ดอกไม้แมงกระพรุน ขอบม่วง 2XL</v>
          </cell>
        </row>
        <row r="3451">
          <cell r="A3451" t="str">
            <v>SL0844-3XL</v>
          </cell>
          <cell r="B3451" t="str">
            <v>L844</v>
          </cell>
          <cell r="C3451" t="str">
            <v>ซาติน แขนสั้นขาสี่ส่วน ดอกไม้แมงกระพรุน ขอบม่วง 3XL</v>
          </cell>
        </row>
        <row r="3452">
          <cell r="A3452" t="str">
            <v>SL0844-L</v>
          </cell>
          <cell r="B3452" t="str">
            <v>L844</v>
          </cell>
          <cell r="C3452" t="str">
            <v>ซาติน แขนสั้นขาสี่ส่วน ดอกไม้แมงกระพรุน ขอบม่วง L</v>
          </cell>
        </row>
        <row r="3453">
          <cell r="A3453" t="str">
            <v>SL0844-M</v>
          </cell>
          <cell r="B3453" t="str">
            <v>L844</v>
          </cell>
          <cell r="C3453" t="str">
            <v>ซาติน แขนสั้นขาสี่ส่วน ดอกไม้แมงกระพรุน ขอบม่วง M</v>
          </cell>
        </row>
        <row r="3454">
          <cell r="A3454" t="str">
            <v>SL0844-XL</v>
          </cell>
          <cell r="B3454" t="str">
            <v>L844</v>
          </cell>
          <cell r="C3454" t="str">
            <v>ซาติน แขนสั้นขาสี่ส่วน ดอกไม้แมงกระพรุน ขอบม่วง XL</v>
          </cell>
        </row>
        <row r="3455">
          <cell r="A3455" t="str">
            <v>SL0846-2XL</v>
          </cell>
          <cell r="B3455" t="str">
            <v>L846</v>
          </cell>
          <cell r="C3455" t="str">
            <v>ซาติน แขนสั้นขาสี่ส่วน ภาพหญ้าแห้ง 2XL</v>
          </cell>
        </row>
        <row r="3456">
          <cell r="A3456" t="str">
            <v>SL0846-3XL</v>
          </cell>
          <cell r="B3456" t="str">
            <v>L846</v>
          </cell>
          <cell r="C3456" t="str">
            <v>ซาติน แขนสั้นขาสี่ส่วน ภาพหญ้าแห้ง 3XL</v>
          </cell>
        </row>
        <row r="3457">
          <cell r="A3457" t="str">
            <v>SL0846-L</v>
          </cell>
          <cell r="B3457" t="str">
            <v>L846</v>
          </cell>
          <cell r="C3457" t="str">
            <v>ซาติน แขนสั้นขาสี่ส่วน ภาพหญ้าแห้ง L</v>
          </cell>
        </row>
        <row r="3458">
          <cell r="A3458" t="str">
            <v>SL0846-M</v>
          </cell>
          <cell r="B3458" t="str">
            <v>L846</v>
          </cell>
          <cell r="C3458" t="str">
            <v>ซาติน แขนสั้นขาสี่ส่วน ภาพหญ้าแห้ง M</v>
          </cell>
        </row>
        <row r="3459">
          <cell r="A3459" t="str">
            <v>SL0846-XL</v>
          </cell>
          <cell r="B3459" t="str">
            <v>L846</v>
          </cell>
          <cell r="C3459" t="str">
            <v>ซาติน แขนสั้นขาสี่ส่วน ภาพหญ้าแห้ง XL</v>
          </cell>
        </row>
        <row r="3460">
          <cell r="A3460" t="str">
            <v>SL0852-2XL</v>
          </cell>
          <cell r="B3460" t="str">
            <v>L852</v>
          </cell>
          <cell r="C3460" t="str">
            <v>ซาติน แขนสั้นขาสี่ส่วน แมวเทา พื้นครีม 2XL</v>
          </cell>
        </row>
        <row r="3461">
          <cell r="A3461" t="str">
            <v>SL0852-L</v>
          </cell>
          <cell r="B3461" t="str">
            <v>L852</v>
          </cell>
          <cell r="C3461" t="str">
            <v>ซาติน แขนสั้นขาสี่ส่วน แมวเทา พื้นครีม L</v>
          </cell>
        </row>
        <row r="3462">
          <cell r="A3462" t="str">
            <v>SL0852-M</v>
          </cell>
          <cell r="B3462" t="str">
            <v>L852</v>
          </cell>
          <cell r="C3462" t="str">
            <v>ซาติน แขนสั้นขาสี่ส่วน แมวเทา พื้นครีม M</v>
          </cell>
        </row>
        <row r="3463">
          <cell r="A3463" t="str">
            <v>SL0852-XL</v>
          </cell>
          <cell r="B3463" t="str">
            <v>L852</v>
          </cell>
          <cell r="C3463" t="str">
            <v>ซาติน แขนสั้นขาสี่ส่วน แมวเทา พื้นครีม XL</v>
          </cell>
        </row>
        <row r="3464">
          <cell r="A3464" t="str">
            <v>SL0853-2XL</v>
          </cell>
          <cell r="B3464" t="str">
            <v>L853</v>
          </cell>
          <cell r="C3464" t="str">
            <v>ซาติน แขนสั้นขาสี่ส่วน พื้นดำ ดอกไม้เหลือง 2XL</v>
          </cell>
        </row>
        <row r="3465">
          <cell r="A3465" t="str">
            <v>SL0853-L</v>
          </cell>
          <cell r="B3465" t="str">
            <v>L853</v>
          </cell>
          <cell r="C3465" t="str">
            <v>ซาติน แขนสั้นขาสี่ส่วน พื้นดำ ดอกไม้เหลือง L</v>
          </cell>
        </row>
        <row r="3466">
          <cell r="A3466" t="str">
            <v>SL0853-M</v>
          </cell>
          <cell r="B3466" t="str">
            <v>L853</v>
          </cell>
          <cell r="C3466" t="str">
            <v>ซาติน แขนสั้นขาสี่ส่วน พื้นดำ ดอกไม้เหลือง M</v>
          </cell>
        </row>
        <row r="3467">
          <cell r="A3467" t="str">
            <v>SL0853-XL</v>
          </cell>
          <cell r="B3467" t="str">
            <v>L853</v>
          </cell>
          <cell r="C3467" t="str">
            <v>ซาติน แขนสั้นขาสี่ส่วน พื้นดำ ดอกไม้เหลือง XL</v>
          </cell>
        </row>
        <row r="3468">
          <cell r="A3468" t="str">
            <v>SL0856-2XL</v>
          </cell>
          <cell r="B3468" t="str">
            <v>L856</v>
          </cell>
          <cell r="C3468" t="str">
            <v>ซาติน แขนสั้นขาสี่ส่วน โซ่ ลายทาง (กปก) 2XL</v>
          </cell>
        </row>
        <row r="3469">
          <cell r="A3469" t="str">
            <v>SL0856-3XL</v>
          </cell>
          <cell r="B3469" t="str">
            <v>L856</v>
          </cell>
          <cell r="C3469" t="str">
            <v>ซาติน แขนสั้นขาสี่ส่วน โซ่ ลายทาง (กปก) 3XL</v>
          </cell>
        </row>
        <row r="3470">
          <cell r="A3470" t="str">
            <v>SL0856-L</v>
          </cell>
          <cell r="B3470" t="str">
            <v>L856</v>
          </cell>
          <cell r="C3470" t="str">
            <v>ซาติน แขนสั้นขาสี่ส่วน โซ่ ลายทาง (กปก) L</v>
          </cell>
        </row>
        <row r="3471">
          <cell r="A3471" t="str">
            <v>SL0856-M</v>
          </cell>
          <cell r="B3471" t="str">
            <v>L856</v>
          </cell>
          <cell r="C3471" t="str">
            <v>ซาติน แขนสั้นขาสี่ส่วน โซ่ ลายทาง (กปก) M</v>
          </cell>
        </row>
        <row r="3472">
          <cell r="A3472" t="str">
            <v>SL0856-XL</v>
          </cell>
          <cell r="B3472" t="str">
            <v>L856</v>
          </cell>
          <cell r="C3472" t="str">
            <v>ซาติน แขนสั้นขาสี่ส่วน โซ่ ลายทาง (กปก) XL</v>
          </cell>
        </row>
        <row r="3473">
          <cell r="A3473" t="str">
            <v>SL0859-2XL</v>
          </cell>
          <cell r="B3473" t="str">
            <v>L859</v>
          </cell>
          <cell r="C3473" t="str">
            <v>ซาติน แขนสั้นขาสี่ส่วน Forest Maya (กปก) 2XL</v>
          </cell>
        </row>
        <row r="3474">
          <cell r="A3474" t="str">
            <v>SL0859-3XL</v>
          </cell>
          <cell r="B3474" t="str">
            <v>L859</v>
          </cell>
          <cell r="C3474" t="str">
            <v>ซาติน แขนสั้นขาสี่ส่วน Forest Maya (กปก) 3XL</v>
          </cell>
        </row>
        <row r="3475">
          <cell r="A3475" t="str">
            <v>SL0859-L</v>
          </cell>
          <cell r="B3475" t="str">
            <v>L859</v>
          </cell>
          <cell r="C3475" t="str">
            <v>ซาติน แขนสั้นขาสี่ส่วน Forest Maya (กปก) L</v>
          </cell>
        </row>
        <row r="3476">
          <cell r="A3476" t="str">
            <v>SL0859-M</v>
          </cell>
          <cell r="B3476" t="str">
            <v>L859</v>
          </cell>
          <cell r="C3476" t="str">
            <v>ซาติน แขนสั้นขาสี่ส่วน Forest Maya (กปก) M</v>
          </cell>
        </row>
        <row r="3477">
          <cell r="A3477" t="str">
            <v>SL0859-XL</v>
          </cell>
          <cell r="B3477" t="str">
            <v>L859</v>
          </cell>
          <cell r="C3477" t="str">
            <v>ซาติน แขนสั้นขาสี่ส่วน Forest Maya (กปก) XL</v>
          </cell>
        </row>
        <row r="3478">
          <cell r="A3478" t="str">
            <v>SL0862-2XL</v>
          </cell>
          <cell r="B3478" t="str">
            <v>L862</v>
          </cell>
          <cell r="C3478" t="str">
            <v>ซาติน แขนสั้นขาสี่ส่วน Blue Comic (กปก) 2XL</v>
          </cell>
        </row>
        <row r="3479">
          <cell r="A3479" t="str">
            <v>SL0862-3XL</v>
          </cell>
          <cell r="B3479" t="str">
            <v>L862</v>
          </cell>
          <cell r="C3479" t="str">
            <v>ซาติน แขนสั้นขาสี่ส่วน Blue Comic (กปก) 3XL</v>
          </cell>
        </row>
        <row r="3480">
          <cell r="A3480" t="str">
            <v>SL0862-L</v>
          </cell>
          <cell r="B3480" t="str">
            <v>L862</v>
          </cell>
          <cell r="C3480" t="str">
            <v>ซาติน แขนสั้นขาสี่ส่วน Blue Comic (กปก) L</v>
          </cell>
        </row>
        <row r="3481">
          <cell r="A3481" t="str">
            <v>SL0862-M</v>
          </cell>
          <cell r="B3481" t="str">
            <v>L862</v>
          </cell>
          <cell r="C3481" t="str">
            <v>ซาติน แขนสั้นขาสี่ส่วน Blue Comic (กปก) M</v>
          </cell>
        </row>
        <row r="3482">
          <cell r="A3482" t="str">
            <v>SL0862-XL</v>
          </cell>
          <cell r="B3482" t="str">
            <v>L862</v>
          </cell>
          <cell r="C3482" t="str">
            <v>ซาติน แขนสั้นขาสี่ส่วน Blue Comic (กปก) XL</v>
          </cell>
        </row>
        <row r="3483">
          <cell r="A3483" t="str">
            <v>SL0880-2XL</v>
          </cell>
          <cell r="B3483" t="str">
            <v>L880</v>
          </cell>
          <cell r="C3483" t="str">
            <v>ซาติน แขนสั้นขาสี่ส่วน ฮัมมิ่งเบิร์ด พื้นเขียว ขอบส้ม 2XL</v>
          </cell>
        </row>
        <row r="3484">
          <cell r="A3484" t="str">
            <v>SL0880-3XL</v>
          </cell>
          <cell r="B3484" t="str">
            <v>L880</v>
          </cell>
          <cell r="C3484" t="str">
            <v>ซาติน แขนสั้นขาสี่ส่วน ฮัมมิ่งเบิร์ด พื้นเขียว ขอบส้ม 3XL</v>
          </cell>
        </row>
        <row r="3485">
          <cell r="A3485" t="str">
            <v>SL0880-L</v>
          </cell>
          <cell r="B3485" t="str">
            <v>L880</v>
          </cell>
          <cell r="C3485" t="str">
            <v>ซาติน แขนสั้นขาสี่ส่วน ฮัมมิ่งเบิร์ด พื้นเขียว ขอบส้ม L</v>
          </cell>
        </row>
        <row r="3486">
          <cell r="A3486" t="str">
            <v>SL0880-M</v>
          </cell>
          <cell r="B3486" t="str">
            <v>L880</v>
          </cell>
          <cell r="C3486" t="str">
            <v>ซาติน แขนสั้นขาสี่ส่วน ฮัมมิ่งเบิร์ด พื้นเขียว ขอบส้ม M</v>
          </cell>
        </row>
        <row r="3487">
          <cell r="A3487" t="str">
            <v>SL0880-XL</v>
          </cell>
          <cell r="B3487" t="str">
            <v>BL880</v>
          </cell>
          <cell r="C3487" t="str">
            <v>ซาติน แขนสั้นขาสี่ส่วน ฮัมมิ่งเบิร์ด พื้นเขียว ขอบส้ม XL</v>
          </cell>
        </row>
        <row r="3488">
          <cell r="A3488" t="str">
            <v>SL0884-2XL</v>
          </cell>
          <cell r="B3488" t="str">
            <v>L884</v>
          </cell>
          <cell r="C3488" t="str">
            <v>ซาติน แขนสั้นขาสี่ส่วน สวนดอกไม้ พื้นเขียว 2XL (กปก)</v>
          </cell>
        </row>
        <row r="3489">
          <cell r="A3489" t="str">
            <v>SL0884-3XL</v>
          </cell>
          <cell r="B3489" t="str">
            <v>L884</v>
          </cell>
          <cell r="C3489" t="str">
            <v>ซาติน แขนสั้นขาสี่ส่วน สวนดอกไม้ พื้นเขียว 3XL (กปก)</v>
          </cell>
        </row>
        <row r="3490">
          <cell r="A3490" t="str">
            <v>SL0884-L</v>
          </cell>
          <cell r="B3490" t="str">
            <v>L884</v>
          </cell>
          <cell r="C3490" t="str">
            <v>ซาติน แขนสั้นขาสี่ส่วน สวนดอกไม้ พื้นเขียว L (กปก)</v>
          </cell>
        </row>
        <row r="3491">
          <cell r="A3491" t="str">
            <v>SL0884-M</v>
          </cell>
          <cell r="B3491" t="str">
            <v>L884</v>
          </cell>
          <cell r="C3491" t="str">
            <v>ซาติน แขนสั้นขาสี่ส่วน สวนดอกไม้ พื้นเขียว M (กปก)</v>
          </cell>
        </row>
        <row r="3492">
          <cell r="A3492" t="str">
            <v>SL0884-XL</v>
          </cell>
          <cell r="B3492" t="str">
            <v>L884</v>
          </cell>
          <cell r="C3492" t="str">
            <v>ซาติน แขนสั้นขาสี่ส่วน สวนดอกไม้ พื้นเขียว XL (กปก)</v>
          </cell>
        </row>
        <row r="3493">
          <cell r="A3493" t="str">
            <v>SL0890-2XL</v>
          </cell>
          <cell r="B3493" t="str">
            <v>L890</v>
          </cell>
          <cell r="C3493" t="str">
            <v>ซาติน แขนสั้นขาสี่ส่วน Centella Asiatica (กปก) 2XL</v>
          </cell>
        </row>
        <row r="3494">
          <cell r="A3494" t="str">
            <v>SL0890-3XL</v>
          </cell>
          <cell r="B3494" t="str">
            <v>L890</v>
          </cell>
          <cell r="C3494" t="str">
            <v>ซาติน แขนสั้นขาสี่ส่วน Centella Asiatica (กปก) 3XL</v>
          </cell>
        </row>
        <row r="3495">
          <cell r="A3495" t="str">
            <v>SL0890-L</v>
          </cell>
          <cell r="B3495" t="str">
            <v>L890</v>
          </cell>
          <cell r="C3495" t="str">
            <v>ซาติน แขนสั้นขาสี่ส่วน Centella Asiatica (กปก) L</v>
          </cell>
        </row>
        <row r="3496">
          <cell r="A3496" t="str">
            <v>SL0890-M</v>
          </cell>
          <cell r="B3496" t="str">
            <v>L890</v>
          </cell>
          <cell r="C3496" t="str">
            <v>ซาติน แขนสั้นขาสี่ส่วน Centella Asiatica (กปก) M</v>
          </cell>
        </row>
        <row r="3497">
          <cell r="A3497" t="str">
            <v>SL0890-XL</v>
          </cell>
          <cell r="B3497" t="str">
            <v>L890</v>
          </cell>
          <cell r="C3497" t="str">
            <v>ซาติน แขนสั้นขาสี่ส่วน Centella Asiatica (กปก) XL</v>
          </cell>
        </row>
        <row r="3498">
          <cell r="A3498" t="str">
            <v>SL0891-2XL</v>
          </cell>
          <cell r="B3498" t="str">
            <v>L891</v>
          </cell>
          <cell r="C3498" t="str">
            <v>ซาติน แขนสั้นขาสี่ส่วน Sweety Rainbow 2XL (กปก)</v>
          </cell>
        </row>
        <row r="3499">
          <cell r="A3499" t="str">
            <v>SL0891-3XL</v>
          </cell>
          <cell r="B3499" t="str">
            <v>L891</v>
          </cell>
          <cell r="C3499" t="str">
            <v>ซาติน แขนสั้นขาสี่ส่วน Sweety Rainbow 3XL (กปก)</v>
          </cell>
        </row>
        <row r="3500">
          <cell r="A3500" t="str">
            <v>SL0891-L</v>
          </cell>
          <cell r="B3500" t="str">
            <v>L891</v>
          </cell>
          <cell r="C3500" t="str">
            <v>ซาติน แขนสั้นขาสี่ส่วน Sweety Rainbow L (กปก)</v>
          </cell>
        </row>
        <row r="3501">
          <cell r="A3501" t="str">
            <v>SL0891-M</v>
          </cell>
          <cell r="B3501" t="str">
            <v>L891</v>
          </cell>
          <cell r="C3501" t="str">
            <v>ซาติน แขนสั้นขาสี่ส่วน Sweety Rainbow M (กปก)</v>
          </cell>
        </row>
        <row r="3502">
          <cell r="A3502" t="str">
            <v>SL0891-XL</v>
          </cell>
          <cell r="B3502" t="str">
            <v>L891</v>
          </cell>
          <cell r="C3502" t="str">
            <v>ซาติน แขนสั้นขาสี่ส่วน Sweety Rainbow XL (กปก)</v>
          </cell>
        </row>
        <row r="3503">
          <cell r="A3503" t="str">
            <v>SL0892-2XL</v>
          </cell>
          <cell r="B3503" t="str">
            <v>L892</v>
          </cell>
          <cell r="C3503" t="str">
            <v>ซาติน แขนสั้นขาสี่ส่วน เสือ น้ำตาล 2XL  (กปก)</v>
          </cell>
        </row>
        <row r="3504">
          <cell r="A3504" t="str">
            <v>SL0892-3XL</v>
          </cell>
          <cell r="B3504" t="str">
            <v>L892</v>
          </cell>
          <cell r="C3504" t="str">
            <v>ซาติน แขนสั้นขาสี่ส่วน เสือ น้ำตาล 3XL  (กปก)</v>
          </cell>
        </row>
        <row r="3505">
          <cell r="A3505" t="str">
            <v>SL0892-L</v>
          </cell>
          <cell r="B3505" t="str">
            <v>L892</v>
          </cell>
          <cell r="C3505" t="str">
            <v>ซาติน แขนสั้นขาสี่ส่วน เสือ น้ำตาล L (กปก)</v>
          </cell>
        </row>
        <row r="3506">
          <cell r="A3506" t="str">
            <v>SL0892-M</v>
          </cell>
          <cell r="B3506" t="str">
            <v>L892</v>
          </cell>
          <cell r="C3506" t="str">
            <v>ซาติน แขนสั้นขาสี่ส่วน เสือ น้ำตาล M (กปก)</v>
          </cell>
        </row>
        <row r="3507">
          <cell r="A3507" t="str">
            <v>SL0892-XL</v>
          </cell>
          <cell r="B3507" t="str">
            <v>L892</v>
          </cell>
          <cell r="C3507" t="str">
            <v>ซาติน แขนสั้นขาสี่ส่วน เสือ น้ำตาล XL (กปก)</v>
          </cell>
        </row>
        <row r="3508">
          <cell r="A3508" t="str">
            <v>SL0906-2XL</v>
          </cell>
          <cell r="B3508" t="str">
            <v>L906</v>
          </cell>
          <cell r="C3508" t="str">
            <v>ซาติน แขนสั้นขาสี่ส่วน ใบไม้ขาว พื้นดำ 2XL (กปก)</v>
          </cell>
        </row>
        <row r="3509">
          <cell r="A3509" t="str">
            <v>SL0906-3XL</v>
          </cell>
          <cell r="B3509" t="str">
            <v>L906</v>
          </cell>
          <cell r="C3509" t="str">
            <v>ซาติน แขนสั้นขาสี่ส่วน ใบไม้ขาว พื้นดำ 3XL (กปก)</v>
          </cell>
        </row>
        <row r="3510">
          <cell r="A3510" t="str">
            <v>SL0906-L</v>
          </cell>
          <cell r="B3510" t="str">
            <v>L906</v>
          </cell>
          <cell r="C3510" t="str">
            <v>ซาติน แขนสั้นขาสี่ส่วน ใบไม้ขาว พื้นดำ L (กปก)</v>
          </cell>
        </row>
        <row r="3511">
          <cell r="A3511" t="str">
            <v>SL0906-M</v>
          </cell>
          <cell r="B3511" t="str">
            <v>L906</v>
          </cell>
          <cell r="C3511" t="str">
            <v>ซาติน แขนสั้นขาสี่ส่วน ใบไม้ขาว พื้นดำ M (กปก)</v>
          </cell>
        </row>
        <row r="3512">
          <cell r="A3512" t="str">
            <v>SL0906-XL</v>
          </cell>
          <cell r="B3512" t="str">
            <v>L906</v>
          </cell>
          <cell r="C3512" t="str">
            <v>ซาติน แขนสั้นขาสี่ส่วน ใบไม้ขาว พื้นดำ XL (กปก)</v>
          </cell>
        </row>
        <row r="3513">
          <cell r="A3513" t="str">
            <v>SL0907-2XL</v>
          </cell>
          <cell r="B3513" t="str">
            <v>L907</v>
          </cell>
          <cell r="C3513" t="str">
            <v>ซาติน แขนสั้นขาสี่ส่วน หุบเขา ปกน้ำตาล ขอบดำ 2XL (กปก)</v>
          </cell>
        </row>
        <row r="3514">
          <cell r="A3514" t="str">
            <v>SL0907-3XL</v>
          </cell>
          <cell r="B3514" t="str">
            <v>L907</v>
          </cell>
          <cell r="C3514" t="str">
            <v>ซาติน แขนสั้นขาสี่ส่วน หุบเขา ปกน้ำตาล ขอบดำ 3XL (กปก)</v>
          </cell>
        </row>
        <row r="3515">
          <cell r="A3515" t="str">
            <v>SL0907-L</v>
          </cell>
          <cell r="B3515" t="str">
            <v>L907</v>
          </cell>
          <cell r="C3515" t="str">
            <v>ซาติน แขนสั้นขาสี่ส่วน หุบเขา ปกน้ำตาล ขอบดำ L (กปก)</v>
          </cell>
        </row>
        <row r="3516">
          <cell r="A3516" t="str">
            <v>SL0907-M</v>
          </cell>
          <cell r="B3516" t="str">
            <v>L907</v>
          </cell>
          <cell r="C3516" t="str">
            <v>ซาติน แขนสั้นขาสี่ส่วน หุบเขา ปกน้ำตาล ขอบดำ M (กปก)</v>
          </cell>
        </row>
        <row r="3517">
          <cell r="A3517" t="str">
            <v>SL0907-XL</v>
          </cell>
          <cell r="B3517" t="str">
            <v>L907</v>
          </cell>
          <cell r="C3517" t="str">
            <v>ซาติน แขนสั้นขาสี่ส่วน หุบเขา ปกน้ำตาล ขอบดำ XL (กปก)</v>
          </cell>
        </row>
        <row r="3518">
          <cell r="A3518" t="str">
            <v>SL0908-2XL</v>
          </cell>
          <cell r="B3518" t="str">
            <v>L908</v>
          </cell>
          <cell r="C3518" t="str">
            <v>ซาติน แขนสั้นขาสี่ส่วน ลายจิงโจ้ขาว พื้นม่วง 2XL (กปก)</v>
          </cell>
        </row>
        <row r="3519">
          <cell r="A3519" t="str">
            <v>SL0908-3XL</v>
          </cell>
          <cell r="B3519" t="str">
            <v>L908</v>
          </cell>
          <cell r="C3519" t="str">
            <v>ซาติน แขนสั้นขาสี่ส่วน ลายจิงโจ้ขาว พื้นม่วง 3XL (กปก)</v>
          </cell>
        </row>
        <row r="3520">
          <cell r="A3520" t="str">
            <v>SL0908-L</v>
          </cell>
          <cell r="B3520" t="str">
            <v>L908</v>
          </cell>
          <cell r="C3520" t="str">
            <v>ซาติน แขนสั้นขาสี่ส่วน ลายจิงโจ้ขาว พื้นม่วง L (กปก)</v>
          </cell>
        </row>
        <row r="3521">
          <cell r="A3521" t="str">
            <v>SL0908-M</v>
          </cell>
          <cell r="B3521" t="str">
            <v>L908</v>
          </cell>
          <cell r="C3521" t="str">
            <v>ซาติน แขนสั้นขาสี่ส่วน ลายจิงโจ้ขาว พื้นม่วง M (กปก)</v>
          </cell>
        </row>
        <row r="3522">
          <cell r="A3522" t="str">
            <v>SL0908-XL</v>
          </cell>
          <cell r="B3522" t="str">
            <v>L908</v>
          </cell>
          <cell r="C3522" t="str">
            <v>ซาติน แขนสั้นขาสี่ส่วน ลายจิงโจ้ขาว พื้นม่วง XL (กปก)</v>
          </cell>
        </row>
        <row r="3523">
          <cell r="A3523" t="str">
            <v>SL0920-2XL</v>
          </cell>
          <cell r="B3523" t="str">
            <v>L920</v>
          </cell>
          <cell r="C3523" t="str">
            <v>ซาติน แขนสั้นขาสี่ส่วน Butterfly พื้นเขียว 2XL (กปก)</v>
          </cell>
        </row>
        <row r="3524">
          <cell r="A3524" t="str">
            <v>SL0920-L</v>
          </cell>
          <cell r="B3524" t="str">
            <v>L920</v>
          </cell>
          <cell r="C3524" t="str">
            <v>ซาติน แขนสั้นขาสี่ส่วน Butterfly พื้นเขียว L (กปก)</v>
          </cell>
        </row>
        <row r="3525">
          <cell r="A3525" t="str">
            <v>SL0920-M</v>
          </cell>
          <cell r="B3525" t="str">
            <v>L920</v>
          </cell>
          <cell r="C3525" t="str">
            <v>ซาติน แขนสั้นขาสี่ส่วน Butterfly พื้นเขียว M (กปก)</v>
          </cell>
        </row>
        <row r="3526">
          <cell r="A3526" t="str">
            <v>SL0920-XL</v>
          </cell>
          <cell r="B3526" t="str">
            <v>L920</v>
          </cell>
          <cell r="C3526" t="str">
            <v>ซาติน แขนสั้นขาสี่ส่วน Butterfly พื้นเขียว XL (กปก)</v>
          </cell>
        </row>
        <row r="3527">
          <cell r="A3527" t="str">
            <v>SL0921-2XL</v>
          </cell>
          <cell r="B3527" t="str">
            <v>L921</v>
          </cell>
          <cell r="C3527" t="str">
            <v>ซาติน แขนสั้นขาสี่ส่วน Butterfly พื้นครีม 2XL (กปก)</v>
          </cell>
        </row>
        <row r="3528">
          <cell r="A3528" t="str">
            <v>SL0921-L</v>
          </cell>
          <cell r="B3528" t="str">
            <v>L921</v>
          </cell>
          <cell r="C3528" t="str">
            <v>ซาติน แขนสั้นขาสี่ส่วน Butterfly พื้นครีม L (กปก)</v>
          </cell>
        </row>
        <row r="3529">
          <cell r="A3529" t="str">
            <v>SL0921-M</v>
          </cell>
          <cell r="B3529" t="str">
            <v>L921</v>
          </cell>
          <cell r="C3529" t="str">
            <v>ซาติน แขนสั้นขาสี่ส่วน Butterfly พื้นครีม M (กปก)</v>
          </cell>
        </row>
        <row r="3530">
          <cell r="A3530" t="str">
            <v>SL0921-XL</v>
          </cell>
          <cell r="B3530" t="str">
            <v>L921</v>
          </cell>
          <cell r="C3530" t="str">
            <v>ซาติน แขนสั้นขาสี่ส่วน Butterfly พื้นครีม XL (กปก)</v>
          </cell>
        </row>
        <row r="3531">
          <cell r="A3531" t="str">
            <v>SL0922-2XL</v>
          </cell>
          <cell r="B3531" t="str">
            <v>L922</v>
          </cell>
          <cell r="C3531" t="str">
            <v>ซาติน แขนสั้นขาสี่ส่วน Bird Orchid พื้นขาว 2XL  (กปก)</v>
          </cell>
        </row>
        <row r="3532">
          <cell r="A3532" t="str">
            <v>SL0922-L</v>
          </cell>
          <cell r="B3532" t="str">
            <v>L922</v>
          </cell>
          <cell r="C3532" t="str">
            <v>ซาติน แขนสั้นขาสี่ส่วน Bird Orchid พื้นขาว L (กปก)</v>
          </cell>
        </row>
        <row r="3533">
          <cell r="A3533" t="str">
            <v>SL0922-M</v>
          </cell>
          <cell r="B3533" t="str">
            <v>L922</v>
          </cell>
          <cell r="C3533" t="str">
            <v>ซาติน แขนสั้นขาสี่ส่วน Bird Orchid พื้นขาว M (กปก)</v>
          </cell>
        </row>
        <row r="3534">
          <cell r="A3534" t="str">
            <v>SL0922-XL</v>
          </cell>
          <cell r="B3534" t="str">
            <v>L922</v>
          </cell>
          <cell r="C3534" t="str">
            <v>ซาติน แขนสั้นขาสี่ส่วน Bird Orchid พื้นขาว XL (กปก)</v>
          </cell>
        </row>
        <row r="3535">
          <cell r="A3535" t="str">
            <v>SL0923-2XL</v>
          </cell>
          <cell r="B3535" t="str">
            <v>L923</v>
          </cell>
          <cell r="C3535" t="str">
            <v>ซาติน แขนสั้นขาสี่ส่วน Jungle Cruise ดำ (กปก) 2XL</v>
          </cell>
        </row>
        <row r="3536">
          <cell r="A3536" t="str">
            <v>SL0923-3XL</v>
          </cell>
          <cell r="B3536" t="str">
            <v>L923</v>
          </cell>
          <cell r="C3536" t="str">
            <v>ซาติน แขนสั้นขาสี่ส่วน Jungle Cruise ดำ (กปก) 3XL</v>
          </cell>
        </row>
        <row r="3537">
          <cell r="A3537" t="str">
            <v>SL0923-L</v>
          </cell>
          <cell r="B3537" t="str">
            <v>L923</v>
          </cell>
          <cell r="C3537" t="str">
            <v>ซาติน แขนสั้นขาสี่ส่วน Jungle Cruise ดำ (กปก) L</v>
          </cell>
        </row>
        <row r="3538">
          <cell r="A3538" t="str">
            <v>SL0923-M</v>
          </cell>
          <cell r="B3538" t="str">
            <v>L923</v>
          </cell>
          <cell r="C3538" t="str">
            <v>ซาติน แขนสั้นขาสี่ส่วน Jungle Cruise ดำ (กปก) M</v>
          </cell>
        </row>
        <row r="3539">
          <cell r="A3539" t="str">
            <v>SL0923-XL</v>
          </cell>
          <cell r="B3539" t="str">
            <v>L923</v>
          </cell>
          <cell r="C3539" t="str">
            <v>ซาติน แขนสั้นขาสี่ส่วน Jungle Cruise ดำ (กปก) XL</v>
          </cell>
        </row>
        <row r="3540">
          <cell r="A3540" t="str">
            <v>SL0924-2XL</v>
          </cell>
          <cell r="B3540" t="str">
            <v>L924</v>
          </cell>
          <cell r="C3540" t="str">
            <v>ซาติน แขนสั้นขาสี่ส่วน Jungle Cruise ครีม (กปก) 2XL</v>
          </cell>
        </row>
        <row r="3541">
          <cell r="A3541" t="str">
            <v>SL0924-3XL</v>
          </cell>
          <cell r="B3541" t="str">
            <v>L924</v>
          </cell>
          <cell r="C3541" t="str">
            <v>ซาติน แขนสั้นขาสี่ส่วน Jungle Cruise ครีม (กปก) 3XL</v>
          </cell>
        </row>
        <row r="3542">
          <cell r="A3542" t="str">
            <v>SL0924-L</v>
          </cell>
          <cell r="B3542" t="str">
            <v>L924</v>
          </cell>
          <cell r="C3542" t="str">
            <v>ซาติน แขนสั้นขาสี่ส่วน Jungle Cruise ครีม (กปก) L</v>
          </cell>
        </row>
        <row r="3543">
          <cell r="A3543" t="str">
            <v>SL0924-M</v>
          </cell>
          <cell r="B3543" t="str">
            <v>L924</v>
          </cell>
          <cell r="C3543" t="str">
            <v>ซาติน แขนสั้นขาสี่ส่วน Jungle Cruise ครีม (กปก) M</v>
          </cell>
        </row>
        <row r="3544">
          <cell r="A3544" t="str">
            <v>SL0924-XL</v>
          </cell>
          <cell r="B3544" t="str">
            <v>L924</v>
          </cell>
          <cell r="C3544" t="str">
            <v>ซาติน แขนสั้นขาสี่ส่วน Jungle Cruise ครีม (กปก) XL</v>
          </cell>
        </row>
        <row r="3545">
          <cell r="A3545" t="str">
            <v>SL0925-2XL</v>
          </cell>
          <cell r="B3545" t="str">
            <v>L925</v>
          </cell>
          <cell r="C3545" t="str">
            <v>ซาติน แขนสั้นขาสี่ส่วน Bird Orchid พื้นเขียว 2XL  (กปก)</v>
          </cell>
        </row>
        <row r="3546">
          <cell r="A3546" t="str">
            <v>SL0925-L</v>
          </cell>
          <cell r="B3546" t="str">
            <v>L925</v>
          </cell>
          <cell r="C3546" t="str">
            <v>ซาติน แขนสั้นขาสี่ส่วน Bird Orchid พื้นเขียว L (กปก)</v>
          </cell>
        </row>
        <row r="3547">
          <cell r="A3547" t="str">
            <v>SL0925-M</v>
          </cell>
          <cell r="B3547" t="str">
            <v>L925</v>
          </cell>
          <cell r="C3547" t="str">
            <v>ซาติน แขนสั้นขาสี่ส่วน Bird Orchid พื้นเขียว M (กปก)</v>
          </cell>
        </row>
        <row r="3548">
          <cell r="A3548" t="str">
            <v>SL0925-XL</v>
          </cell>
          <cell r="B3548" t="str">
            <v>L925</v>
          </cell>
          <cell r="C3548" t="str">
            <v>ซาติน แขนสั้นขาสี่ส่วน Bird Orchid พื้นเขียว XL (กปก)</v>
          </cell>
        </row>
        <row r="3549">
          <cell r="A3549" t="str">
            <v>SL0926-2XL</v>
          </cell>
          <cell r="B3549" t="str">
            <v>L926</v>
          </cell>
          <cell r="C3549" t="str">
            <v>ซาติน แขนสั้นขาสี่ส่วน พื้นกรม ลายม้าลาย 2XL (กปก)</v>
          </cell>
        </row>
        <row r="3550">
          <cell r="A3550" t="str">
            <v>SL0926-3XL</v>
          </cell>
          <cell r="B3550" t="str">
            <v>L926</v>
          </cell>
          <cell r="C3550" t="str">
            <v>ซาติน แขนสั้นขาสี่ส่วน พื้นกรม ลายม้าลาย 3XL (กปก)</v>
          </cell>
        </row>
        <row r="3551">
          <cell r="A3551" t="str">
            <v>SL0926-L</v>
          </cell>
          <cell r="B3551" t="str">
            <v>L926</v>
          </cell>
          <cell r="C3551" t="str">
            <v>ซาติน แขนสั้นขาสี่ส่วน พื้นกรม ลายม้าลาย L (กปก)</v>
          </cell>
        </row>
        <row r="3552">
          <cell r="A3552" t="str">
            <v>SL0926-M</v>
          </cell>
          <cell r="B3552" t="str">
            <v>L926</v>
          </cell>
          <cell r="C3552" t="str">
            <v>ซาติน แขนสั้นขาสี่ส่วน พื้นกรม ลายม้าลาย M (กปก)</v>
          </cell>
        </row>
        <row r="3553">
          <cell r="A3553" t="str">
            <v>SL0926-XL</v>
          </cell>
          <cell r="B3553" t="str">
            <v>L926</v>
          </cell>
          <cell r="C3553" t="str">
            <v>ซาติน แขนสั้นขาสี่ส่วน พื้นกรม ลายม้าลาย XL (กปก)</v>
          </cell>
        </row>
        <row r="3554">
          <cell r="A3554" t="str">
            <v>SL0927-2XL</v>
          </cell>
          <cell r="B3554" t="str">
            <v>L927</v>
          </cell>
          <cell r="C3554" t="str">
            <v>ซาติน แขนสั้นขาสี่ส่วน หน้าแมว พื้นดำ 2XL</v>
          </cell>
        </row>
        <row r="3555">
          <cell r="A3555" t="str">
            <v>SL0927-3XL</v>
          </cell>
          <cell r="B3555" t="str">
            <v>L927</v>
          </cell>
          <cell r="C3555" t="str">
            <v>ซาติน แขนสั้นขายาว หน้าแมว พื้นดำ 3XL</v>
          </cell>
        </row>
        <row r="3556">
          <cell r="A3556" t="str">
            <v>SL0927-L</v>
          </cell>
          <cell r="B3556" t="str">
            <v>L927</v>
          </cell>
          <cell r="C3556" t="str">
            <v>ซาติน แขนสั้นขาสี่ส่วน หน้าแมว พื้นดำ L</v>
          </cell>
        </row>
        <row r="3557">
          <cell r="A3557" t="str">
            <v>SL0927-M</v>
          </cell>
          <cell r="B3557" t="str">
            <v>L927</v>
          </cell>
          <cell r="C3557" t="str">
            <v>ซาติน แขนสั้นขาสี่ส่วน หน้าแมว พื้นดำ M</v>
          </cell>
        </row>
        <row r="3558">
          <cell r="A3558" t="str">
            <v>SL0927-XL</v>
          </cell>
          <cell r="B3558" t="str">
            <v>L927</v>
          </cell>
          <cell r="C3558" t="str">
            <v>ซาติน แขนสั้นขาสี่ส่วน หน้าแมว พื้นดำ XL</v>
          </cell>
        </row>
        <row r="3559">
          <cell r="A3559" t="str">
            <v>SL0928-2XL</v>
          </cell>
          <cell r="B3559" t="str">
            <v>L928</v>
          </cell>
          <cell r="C3559" t="str">
            <v>ซาติน แขนสั้นขาสี่ส่วน ลายทางน้ำตาล 2XL (กปก)</v>
          </cell>
        </row>
        <row r="3560">
          <cell r="A3560" t="str">
            <v>SL0928-3XL</v>
          </cell>
          <cell r="B3560" t="str">
            <v>L928</v>
          </cell>
          <cell r="C3560" t="str">
            <v>ซาติน แขนสั้นขาสี่ส่วน ลายทางน้ำตาล 3XL (กปก)</v>
          </cell>
        </row>
        <row r="3561">
          <cell r="A3561" t="str">
            <v>SL0928-L</v>
          </cell>
          <cell r="B3561" t="str">
            <v>L928</v>
          </cell>
          <cell r="C3561" t="str">
            <v>ซาติน แขนสั้นขาสี่ส่วน ลายทางน้ำตาล L (กปก)</v>
          </cell>
        </row>
        <row r="3562">
          <cell r="A3562" t="str">
            <v>SL0928-M</v>
          </cell>
          <cell r="B3562" t="str">
            <v>L928</v>
          </cell>
          <cell r="C3562" t="str">
            <v>ซาติน แขนสั้นขาสี่ส่วน ลายทางน้ำตาล M (กปก)</v>
          </cell>
        </row>
        <row r="3563">
          <cell r="A3563" t="str">
            <v>SL0928-XL</v>
          </cell>
          <cell r="B3563" t="str">
            <v>L928</v>
          </cell>
          <cell r="C3563" t="str">
            <v>ซาติน แขนสั้นขาสี่ส่วน ลายทางน้ำตาล XL (กปก)</v>
          </cell>
        </row>
        <row r="3564">
          <cell r="A3564" t="str">
            <v>SL0929-2XL</v>
          </cell>
          <cell r="B3564" t="str">
            <v>L929</v>
          </cell>
          <cell r="C3564" t="str">
            <v>ซาติน แขนสั้นขาสี่ส่วน ดอกไม้ฟ้า ปะการัง ปกชมพู 2XL</v>
          </cell>
        </row>
        <row r="3565">
          <cell r="A3565" t="str">
            <v>SL0929-3XL</v>
          </cell>
          <cell r="B3565" t="str">
            <v>L929</v>
          </cell>
          <cell r="C3565" t="str">
            <v>ซาติน แขนสั้นขาสี่ส่วน ดอกไม้ฟ้า ปะการัง ปกชมพู 3XL</v>
          </cell>
        </row>
        <row r="3566">
          <cell r="A3566" t="str">
            <v>SL0929-L</v>
          </cell>
          <cell r="B3566" t="str">
            <v>L929</v>
          </cell>
          <cell r="C3566" t="str">
            <v>ซาติน แขนสั้นขาสี่ส่วน ดอกไม้ฟ้า ปะการัง ปกชมพู L</v>
          </cell>
        </row>
        <row r="3567">
          <cell r="A3567" t="str">
            <v>SL0929-M</v>
          </cell>
          <cell r="B3567" t="str">
            <v>L929</v>
          </cell>
          <cell r="C3567" t="str">
            <v>ซาติน แขนสั้นขาสี่ส่วน ดอกไม้ฟ้า ปะการัง ปกชมพู M</v>
          </cell>
        </row>
        <row r="3568">
          <cell r="A3568" t="str">
            <v>SL0929-XL</v>
          </cell>
          <cell r="B3568" t="str">
            <v>L929</v>
          </cell>
          <cell r="C3568" t="str">
            <v>ซาติน แขนสั้นขาสี่ส่วน ดอกไม้ฟ้า ปะการัง ปกชมพู XL</v>
          </cell>
        </row>
        <row r="3569">
          <cell r="A3569" t="str">
            <v>SL0930-2XL</v>
          </cell>
          <cell r="B3569" t="str">
            <v>L930</v>
          </cell>
          <cell r="C3569" t="str">
            <v>ซาติน แขนสั้นขาสี่ส่วน pinky 2XL (กปก)</v>
          </cell>
        </row>
        <row r="3570">
          <cell r="A3570" t="str">
            <v>SL0930-3XL</v>
          </cell>
          <cell r="B3570" t="str">
            <v>L930</v>
          </cell>
          <cell r="C3570" t="str">
            <v>ซาติน แขนสั้นขาสี่ส่วน pinky 3XL (กปก)</v>
          </cell>
        </row>
        <row r="3571">
          <cell r="A3571" t="str">
            <v>SL0930-L</v>
          </cell>
          <cell r="B3571" t="str">
            <v>L930</v>
          </cell>
          <cell r="C3571" t="str">
            <v>ซาติน แขนสั้นขาสี่ส่วน pinky L (กปก)</v>
          </cell>
        </row>
        <row r="3572">
          <cell r="A3572" t="str">
            <v>SL0930-M</v>
          </cell>
          <cell r="B3572" t="str">
            <v>L930</v>
          </cell>
          <cell r="C3572" t="str">
            <v>ซาติน แขนสั้นขาสี่ส่วน pinky M (กปก)</v>
          </cell>
        </row>
        <row r="3573">
          <cell r="A3573" t="str">
            <v>SL0930-XL</v>
          </cell>
          <cell r="B3573" t="str">
            <v>L930</v>
          </cell>
          <cell r="C3573" t="str">
            <v>ซาติน แขนสั้นขาสี่ส่วน pinky XL (กปก)</v>
          </cell>
        </row>
        <row r="3574">
          <cell r="A3574" t="str">
            <v>SL0931-2XL</v>
          </cell>
          <cell r="B3574" t="str">
            <v>L931</v>
          </cell>
          <cell r="C3574" t="str">
            <v>ซาติน แขนสั้นขาสี่ส่วน olivia 2XL (กปก)</v>
          </cell>
        </row>
        <row r="3575">
          <cell r="A3575" t="str">
            <v>SL0931-3XL</v>
          </cell>
          <cell r="B3575" t="str">
            <v>L931</v>
          </cell>
          <cell r="C3575" t="str">
            <v>ซาติน แขนสั้นขาสี่ส่วน olivia 3XL (กปก)</v>
          </cell>
        </row>
        <row r="3576">
          <cell r="A3576" t="str">
            <v>SL0931-L</v>
          </cell>
          <cell r="B3576" t="str">
            <v>L931</v>
          </cell>
          <cell r="C3576" t="str">
            <v>ซาติน แขนสั้นขาสี่ส่วน olivia L (กปก)</v>
          </cell>
        </row>
        <row r="3577">
          <cell r="A3577" t="str">
            <v>SL0931-M</v>
          </cell>
          <cell r="B3577" t="str">
            <v>L931</v>
          </cell>
          <cell r="C3577" t="str">
            <v>ซาติน แขนสั้นขาสี่ส่วน olivia M (กปก)</v>
          </cell>
        </row>
        <row r="3578">
          <cell r="A3578" t="str">
            <v>SL0931-XL</v>
          </cell>
          <cell r="B3578" t="str">
            <v>L931</v>
          </cell>
          <cell r="C3578" t="str">
            <v>ซาติน แขนสั้นขาสี่ส่วน olivia XL (กปก)</v>
          </cell>
        </row>
        <row r="3579">
          <cell r="A3579" t="str">
            <v>SL0932-2XL</v>
          </cell>
          <cell r="B3579" t="str">
            <v>L932</v>
          </cell>
          <cell r="C3579" t="str">
            <v>ซาติน แขนสั้นขาสี่ส่วน violet 2XL (กปก)</v>
          </cell>
        </row>
        <row r="3580">
          <cell r="A3580" t="str">
            <v>SL0932-3XL</v>
          </cell>
          <cell r="B3580" t="str">
            <v>L932</v>
          </cell>
          <cell r="C3580" t="str">
            <v>ซาติน แขนสั้นขาสี่ส่วน violet 3XL (กปก)</v>
          </cell>
        </row>
        <row r="3581">
          <cell r="A3581" t="str">
            <v>SL0932-L</v>
          </cell>
          <cell r="B3581" t="str">
            <v>L932</v>
          </cell>
          <cell r="C3581" t="str">
            <v>ซาติน แขนสั้นขาสี่ส่วน violet L (กปก)</v>
          </cell>
        </row>
        <row r="3582">
          <cell r="A3582" t="str">
            <v>SL0932-M</v>
          </cell>
          <cell r="B3582" t="str">
            <v>L932</v>
          </cell>
          <cell r="C3582" t="str">
            <v>ซาติน แขนสั้นขาสี่ส่วน violet M (กปก)</v>
          </cell>
        </row>
        <row r="3583">
          <cell r="A3583" t="str">
            <v>SL0932-XL</v>
          </cell>
          <cell r="B3583" t="str">
            <v>L932</v>
          </cell>
          <cell r="C3583" t="str">
            <v>ซาติน แขนสั้นขาสี่ส่วน violet XL (กปก)</v>
          </cell>
        </row>
        <row r="3584">
          <cell r="A3584" t="str">
            <v>SL0934-2XL</v>
          </cell>
          <cell r="B3584" t="str">
            <v>L934</v>
          </cell>
          <cell r="C3584" t="str">
            <v>ซาติน แขนสั้นขาสี่ส่วน navy 2XL (กปก)</v>
          </cell>
        </row>
        <row r="3585">
          <cell r="A3585" t="str">
            <v>SL0934-3XL</v>
          </cell>
          <cell r="B3585" t="str">
            <v>L934</v>
          </cell>
          <cell r="C3585" t="str">
            <v>ซาติน แขนสั้นขาสี่ส่วน navy 3XL (กปก)</v>
          </cell>
        </row>
        <row r="3586">
          <cell r="A3586" t="str">
            <v>SL0934-L</v>
          </cell>
          <cell r="B3586" t="str">
            <v>L934</v>
          </cell>
          <cell r="C3586" t="str">
            <v>ซาติน แขนสั้นขาสี่ส่วน navy L (กปก)</v>
          </cell>
        </row>
        <row r="3587">
          <cell r="A3587" t="str">
            <v>SL0934-M</v>
          </cell>
          <cell r="B3587" t="str">
            <v>L934</v>
          </cell>
          <cell r="C3587" t="str">
            <v>ซาติน แขนสั้นขาสี่ส่วน navy M (กปก)</v>
          </cell>
        </row>
        <row r="3588">
          <cell r="A3588" t="str">
            <v>SL0934-XL</v>
          </cell>
          <cell r="B3588" t="str">
            <v>L934</v>
          </cell>
          <cell r="C3588" t="str">
            <v>ซาติน แขนสั้นขาสี่ส่วน navy XL (กปก)</v>
          </cell>
        </row>
        <row r="3589">
          <cell r="A3589" t="str">
            <v>SL0935-2XL</v>
          </cell>
          <cell r="B3589" t="str">
            <v>L935</v>
          </cell>
          <cell r="C3589" t="str">
            <v>ซาติน แขนสั้นขาสี่ส่วน Cute old totoro 2XL (กปก)</v>
          </cell>
        </row>
        <row r="3590">
          <cell r="A3590" t="str">
            <v>SL0935-3XL</v>
          </cell>
          <cell r="B3590" t="str">
            <v>L935</v>
          </cell>
          <cell r="C3590" t="str">
            <v>ซาติน แขนสั้นขาสี่ส่วน Cute old totoro 3XL (กปก)</v>
          </cell>
        </row>
        <row r="3591">
          <cell r="A3591" t="str">
            <v>SL0935-L</v>
          </cell>
          <cell r="B3591" t="str">
            <v>L935</v>
          </cell>
          <cell r="C3591" t="str">
            <v>ซาติน แขนสั้นขาสี่ส่วน Cute old totoro L (กปก)</v>
          </cell>
        </row>
        <row r="3592">
          <cell r="A3592" t="str">
            <v>SL0935-M</v>
          </cell>
          <cell r="B3592" t="str">
            <v>L935</v>
          </cell>
          <cell r="C3592" t="str">
            <v>ซาติน แขนสั้นขาสี่ส่วน Cute old totoro M (กปก)</v>
          </cell>
        </row>
        <row r="3593">
          <cell r="A3593" t="str">
            <v>SL0935-XL</v>
          </cell>
          <cell r="B3593" t="str">
            <v>L935</v>
          </cell>
          <cell r="C3593" t="str">
            <v>ซาติน แขนสั้นขาสี่ส่วน Cute old totoro XL (กปก)</v>
          </cell>
        </row>
        <row r="3594">
          <cell r="A3594" t="str">
            <v>SL0937-2XL</v>
          </cell>
          <cell r="B3594" t="str">
            <v>L937</v>
          </cell>
          <cell r="C3594" t="str">
            <v>ซาติน แขนสั้นขาสี่ส่วน Little pink tiger 2XL</v>
          </cell>
        </row>
        <row r="3595">
          <cell r="A3595" t="str">
            <v>SL0937-3XL</v>
          </cell>
          <cell r="B3595" t="str">
            <v>L937</v>
          </cell>
          <cell r="C3595" t="str">
            <v>ซาติน แขนสั้นขาสี่ส่วน Little pink tiger 3XL</v>
          </cell>
        </row>
        <row r="3596">
          <cell r="A3596" t="str">
            <v>SL0937-L</v>
          </cell>
          <cell r="B3596" t="str">
            <v>L937</v>
          </cell>
          <cell r="C3596" t="str">
            <v>ซาติน แขนสั้นขาสี่ส่วน Little pink tiger L</v>
          </cell>
        </row>
        <row r="3597">
          <cell r="A3597" t="str">
            <v>SL0937-M</v>
          </cell>
          <cell r="B3597" t="str">
            <v>L937</v>
          </cell>
          <cell r="C3597" t="str">
            <v>ซาติน แขนสั้นขาสี่ส่วน Little pink tiger M</v>
          </cell>
        </row>
        <row r="3598">
          <cell r="A3598" t="str">
            <v>SL0937-XL</v>
          </cell>
          <cell r="B3598" t="str">
            <v>L937</v>
          </cell>
          <cell r="C3598" t="str">
            <v>ซาติน แขนสั้นขาสี่ส่วน Little pink tiger XL</v>
          </cell>
        </row>
        <row r="3599">
          <cell r="A3599" t="str">
            <v>SL0938-2XL</v>
          </cell>
          <cell r="B3599" t="str">
            <v>L938</v>
          </cell>
          <cell r="C3599" t="str">
            <v>ซาติน แขนสั้นขาสี่ส่วน Black forest 2XL</v>
          </cell>
        </row>
        <row r="3600">
          <cell r="A3600" t="str">
            <v>SL0938-3XL</v>
          </cell>
          <cell r="B3600" t="str">
            <v>L938</v>
          </cell>
          <cell r="C3600" t="str">
            <v>ซาติน แขนสั้นขาสี่ส่วน Black forest 3XL</v>
          </cell>
        </row>
        <row r="3601">
          <cell r="A3601" t="str">
            <v>SL0938-L</v>
          </cell>
          <cell r="B3601" t="str">
            <v>L938</v>
          </cell>
          <cell r="C3601" t="str">
            <v>ซาติน แขนสั้นขาสี่ส่วน Black forest L</v>
          </cell>
        </row>
        <row r="3602">
          <cell r="A3602" t="str">
            <v>SL0938-M</v>
          </cell>
          <cell r="B3602" t="str">
            <v>L938</v>
          </cell>
          <cell r="C3602" t="str">
            <v>ซาติน แขนสั้นขาสี่ส่วน Black forest M</v>
          </cell>
        </row>
        <row r="3603">
          <cell r="A3603" t="str">
            <v>SL0938-XL</v>
          </cell>
          <cell r="B3603" t="str">
            <v>L938</v>
          </cell>
          <cell r="C3603" t="str">
            <v>ซาติน แขนสั้นขาสี่ส่วน Black forest XL</v>
          </cell>
        </row>
        <row r="3604">
          <cell r="A3604" t="str">
            <v>SL0944-2XL</v>
          </cell>
          <cell r="B3604" t="str">
            <v>L944</v>
          </cell>
          <cell r="C3604" t="str">
            <v>ซาติน แขนสั้นขาสี่ส่วน กวางพื้นกรม (กปก) 2XL</v>
          </cell>
        </row>
        <row r="3605">
          <cell r="A3605" t="str">
            <v>SL0944-3XL</v>
          </cell>
          <cell r="B3605" t="str">
            <v>L944</v>
          </cell>
          <cell r="C3605" t="str">
            <v>ซาติน แขนสั้นขาสี่ส่วน กวางพื้นกรม (กปก) 3XL</v>
          </cell>
        </row>
        <row r="3606">
          <cell r="A3606" t="str">
            <v>SL0944-L</v>
          </cell>
          <cell r="B3606" t="str">
            <v>L944</v>
          </cell>
          <cell r="C3606" t="str">
            <v>ซาติน แขนสั้นขาสี่ส่วน กวางพื้นกรม (กปก) L</v>
          </cell>
        </row>
        <row r="3607">
          <cell r="A3607" t="str">
            <v>SL0944-M</v>
          </cell>
          <cell r="B3607" t="str">
            <v>L944</v>
          </cell>
          <cell r="C3607" t="str">
            <v>ซาติน แขนสั้นขาสี่ส่วน กวางพื้นกรม (กปก) M</v>
          </cell>
        </row>
        <row r="3608">
          <cell r="A3608" t="str">
            <v>SL0944-XL</v>
          </cell>
          <cell r="B3608" t="str">
            <v>L944</v>
          </cell>
          <cell r="C3608" t="str">
            <v>ซาติน แขนสั้นขาสี่ส่วน กวางพื้นกรม (กปก) XL</v>
          </cell>
        </row>
        <row r="3609">
          <cell r="A3609" t="str">
            <v>SN0001-2XL</v>
          </cell>
          <cell r="B3609" t="str">
            <v>N1</v>
          </cell>
          <cell r="C3609" t="str">
            <v>ซาติน แขนสั้นขาสั้น ผีเสื้อ 2XL</v>
          </cell>
        </row>
        <row r="3610">
          <cell r="A3610" t="str">
            <v>SN0001-L</v>
          </cell>
          <cell r="B3610" t="str">
            <v>N1</v>
          </cell>
          <cell r="C3610" t="str">
            <v>ซาติน แขนสั้นขาสั้น ผีเสื้อ L</v>
          </cell>
        </row>
        <row r="3611">
          <cell r="A3611" t="str">
            <v>SN0001-M</v>
          </cell>
          <cell r="B3611" t="str">
            <v>N1</v>
          </cell>
          <cell r="C3611" t="str">
            <v>ซาติน แขนสั้นขาสั้น ผีเสื้อ M</v>
          </cell>
        </row>
        <row r="3612">
          <cell r="A3612" t="str">
            <v>SN0001-XL</v>
          </cell>
          <cell r="B3612" t="str">
            <v>N1</v>
          </cell>
          <cell r="C3612" t="str">
            <v>ซาติน แขนสั้นขาสั้น ผีเสื้อ XL</v>
          </cell>
        </row>
        <row r="3613">
          <cell r="A3613" t="str">
            <v>SN0002-L</v>
          </cell>
          <cell r="B3613" t="str">
            <v>N2</v>
          </cell>
          <cell r="C3613" t="str">
            <v>ซาติน แขนสั้นขาสั้นกระต่าย Smile ขาว L</v>
          </cell>
        </row>
        <row r="3614">
          <cell r="A3614" t="str">
            <v>SN0002-M</v>
          </cell>
          <cell r="B3614" t="str">
            <v>N2</v>
          </cell>
          <cell r="C3614" t="str">
            <v>ซาติน แขนสั้นขาสั้นกระต่าย Smile ขาว M</v>
          </cell>
        </row>
        <row r="3615">
          <cell r="A3615" t="str">
            <v>SN0003-L</v>
          </cell>
          <cell r="B3615" t="str">
            <v>N3</v>
          </cell>
          <cell r="C3615" t="str">
            <v>ซาติน แขนสั้นขาสั้น แมวดำ สีฟ้า L</v>
          </cell>
        </row>
        <row r="3616">
          <cell r="A3616" t="str">
            <v>SN0003-M</v>
          </cell>
          <cell r="B3616" t="str">
            <v>N3</v>
          </cell>
          <cell r="C3616" t="str">
            <v>ซาติน แขนสั้นขาสั้น แมวดำ สีฟ้า M</v>
          </cell>
        </row>
        <row r="3617">
          <cell r="A3617" t="str">
            <v>SN0004-L</v>
          </cell>
          <cell r="B3617" t="str">
            <v>N4</v>
          </cell>
          <cell r="C3617" t="str">
            <v>ซาติน แขนสั้นขาสั้น แมวดำ สีชมพู L</v>
          </cell>
        </row>
        <row r="3618">
          <cell r="A3618" t="str">
            <v>SN0004-M</v>
          </cell>
          <cell r="B3618" t="str">
            <v>N4</v>
          </cell>
          <cell r="C3618" t="str">
            <v>ซาติน แขนสั้นขาสั้น แมวดำ สีชมพู M</v>
          </cell>
        </row>
        <row r="3619">
          <cell r="A3619" t="str">
            <v>SN0005-L</v>
          </cell>
          <cell r="B3619" t="str">
            <v>N5</v>
          </cell>
          <cell r="C3619" t="str">
            <v>ซาติน แขนสั้นขาสั้น แมวฟ้า สีชมพู L</v>
          </cell>
        </row>
        <row r="3620">
          <cell r="A3620" t="str">
            <v>SN0005-M</v>
          </cell>
          <cell r="B3620" t="str">
            <v>N5</v>
          </cell>
          <cell r="C3620" t="str">
            <v>ซาติน แขนสั้นขาสั้น แมวฟ้า สีชมพู M</v>
          </cell>
        </row>
        <row r="3621">
          <cell r="A3621" t="str">
            <v>SN0006-L</v>
          </cell>
          <cell r="B3621" t="str">
            <v>N6</v>
          </cell>
          <cell r="C3621" t="str">
            <v>ซาติน แขนสั้นขาสั้น แมวขาว สีเทาฟ้า L</v>
          </cell>
        </row>
        <row r="3622">
          <cell r="A3622" t="str">
            <v>SN0006-M</v>
          </cell>
          <cell r="B3622" t="str">
            <v>N6</v>
          </cell>
          <cell r="C3622" t="str">
            <v>ซาติน แขนสั้นขาสั้น แมวขาว สีเทาฟ้า M</v>
          </cell>
        </row>
        <row r="3623">
          <cell r="A3623" t="str">
            <v>SN0007-L</v>
          </cell>
          <cell r="B3623" t="str">
            <v>N7</v>
          </cell>
          <cell r="C3623" t="str">
            <v>ซาติน แขนสั้นขาสั้น Old totoro ชมพู L</v>
          </cell>
        </row>
        <row r="3624">
          <cell r="A3624" t="str">
            <v>SN0007-M</v>
          </cell>
          <cell r="B3624" t="str">
            <v>N7</v>
          </cell>
          <cell r="C3624" t="str">
            <v>ซาติน แขนสั้นขาสั้น Old totoro ชมพู M</v>
          </cell>
        </row>
        <row r="3625">
          <cell r="A3625" t="str">
            <v>SN0008-M</v>
          </cell>
          <cell r="B3625" t="str">
            <v>N8</v>
          </cell>
          <cell r="C3625" t="str">
            <v>ซาติน แขนสั้นขาสั้น นุ้งแมวชมพู พาสเทล M</v>
          </cell>
        </row>
        <row r="3626">
          <cell r="A3626" t="str">
            <v>SN0008-S</v>
          </cell>
          <cell r="B3626" t="str">
            <v>N8</v>
          </cell>
          <cell r="C3626" t="str">
            <v>ซาติน แขนสั้นขาสั้น นุ้งแมวชมพู พาสเทล S</v>
          </cell>
        </row>
        <row r="3627">
          <cell r="A3627" t="str">
            <v>SN0009-M</v>
          </cell>
          <cell r="B3627" t="str">
            <v>N9</v>
          </cell>
          <cell r="C3627" t="str">
            <v>ซาติน แขนสั้นขาสั้น นุ้งแมวเขียว พาสเทล M</v>
          </cell>
        </row>
        <row r="3628">
          <cell r="A3628" t="str">
            <v>SN0009-S</v>
          </cell>
          <cell r="B3628" t="str">
            <v>N9</v>
          </cell>
          <cell r="C3628" t="str">
            <v>ซาติน แขนสั้นขาสั้น นุ้งแมวเขียว พาสเทล S</v>
          </cell>
        </row>
        <row r="3629">
          <cell r="A3629" t="str">
            <v>SN0010-2XL</v>
          </cell>
          <cell r="B3629" t="str">
            <v>N10</v>
          </cell>
          <cell r="C3629" t="str">
            <v>ซาติน แขนสั้นขาสั้น Totoro ฟ้า 2XL</v>
          </cell>
        </row>
        <row r="3630">
          <cell r="A3630" t="str">
            <v>SN0010-3XL</v>
          </cell>
          <cell r="B3630" t="str">
            <v>N10</v>
          </cell>
          <cell r="C3630" t="str">
            <v>ซาติน แขนสั้นขาสั้น Totoro ฟ้า 3XL</v>
          </cell>
        </row>
        <row r="3631">
          <cell r="A3631" t="str">
            <v>SN0010-L</v>
          </cell>
          <cell r="B3631" t="str">
            <v>N10</v>
          </cell>
          <cell r="C3631" t="str">
            <v>ซาติน แขนสั้นขาสั้น Totoro ฟ้า L</v>
          </cell>
        </row>
        <row r="3632">
          <cell r="A3632" t="str">
            <v>SN0010-M</v>
          </cell>
          <cell r="B3632" t="str">
            <v>N10</v>
          </cell>
          <cell r="C3632" t="str">
            <v>ซาติน แขนสั้นขาสั้น Totoro ฟ้า M</v>
          </cell>
        </row>
        <row r="3633">
          <cell r="A3633" t="str">
            <v>SN0010-XL</v>
          </cell>
          <cell r="B3633" t="str">
            <v>N10</v>
          </cell>
          <cell r="C3633" t="str">
            <v>ซาติน แขนสั้นขาสั้น Totoro ฟ้า XL</v>
          </cell>
        </row>
        <row r="3634">
          <cell r="A3634" t="str">
            <v>SN0011-2XL</v>
          </cell>
          <cell r="B3634" t="str">
            <v>N11</v>
          </cell>
          <cell r="C3634" t="str">
            <v>ซาติน แขนสั้นขาสั้น Totoro ชมพู 2XL</v>
          </cell>
        </row>
        <row r="3635">
          <cell r="A3635" t="str">
            <v>SN0011-3XL</v>
          </cell>
          <cell r="B3635" t="str">
            <v>N11</v>
          </cell>
          <cell r="C3635" t="str">
            <v>ซาติน แขนสั้นขาสั้น Totoro ชมพู 3XL</v>
          </cell>
        </row>
        <row r="3636">
          <cell r="A3636" t="str">
            <v>SN0011-L</v>
          </cell>
          <cell r="B3636" t="str">
            <v>N11</v>
          </cell>
          <cell r="C3636" t="str">
            <v>ซาติน แขนสั้นขาสั้น Totoro ชมพู L</v>
          </cell>
        </row>
        <row r="3637">
          <cell r="A3637" t="str">
            <v>SN0011-M</v>
          </cell>
          <cell r="B3637" t="str">
            <v>N11</v>
          </cell>
          <cell r="C3637" t="str">
            <v>ซาติน แขนสั้นขาสั้น Totoro ชมพู M</v>
          </cell>
        </row>
        <row r="3638">
          <cell r="A3638" t="str">
            <v>SN0011-XL</v>
          </cell>
          <cell r="B3638" t="str">
            <v>N11</v>
          </cell>
          <cell r="C3638" t="str">
            <v>ซาติน แขนสั้นขาสั้น Totoro ชมพู XL</v>
          </cell>
        </row>
        <row r="3639">
          <cell r="A3639" t="str">
            <v>SN0025-M</v>
          </cell>
          <cell r="B3639" t="str">
            <v>JN25</v>
          </cell>
          <cell r="C3639" t="str">
            <v>ซาติน แขนสั้นขาสั้น ชมพูจุด ดอกไม้หัวใจ M ตัวโชว์</v>
          </cell>
        </row>
        <row r="3640">
          <cell r="A3640" t="str">
            <v>SN0025-S</v>
          </cell>
          <cell r="B3640" t="str">
            <v>JN25</v>
          </cell>
          <cell r="C3640" t="str">
            <v>ซาติน แขนสั้นขาสั้น ชมพูจุด ดอกไม้หัวใจ S ตัวโชว์</v>
          </cell>
        </row>
        <row r="3641">
          <cell r="A3641" t="str">
            <v>SN0026-M</v>
          </cell>
          <cell r="B3641" t="str">
            <v>N26</v>
          </cell>
          <cell r="C3641" t="str">
            <v>ซาติน แขนสั้นขาสั้น ดอกไม้แดง พื้นชมพู M</v>
          </cell>
        </row>
        <row r="3642">
          <cell r="A3642" t="str">
            <v>SN0026-S</v>
          </cell>
          <cell r="B3642" t="str">
            <v>N26</v>
          </cell>
          <cell r="C3642" t="str">
            <v>ซาติน แขนสั้นขาสั้น ดอกไม้แดง พื้นชมพู S</v>
          </cell>
        </row>
        <row r="3643">
          <cell r="A3643" t="str">
            <v>SN0035-L</v>
          </cell>
          <cell r="B3643" t="str">
            <v>N35</v>
          </cell>
          <cell r="C3643" t="str">
            <v>ซาติน แขนสั้นขาสั้น ฟรุตตี้ L</v>
          </cell>
        </row>
        <row r="3644">
          <cell r="A3644" t="str">
            <v>SN0035-M</v>
          </cell>
          <cell r="B3644" t="str">
            <v>N35</v>
          </cell>
          <cell r="C3644" t="str">
            <v>ซาติน แขนสั้นขาสั้น ฟรุตตี้ M</v>
          </cell>
        </row>
        <row r="3645">
          <cell r="A3645" t="str">
            <v>SN0035-S</v>
          </cell>
          <cell r="B3645" t="str">
            <v>N35</v>
          </cell>
          <cell r="C3645" t="str">
            <v>ซาติน แขนสั้นขาสั้น ฟรุตตี้ S</v>
          </cell>
        </row>
        <row r="3646">
          <cell r="A3646" t="str">
            <v>SN0035-XL</v>
          </cell>
          <cell r="B3646" t="str">
            <v>N35</v>
          </cell>
          <cell r="C3646" t="str">
            <v>ซาติน แขนสั้นขาสั้น ฟรุตตี้ XL</v>
          </cell>
        </row>
        <row r="3647">
          <cell r="A3647" t="str">
            <v>SN0036-L</v>
          </cell>
          <cell r="B3647" t="str">
            <v>N36</v>
          </cell>
          <cell r="C3647" t="str">
            <v>ซาติน แขนสั้นขาสั้น สตรอเบอรี่ ขอบชมพู L</v>
          </cell>
        </row>
        <row r="3648">
          <cell r="A3648" t="str">
            <v>SN0036-XL</v>
          </cell>
          <cell r="B3648" t="str">
            <v>N36</v>
          </cell>
          <cell r="C3648" t="str">
            <v>ซาติน แขนสั้นขาสั้น สตรอเบอรี่ ขอบชมพู XL</v>
          </cell>
        </row>
        <row r="3649">
          <cell r="A3649" t="str">
            <v>SN0039-L</v>
          </cell>
          <cell r="B3649" t="str">
            <v>N39</v>
          </cell>
          <cell r="C3649" t="str">
            <v>ซาติน แขนสั้นขาสั้น ขาว ขอบเหลือง L</v>
          </cell>
        </row>
        <row r="3650">
          <cell r="A3650" t="str">
            <v>SN0039-M</v>
          </cell>
          <cell r="B3650" t="str">
            <v>N39</v>
          </cell>
          <cell r="C3650" t="str">
            <v>ซาติน แขนสั้นขาสั้น ขาว ขอบเหลือง M</v>
          </cell>
        </row>
        <row r="3651">
          <cell r="A3651" t="str">
            <v>SN0040-L</v>
          </cell>
          <cell r="B3651" t="str">
            <v>N40</v>
          </cell>
          <cell r="C3651" t="str">
            <v>ซาติน แขนสั้นขาสั้น ขาว ขอบชมพู L</v>
          </cell>
        </row>
        <row r="3652">
          <cell r="A3652" t="str">
            <v>SN0040-M</v>
          </cell>
          <cell r="B3652" t="str">
            <v>N40</v>
          </cell>
          <cell r="C3652" t="str">
            <v>ซาติน แขนสั้นขาสั้น ขาว ขอบชมพู M</v>
          </cell>
        </row>
        <row r="3653">
          <cell r="A3653" t="str">
            <v>SN0042-L</v>
          </cell>
          <cell r="B3653" t="str">
            <v>N42</v>
          </cell>
          <cell r="C3653" t="str">
            <v>ซาติน แขนสั้นขาสั้น เขียวมิ้น ขอบขาว L</v>
          </cell>
        </row>
        <row r="3654">
          <cell r="A3654" t="str">
            <v>SN0042-M</v>
          </cell>
          <cell r="B3654" t="str">
            <v>N42</v>
          </cell>
          <cell r="C3654" t="str">
            <v>ซาติน แขนสั้นขาสั้น เขียวมิ้น ขอบขาว M</v>
          </cell>
        </row>
        <row r="3655">
          <cell r="A3655" t="str">
            <v>SN0043-L</v>
          </cell>
          <cell r="B3655" t="str">
            <v>N43</v>
          </cell>
          <cell r="C3655" t="str">
            <v>ซาติน แขนสั้นขาสั้น ชมพูอ่อน ขอบดำ L</v>
          </cell>
        </row>
        <row r="3656">
          <cell r="A3656" t="str">
            <v>SN0043-M</v>
          </cell>
          <cell r="B3656" t="str">
            <v>N43</v>
          </cell>
          <cell r="C3656" t="str">
            <v>ซาติน แขนสั้นขาสั้น ชมพูอ่อน ขอบดำ M</v>
          </cell>
        </row>
        <row r="3657">
          <cell r="A3657" t="str">
            <v>SN0045-L</v>
          </cell>
          <cell r="B3657" t="str">
            <v>N45</v>
          </cell>
          <cell r="C3657" t="str">
            <v>ซาติน แขนสั้นขาสั้นสีชมพู นู้ด ขอบเงิน L</v>
          </cell>
        </row>
        <row r="3658">
          <cell r="A3658" t="str">
            <v>SN0045-M</v>
          </cell>
          <cell r="B3658" t="str">
            <v>N45</v>
          </cell>
          <cell r="C3658" t="str">
            <v>ซาติน แขนสั้นขาสั้น  สีชมพู นู้ด ขอบเงิน M</v>
          </cell>
        </row>
        <row r="3659">
          <cell r="A3659" t="str">
            <v>SN0047-L</v>
          </cell>
          <cell r="B3659" t="str">
            <v>N47</v>
          </cell>
          <cell r="C3659" t="str">
            <v>ซาติน แขนสั้นขาสั้น สีกรม หัวใจ ขอบขาว L</v>
          </cell>
        </row>
        <row r="3660">
          <cell r="A3660" t="str">
            <v>SN0047-M</v>
          </cell>
          <cell r="B3660" t="str">
            <v>N47</v>
          </cell>
          <cell r="C3660" t="str">
            <v>ซาติน แขนสั้นขาสั้น สีกรม หัวใจ ขอบขาว M</v>
          </cell>
        </row>
        <row r="3661">
          <cell r="A3661" t="str">
            <v>SN0048-L</v>
          </cell>
          <cell r="B3661" t="str">
            <v>N48</v>
          </cell>
          <cell r="C3661" t="str">
            <v>ซาติน แขนสั้นขาสั้น สีกรม ขอบชมพู L</v>
          </cell>
        </row>
        <row r="3662">
          <cell r="A3662" t="str">
            <v>SN0048-M</v>
          </cell>
          <cell r="B3662" t="str">
            <v>N48</v>
          </cell>
          <cell r="C3662" t="str">
            <v>ซาติน แขนสั้นขาสั้น สีกรม ขอบชมพู M</v>
          </cell>
        </row>
        <row r="3663">
          <cell r="A3663" t="str">
            <v>SN0049-L</v>
          </cell>
          <cell r="B3663" t="str">
            <v>N49</v>
          </cell>
          <cell r="C3663" t="str">
            <v>ซาติน แขนสั้นขาสั้น เรนโบ L</v>
          </cell>
        </row>
        <row r="3664">
          <cell r="A3664" t="str">
            <v>SN0049-M</v>
          </cell>
          <cell r="B3664" t="str">
            <v>N49</v>
          </cell>
          <cell r="C3664" t="str">
            <v>ซาติน แขนสั้นขาสั้น เรนโบ M</v>
          </cell>
        </row>
        <row r="3665">
          <cell r="A3665" t="str">
            <v>SN0049-S</v>
          </cell>
          <cell r="B3665" t="str">
            <v>N49</v>
          </cell>
          <cell r="C3665" t="str">
            <v>ซาติน แขนสั้นขาสั้น เรนโบ S</v>
          </cell>
        </row>
        <row r="3666">
          <cell r="A3666" t="str">
            <v>SN0050-M</v>
          </cell>
          <cell r="B3666" t="str">
            <v>N50</v>
          </cell>
          <cell r="C3666" t="str">
            <v>ซาติน แขนสั้นขาสั้น ลายทางขาว M</v>
          </cell>
        </row>
        <row r="3667">
          <cell r="A3667" t="str">
            <v>SN0050-S</v>
          </cell>
          <cell r="B3667" t="str">
            <v>N50</v>
          </cell>
          <cell r="C3667" t="str">
            <v>ซาติน แขนสั้นขาสั้น ลายทางขาว S</v>
          </cell>
        </row>
        <row r="3668">
          <cell r="A3668" t="str">
            <v>SN0051-M</v>
          </cell>
          <cell r="B3668" t="str">
            <v>N51</v>
          </cell>
          <cell r="C3668" t="str">
            <v>ซาติน แขนสั้นขาสั้น ลายทาง ขาวดำ ขอบส้ม M</v>
          </cell>
        </row>
        <row r="3669">
          <cell r="A3669" t="str">
            <v>SN0051-S</v>
          </cell>
          <cell r="B3669" t="str">
            <v>N51</v>
          </cell>
          <cell r="C3669" t="str">
            <v>ซาติน แขนสั้นขาสั้น ลายทาง ขาวดำ ขอบส้ม S</v>
          </cell>
        </row>
        <row r="3670">
          <cell r="A3670" t="str">
            <v>SN0052-M</v>
          </cell>
          <cell r="B3670" t="str">
            <v>N52</v>
          </cell>
          <cell r="C3670" t="str">
            <v>ซาติน แขนสั้นขาสั้น ลายทาง เขียวครีม M</v>
          </cell>
        </row>
        <row r="3671">
          <cell r="A3671" t="str">
            <v>SN0052-S</v>
          </cell>
          <cell r="B3671" t="str">
            <v>N52</v>
          </cell>
          <cell r="C3671" t="str">
            <v>ซาติน แขนสั้นขาสั้น ลายทาง เขียวครีม S</v>
          </cell>
        </row>
        <row r="3672">
          <cell r="A3672" t="str">
            <v>SN0053-M</v>
          </cell>
          <cell r="B3672" t="str">
            <v>N53</v>
          </cell>
          <cell r="C3672" t="str">
            <v>ซาติน แขนสั้นขาสั้น ลายทาง น้ำเงินเขียว M</v>
          </cell>
        </row>
        <row r="3673">
          <cell r="A3673" t="str">
            <v>SN0053-S</v>
          </cell>
          <cell r="B3673" t="str">
            <v>N53</v>
          </cell>
          <cell r="C3673" t="str">
            <v>ซาติน แขนสั้นขาสั้น ลายทาง น้ำเงินเขียว S</v>
          </cell>
        </row>
        <row r="3674">
          <cell r="A3674" t="str">
            <v>SN0054-L</v>
          </cell>
          <cell r="B3674" t="str">
            <v>JN54</v>
          </cell>
          <cell r="C3674" t="str">
            <v>ซาติน แขนสั้นขาสั้น ส้มพาสเทล L ตัวโชว์</v>
          </cell>
        </row>
        <row r="3675">
          <cell r="A3675" t="str">
            <v>SN0054-M</v>
          </cell>
          <cell r="B3675" t="str">
            <v>N54</v>
          </cell>
          <cell r="C3675" t="str">
            <v>ซาติน แขนสั้นขาสั้น ส้มพาสเทล M</v>
          </cell>
        </row>
        <row r="3676">
          <cell r="A3676" t="str">
            <v>SN0055-L</v>
          </cell>
          <cell r="B3676" t="str">
            <v>N55</v>
          </cell>
          <cell r="C3676" t="str">
            <v>ซาติน แขนสั้นขาสั้น ชมพูพาสเทล L</v>
          </cell>
        </row>
        <row r="3677">
          <cell r="A3677" t="str">
            <v>SN0055-M</v>
          </cell>
          <cell r="B3677" t="str">
            <v>JN55</v>
          </cell>
          <cell r="C3677" t="str">
            <v>ซาติน แขนสั้นขาสั้น ชมพูพาสเทล M ตัวโชว์</v>
          </cell>
        </row>
        <row r="3678">
          <cell r="A3678" t="str">
            <v>SN0061-L</v>
          </cell>
          <cell r="B3678" t="str">
            <v>N61</v>
          </cell>
          <cell r="C3678" t="str">
            <v>ซาติน แขนสั้นขาสั้น ชมพู ส้ม L</v>
          </cell>
        </row>
        <row r="3679">
          <cell r="A3679" t="str">
            <v>SN0061-M</v>
          </cell>
          <cell r="B3679" t="str">
            <v>N61</v>
          </cell>
          <cell r="C3679" t="str">
            <v>ซาติน แขนสั้นขาสั้น ชมพู ส้ม M</v>
          </cell>
        </row>
        <row r="3680">
          <cell r="A3680" t="str">
            <v>SN0064-L</v>
          </cell>
          <cell r="B3680" t="str">
            <v>JN64</v>
          </cell>
          <cell r="C3680" t="str">
            <v>ซาติน แขนสั้นขาสั้น ขาว จุดโอรส ขอบเขียว L ตัวโชว์</v>
          </cell>
        </row>
        <row r="3681">
          <cell r="A3681" t="str">
            <v>SN0064-M</v>
          </cell>
          <cell r="B3681" t="str">
            <v>ป7</v>
          </cell>
          <cell r="C3681" t="str">
            <v>ซาติน แขนสั้นขาสั้น ขาว จุดโอรส ขอบเขียว M</v>
          </cell>
        </row>
        <row r="3682">
          <cell r="A3682" t="str">
            <v>SN0065-L</v>
          </cell>
          <cell r="B3682" t="str">
            <v>N65</v>
          </cell>
          <cell r="C3682" t="str">
            <v>ซาติน แขนสั้นขาสั้น สีชมพูจุดขาว ขอบฟ้า L</v>
          </cell>
        </row>
        <row r="3683">
          <cell r="A3683" t="str">
            <v>SN0065-M</v>
          </cell>
          <cell r="B3683" t="str">
            <v>N65</v>
          </cell>
          <cell r="C3683" t="str">
            <v>ซาติน แขนสั้นขาสั้น สีชมพูจุดขาว ขอบฟ้า M</v>
          </cell>
        </row>
        <row r="3684">
          <cell r="A3684" t="str">
            <v>SN0066-M</v>
          </cell>
          <cell r="B3684" t="str">
            <v>N66</v>
          </cell>
          <cell r="C3684" t="str">
            <v>ซาติน แขนสั้นขาสั้น ลายสก็อต แดงน้ำเงิน M</v>
          </cell>
        </row>
        <row r="3685">
          <cell r="A3685" t="str">
            <v>SN0066-S</v>
          </cell>
          <cell r="B3685" t="str">
            <v>N66</v>
          </cell>
          <cell r="C3685" t="str">
            <v>ซาติน แขนสั้นขาสั้น ลายสก็อต แดงน้ำเงิน S</v>
          </cell>
        </row>
        <row r="3686">
          <cell r="A3686" t="str">
            <v>SN0067-M</v>
          </cell>
          <cell r="B3686" t="str">
            <v>N67</v>
          </cell>
          <cell r="C3686" t="str">
            <v>ซาติน แขนสั้นขาสั้น ลายสก็อต เหลืองดำ M</v>
          </cell>
        </row>
        <row r="3687">
          <cell r="A3687" t="str">
            <v>SN0073-L</v>
          </cell>
          <cell r="B3687" t="str">
            <v>N73</v>
          </cell>
          <cell r="C3687" t="str">
            <v>ซาติน แขนสั้นขาสั้น ลายผู้หญิง L</v>
          </cell>
        </row>
        <row r="3688">
          <cell r="A3688" t="str">
            <v>SN0073-XL</v>
          </cell>
          <cell r="B3688" t="str">
            <v>N73</v>
          </cell>
          <cell r="C3688" t="str">
            <v>ซาติน แขนสั้นขาสั้น ลายผู้หญิง XL</v>
          </cell>
        </row>
        <row r="3689">
          <cell r="A3689" t="str">
            <v>SN0074-L</v>
          </cell>
          <cell r="B3689" t="str">
            <v>N74</v>
          </cell>
          <cell r="C3689" t="str">
            <v>ซาติน แขนสั้นขาสั้น ฮองเฮา ม่วง L</v>
          </cell>
        </row>
        <row r="3690">
          <cell r="A3690" t="str">
            <v>SN0074-M</v>
          </cell>
          <cell r="B3690" t="str">
            <v>N74</v>
          </cell>
          <cell r="C3690" t="str">
            <v>ซาติน แขนสั้นขาสั้น ฮองเฮา ม่วง M</v>
          </cell>
        </row>
        <row r="3691">
          <cell r="A3691" t="str">
            <v>SN0075-L</v>
          </cell>
          <cell r="B3691" t="str">
            <v>N75</v>
          </cell>
          <cell r="C3691" t="str">
            <v>ซาติน แขนสั้นขาสั้น ฮองเฮา ชมพู L</v>
          </cell>
        </row>
        <row r="3692">
          <cell r="A3692" t="str">
            <v>SN0075-M</v>
          </cell>
          <cell r="B3692" t="str">
            <v>N75</v>
          </cell>
          <cell r="C3692" t="str">
            <v>ซาติน แขนสั้นขาสั้น ฮองเฮา ชมพู M</v>
          </cell>
        </row>
        <row r="3693">
          <cell r="A3693" t="str">
            <v>SN0076-L</v>
          </cell>
          <cell r="B3693" t="str">
            <v>N76</v>
          </cell>
          <cell r="C3693" t="str">
            <v>ซาติน แขนสั้นขาสั้น ผู้หญิง เสื้อชมพู L</v>
          </cell>
        </row>
        <row r="3694">
          <cell r="A3694" t="str">
            <v>SN0076-M</v>
          </cell>
          <cell r="B3694" t="str">
            <v>N76</v>
          </cell>
          <cell r="C3694" t="str">
            <v>ซาติน แขนสั้นขาสั้น ผู้หญิง เสื้อชมพู M</v>
          </cell>
        </row>
        <row r="3695">
          <cell r="A3695" t="str">
            <v>SN0077-L</v>
          </cell>
          <cell r="B3695" t="str">
            <v>N77</v>
          </cell>
          <cell r="C3695" t="str">
            <v>ซาติน แขนสั้นขาสั้น ผู้หญิง เสื้อฟ้า L</v>
          </cell>
        </row>
        <row r="3696">
          <cell r="A3696" t="str">
            <v>SN0077-M</v>
          </cell>
          <cell r="B3696" t="str">
            <v>N77</v>
          </cell>
          <cell r="C3696" t="str">
            <v>ซาติน แขนสั้นขาสั้น ผู้หญิง เสื้อฟ้า M</v>
          </cell>
        </row>
        <row r="3697">
          <cell r="A3697" t="str">
            <v>SN0078-L</v>
          </cell>
          <cell r="B3697" t="str">
            <v>N78</v>
          </cell>
          <cell r="C3697" t="str">
            <v>ซาติน แขนสั้นขาสั้น ชมพูฟ้า ปิ๊กนิก L</v>
          </cell>
        </row>
        <row r="3698">
          <cell r="A3698" t="str">
            <v>SN0078-M</v>
          </cell>
          <cell r="B3698" t="str">
            <v>N78</v>
          </cell>
          <cell r="C3698" t="str">
            <v>ซาติน แขนสั้นขาสั้น ชมพูฟ้า ปิ๊กนิก M</v>
          </cell>
        </row>
        <row r="3699">
          <cell r="A3699" t="str">
            <v>SN0078-S</v>
          </cell>
          <cell r="B3699" t="str">
            <v>N78</v>
          </cell>
          <cell r="C3699" t="str">
            <v>ซาติน แขนสั้นขาสั้น ชมพูฟ้า ปิ๊กนิก S</v>
          </cell>
        </row>
        <row r="3700">
          <cell r="A3700" t="str">
            <v>SN0079-L</v>
          </cell>
          <cell r="B3700" t="str">
            <v>N79</v>
          </cell>
          <cell r="C3700" t="str">
            <v>ซาติน แขนสั้นขาสั้น หน้ายิ้ม พื้นเขียว L</v>
          </cell>
        </row>
        <row r="3701">
          <cell r="A3701" t="str">
            <v>SN0079-M</v>
          </cell>
          <cell r="B3701" t="str">
            <v>N79</v>
          </cell>
          <cell r="C3701" t="str">
            <v>ซาติน แขนสั้นขาสั้น หน้ายิ้ม พื้นเขียว M</v>
          </cell>
        </row>
        <row r="3702">
          <cell r="A3702" t="str">
            <v>SN0085-M</v>
          </cell>
          <cell r="B3702" t="str">
            <v>N85</v>
          </cell>
          <cell r="C3702" t="str">
            <v>ซาติน แขนสั้นขาสั้น ลายดาวเหลือง พื้นสีนู๊ด M</v>
          </cell>
        </row>
        <row r="3703">
          <cell r="A3703" t="str">
            <v>SN0085-S</v>
          </cell>
          <cell r="B3703" t="str">
            <v>N85</v>
          </cell>
          <cell r="C3703" t="str">
            <v>ซาติน แขนสั้นขาสั้น ลายดาวเหลือง พื้นสีนู๊ด S</v>
          </cell>
        </row>
        <row r="3704">
          <cell r="A3704" t="str">
            <v>SN0086-L</v>
          </cell>
          <cell r="B3704" t="str">
            <v>N86</v>
          </cell>
          <cell r="C3704" t="str">
            <v>ซาติน แขนสั้นขาสั้น สีโอรส ลายดาวเดือน L</v>
          </cell>
        </row>
        <row r="3705">
          <cell r="A3705" t="str">
            <v>SN0086-M</v>
          </cell>
          <cell r="B3705" t="str">
            <v>N86</v>
          </cell>
          <cell r="C3705" t="str">
            <v>ซาติน แขนสั้นขาสั้น สีโอรส ลายดาวเดือน M</v>
          </cell>
        </row>
        <row r="3706">
          <cell r="A3706" t="str">
            <v>SN0087-2XL</v>
          </cell>
          <cell r="B3706" t="str">
            <v>N87</v>
          </cell>
          <cell r="C3706" t="str">
            <v>ซาติน แขนสั้นขาสั้น ชมพูนู้ดเข้ม ลายดาวเดือน 2XL</v>
          </cell>
        </row>
        <row r="3707">
          <cell r="A3707" t="str">
            <v>SN0087-L</v>
          </cell>
          <cell r="B3707" t="str">
            <v>N87</v>
          </cell>
          <cell r="C3707" t="str">
            <v>ซาติน แขนสั้นขาสั้น ชมพูนู้ดเข้ม ลายดาวเดือน L</v>
          </cell>
        </row>
        <row r="3708">
          <cell r="A3708" t="str">
            <v>SN0087-M</v>
          </cell>
          <cell r="B3708" t="str">
            <v>N87</v>
          </cell>
          <cell r="C3708" t="str">
            <v>ซาติน แขนสั้นขาสั้น ชมพูนู้ดเข้ม ลายดาวเดือน M</v>
          </cell>
        </row>
        <row r="3709">
          <cell r="A3709" t="str">
            <v>SN0087-XL</v>
          </cell>
          <cell r="B3709" t="str">
            <v>N87</v>
          </cell>
          <cell r="C3709" t="str">
            <v>ซาติน แขนสั้นขาสั้น ชมพูนู๊ดเข้ม ลายดาวเดือน XL</v>
          </cell>
        </row>
        <row r="3710">
          <cell r="A3710" t="str">
            <v>SN0088-L</v>
          </cell>
          <cell r="B3710" t="str">
            <v>N88</v>
          </cell>
          <cell r="C3710" t="str">
            <v>ซาติน แขนสั้นขาสั้น สีทองขอบเขียว ลายดาวเดือน L</v>
          </cell>
        </row>
        <row r="3711">
          <cell r="A3711" t="str">
            <v>SN0088-M</v>
          </cell>
          <cell r="B3711" t="str">
            <v>N88</v>
          </cell>
          <cell r="C3711" t="str">
            <v>ซาติน แขนสั้นขาสั้น สีทองขอบเขียว ลายดาวเดือน M</v>
          </cell>
        </row>
        <row r="3712">
          <cell r="A3712" t="str">
            <v>SN0088-S</v>
          </cell>
          <cell r="B3712" t="str">
            <v>N88</v>
          </cell>
          <cell r="C3712" t="str">
            <v>ซาติน แขนสั้นขาสั้น สีทองขอบเขียว ลายดาวเดือน S</v>
          </cell>
        </row>
        <row r="3713">
          <cell r="A3713" t="str">
            <v>SN0089-L</v>
          </cell>
          <cell r="B3713" t="str">
            <v>N89</v>
          </cell>
          <cell r="C3713" t="str">
            <v>ซาติน แขนสั้นขาสั้น เสือดาว พื้นเหลืองอ่อน L</v>
          </cell>
        </row>
        <row r="3714">
          <cell r="A3714" t="str">
            <v>SN0089-M</v>
          </cell>
          <cell r="B3714" t="str">
            <v>N89</v>
          </cell>
          <cell r="C3714" t="str">
            <v>ซาติน แขนสั้นขาสั้น เสือดาว พื้นเหลืองอ่อน M</v>
          </cell>
        </row>
        <row r="3715">
          <cell r="A3715" t="str">
            <v>SN0089-S</v>
          </cell>
          <cell r="B3715" t="str">
            <v>N89</v>
          </cell>
          <cell r="C3715" t="str">
            <v>ซาติน แขนสั้นขาสั้น เสือดาว พื้นเหลืองอ่อน S</v>
          </cell>
        </row>
        <row r="3716">
          <cell r="A3716" t="str">
            <v>SN0090-M</v>
          </cell>
          <cell r="B3716" t="str">
            <v>N90</v>
          </cell>
          <cell r="C3716" t="str">
            <v>ซาติน แขนสั้นขาสั้น เสือดาว พื้นฟ้าอ่อน M</v>
          </cell>
        </row>
        <row r="3717">
          <cell r="A3717" t="str">
            <v>SN0090-S</v>
          </cell>
          <cell r="B3717" t="str">
            <v>N90</v>
          </cell>
          <cell r="C3717" t="str">
            <v>ซาติน แขนสั้นขาสั้น เสือดาว พื้นฟ้าอ่อน S</v>
          </cell>
        </row>
        <row r="3718">
          <cell r="A3718" t="str">
            <v>SN0091-M</v>
          </cell>
          <cell r="B3718" t="str">
            <v>N91</v>
          </cell>
          <cell r="C3718" t="str">
            <v>ซาติน แขนสั้นขาสั้น เสือดาว พื้นกรม M</v>
          </cell>
        </row>
        <row r="3719">
          <cell r="A3719" t="str">
            <v>SN0091-S</v>
          </cell>
          <cell r="B3719" t="str">
            <v>N91</v>
          </cell>
          <cell r="C3719" t="str">
            <v>ซาติน แขนสั้นขาสั้น เสือดาว พื้นกรม S</v>
          </cell>
        </row>
        <row r="3720">
          <cell r="A3720" t="str">
            <v>SN0093-L</v>
          </cell>
          <cell r="B3720" t="str">
            <v>N93</v>
          </cell>
          <cell r="C3720" t="str">
            <v>ซาติน แขนสั้นขาสั้น น้ำตาลชมพู HEERIOUE - L</v>
          </cell>
        </row>
        <row r="3721">
          <cell r="A3721" t="str">
            <v>SN0093-M</v>
          </cell>
          <cell r="B3721" t="str">
            <v>N93</v>
          </cell>
          <cell r="C3721" t="str">
            <v>ซาติน แขนสั้นขาสั้น น้ำตาลชมพู HEERIOUE - M</v>
          </cell>
        </row>
        <row r="3722">
          <cell r="A3722" t="str">
            <v>SN0094-M</v>
          </cell>
          <cell r="B3722" t="str">
            <v>N94</v>
          </cell>
          <cell r="C3722" t="str">
            <v>ซาติน แขนสั้นขาสั้น ดำ TWINKLING - M</v>
          </cell>
        </row>
        <row r="3723">
          <cell r="A3723" t="str">
            <v>SN0094-S</v>
          </cell>
          <cell r="B3723" t="str">
            <v>N94</v>
          </cell>
          <cell r="C3723" t="str">
            <v>ซาติน แขนสั้นขาสั้น ดำ TWINKLING - S</v>
          </cell>
        </row>
        <row r="3724">
          <cell r="A3724" t="str">
            <v>SN0095-M</v>
          </cell>
          <cell r="B3724" t="str">
            <v>N95</v>
          </cell>
          <cell r="C3724" t="str">
            <v>ซาติน แขนสั้นขาสั้นชมพู TWINKLING - M</v>
          </cell>
        </row>
        <row r="3725">
          <cell r="A3725" t="str">
            <v>SN0095-S</v>
          </cell>
          <cell r="B3725" t="str">
            <v>N95</v>
          </cell>
          <cell r="C3725" t="str">
            <v>ซาติน แขนสั้นขาสั้นชมพู TWINKLING - S</v>
          </cell>
        </row>
        <row r="3726">
          <cell r="A3726" t="str">
            <v>SN0096-M</v>
          </cell>
          <cell r="B3726" t="str">
            <v>N96</v>
          </cell>
          <cell r="C3726" t="str">
            <v>ซาติน แขนสั้นขาสั้น ลาย ABC พื้นดำ M</v>
          </cell>
        </row>
        <row r="3727">
          <cell r="A3727" t="str">
            <v>SN0096-S</v>
          </cell>
          <cell r="B3727" t="str">
            <v>N96</v>
          </cell>
          <cell r="C3727" t="str">
            <v>ซาติน แขนยาวขาสั้น ลายABC พื้นดำ S</v>
          </cell>
        </row>
        <row r="3728">
          <cell r="A3728" t="str">
            <v>SN0097-M</v>
          </cell>
          <cell r="B3728" t="str">
            <v>N97</v>
          </cell>
          <cell r="C3728" t="str">
            <v>ซาติน แขนสั้นขาสั้น ลาย SV พื้นม่วง M</v>
          </cell>
        </row>
        <row r="3729">
          <cell r="A3729" t="str">
            <v>SN0097-S</v>
          </cell>
          <cell r="B3729" t="str">
            <v>N97</v>
          </cell>
          <cell r="C3729" t="str">
            <v>ซาติน แขนสั้นขาสั้น ลาย SV พื้นม่วง S</v>
          </cell>
        </row>
        <row r="3730">
          <cell r="A3730" t="str">
            <v>SN0098-S</v>
          </cell>
          <cell r="B3730" t="str">
            <v>N98</v>
          </cell>
          <cell r="C3730" t="str">
            <v>ซาติน แขนสั้นขาสั้น ลาย FF - S</v>
          </cell>
        </row>
        <row r="3731">
          <cell r="A3731" t="str">
            <v>SN0099-L</v>
          </cell>
          <cell r="B3731" t="str">
            <v>N99</v>
          </cell>
          <cell r="C3731" t="str">
            <v>ซาติน แขนสั้นขาสั้น พื้นขาว ตัว V L</v>
          </cell>
        </row>
        <row r="3732">
          <cell r="A3732" t="str">
            <v>SN0099-M</v>
          </cell>
          <cell r="B3732" t="str">
            <v>N99</v>
          </cell>
          <cell r="C3732" t="str">
            <v>ซาติน แขนสั้นขาสั้น พื้นขาว ตัว V M</v>
          </cell>
        </row>
        <row r="3733">
          <cell r="A3733" t="str">
            <v>SN0100-L</v>
          </cell>
          <cell r="B3733" t="str">
            <v>N100</v>
          </cell>
          <cell r="C3733" t="str">
            <v>ซาติน แขนสั้นขาสั้น พื้นดำ ตัว V L</v>
          </cell>
        </row>
        <row r="3734">
          <cell r="A3734" t="str">
            <v>SN0100-M</v>
          </cell>
          <cell r="B3734" t="str">
            <v>N100</v>
          </cell>
          <cell r="C3734" t="str">
            <v>ซาติน แขนสั้นขาสั้น พื้นดำ ตัว V M</v>
          </cell>
        </row>
        <row r="3735">
          <cell r="A3735" t="str">
            <v>SN0103-M</v>
          </cell>
          <cell r="B3735" t="str">
            <v>N103</v>
          </cell>
          <cell r="C3735" t="str">
            <v>ซาติน แขนสั้นขาสั้น ลายโซ่ M</v>
          </cell>
        </row>
        <row r="3736">
          <cell r="A3736" t="str">
            <v>SN0103-S</v>
          </cell>
          <cell r="B3736" t="str">
            <v>N103</v>
          </cell>
          <cell r="C3736" t="str">
            <v>ซาติน แขนสั้นขาสั้น ลายโซ่ S</v>
          </cell>
        </row>
        <row r="3737">
          <cell r="A3737" t="str">
            <v>SN0109-L</v>
          </cell>
          <cell r="B3737" t="str">
            <v>N109</v>
          </cell>
          <cell r="C3737" t="str">
            <v>ซาติน แขนสั้นขาสั้น ขาวระบายครีม L</v>
          </cell>
        </row>
        <row r="3738">
          <cell r="A3738" t="str">
            <v>SN0109-M</v>
          </cell>
          <cell r="B3738" t="str">
            <v>N109</v>
          </cell>
          <cell r="C3738" t="str">
            <v>ซาติน แขนสั้นขาสั้น ขาวระบายครีม M</v>
          </cell>
        </row>
        <row r="3739">
          <cell r="A3739" t="str">
            <v>SN0109-XL</v>
          </cell>
          <cell r="B3739" t="str">
            <v>N109</v>
          </cell>
          <cell r="C3739" t="str">
            <v>ซาติน แขนสั้นขาสั้น ขาวระบายครีม XL</v>
          </cell>
        </row>
        <row r="3740">
          <cell r="A3740" t="str">
            <v>SN0110-L</v>
          </cell>
          <cell r="B3740" t="str">
            <v>N110</v>
          </cell>
          <cell r="C3740" t="str">
            <v>ซาติน แขนสั้นขาสั้น ครีม ระบายขาว L</v>
          </cell>
        </row>
        <row r="3741">
          <cell r="A3741" t="str">
            <v>SN0110-M</v>
          </cell>
          <cell r="B3741" t="str">
            <v>N110</v>
          </cell>
          <cell r="C3741" t="str">
            <v>ซาติน แขนสั้นขาสั้น ครีม ระบายขาว M</v>
          </cell>
        </row>
        <row r="3742">
          <cell r="A3742" t="str">
            <v>SN0110-XL</v>
          </cell>
          <cell r="B3742" t="str">
            <v>N110</v>
          </cell>
          <cell r="C3742" t="str">
            <v>ซาติน แขนสั้นขาสั้น ครีม ระบายขาว XL</v>
          </cell>
        </row>
        <row r="3743">
          <cell r="A3743" t="str">
            <v>SN0111-L</v>
          </cell>
          <cell r="B3743" t="str">
            <v>N111</v>
          </cell>
          <cell r="C3743" t="str">
            <v>ซาติน แขนสั้นขาสั้น ฟ้าเข้มระบายชมพู L</v>
          </cell>
        </row>
        <row r="3744">
          <cell r="A3744" t="str">
            <v>SN0111-M</v>
          </cell>
          <cell r="B3744" t="str">
            <v>N111</v>
          </cell>
          <cell r="C3744" t="str">
            <v>ซาติน แขนสั้นขาสั้น ฟ้าเข้มระบายชมพู M</v>
          </cell>
        </row>
        <row r="3745">
          <cell r="A3745" t="str">
            <v>SN0111-XL</v>
          </cell>
          <cell r="B3745" t="str">
            <v>N111</v>
          </cell>
          <cell r="C3745" t="str">
            <v>ซาติน แขนสั้นขาสั้น ฟ้าเข้มระบายชมพู XL</v>
          </cell>
        </row>
        <row r="3746">
          <cell r="A3746" t="str">
            <v>SN0112-L</v>
          </cell>
          <cell r="B3746" t="str">
            <v>N112</v>
          </cell>
          <cell r="C3746" t="str">
            <v>ซาติน แขนสั้นขาสั้น สีฟ้า ระบายชมพู L</v>
          </cell>
        </row>
        <row r="3747">
          <cell r="A3747" t="str">
            <v>SN0112-M</v>
          </cell>
          <cell r="B3747" t="str">
            <v>N112</v>
          </cell>
          <cell r="C3747" t="str">
            <v>ซาติน แขนสั้นขาสั้น สีฟ้า ระบายชมพู M</v>
          </cell>
        </row>
        <row r="3748">
          <cell r="A3748" t="str">
            <v>SN0112-XL</v>
          </cell>
          <cell r="B3748" t="str">
            <v>N112</v>
          </cell>
          <cell r="C3748" t="str">
            <v>ซาติน แขนสั้นขาสั้น สีฟ้า ระบายชมพู XL</v>
          </cell>
        </row>
        <row r="3749">
          <cell r="A3749" t="str">
            <v>SN0113-L</v>
          </cell>
          <cell r="B3749" t="str">
            <v>N113</v>
          </cell>
          <cell r="C3749" t="str">
            <v>ซาติน แขนสั้นขาสั้น สีกรม ระบายชมพู L</v>
          </cell>
        </row>
        <row r="3750">
          <cell r="A3750" t="str">
            <v>SN0113-M</v>
          </cell>
          <cell r="B3750" t="str">
            <v>N113</v>
          </cell>
          <cell r="C3750" t="str">
            <v>ซาติน แขนสั้นขาสั้น สีกรม ระบายชมพู M</v>
          </cell>
        </row>
        <row r="3751">
          <cell r="A3751" t="str">
            <v>SN0117-2XL</v>
          </cell>
          <cell r="B3751" t="str">
            <v>N117</v>
          </cell>
          <cell r="C3751" t="str">
            <v>ซาติน แขนสั้นขาสั้น สีครีม คอบัว ม่วง 2XL</v>
          </cell>
        </row>
        <row r="3752">
          <cell r="A3752" t="str">
            <v>SN0117-L</v>
          </cell>
          <cell r="B3752" t="str">
            <v>N117</v>
          </cell>
          <cell r="C3752" t="str">
            <v>ซาติน แขนสั้นขาสั้น สีครีม คอบัว ม่วง L</v>
          </cell>
        </row>
        <row r="3753">
          <cell r="A3753" t="str">
            <v>SN0117-M</v>
          </cell>
          <cell r="B3753" t="str">
            <v>N117</v>
          </cell>
          <cell r="C3753" t="str">
            <v>ซาติน แขนสั้นขาสั้น สีครีม คอบัว ม่วง M</v>
          </cell>
        </row>
        <row r="3754">
          <cell r="A3754" t="str">
            <v>SN0117-XL</v>
          </cell>
          <cell r="B3754" t="str">
            <v>N117</v>
          </cell>
          <cell r="C3754" t="str">
            <v>ซาติน แขนสั้นขาสั้น สีครีม คอบัว ม่วง XL</v>
          </cell>
        </row>
        <row r="3755">
          <cell r="A3755" t="str">
            <v>SN0120-L</v>
          </cell>
          <cell r="B3755" t="str">
            <v>N120</v>
          </cell>
          <cell r="C3755" t="str">
            <v>ซาติน แขนสั้นขาสั้น คอบัว สีม่วง L</v>
          </cell>
        </row>
        <row r="3756">
          <cell r="A3756" t="str">
            <v>SN0120-M</v>
          </cell>
          <cell r="B3756" t="str">
            <v>N120</v>
          </cell>
          <cell r="C3756" t="str">
            <v>ซาติน แขนสั้นขาสั้น คอบัว สีม่วง M</v>
          </cell>
        </row>
        <row r="3757">
          <cell r="A3757" t="str">
            <v>SN0120-S</v>
          </cell>
          <cell r="B3757" t="str">
            <v>N120</v>
          </cell>
          <cell r="C3757" t="str">
            <v>ซาติน แขนสั้นขาสั้น คอบัว สีม่วง S</v>
          </cell>
        </row>
        <row r="3758">
          <cell r="A3758" t="str">
            <v>SN0120-XL</v>
          </cell>
          <cell r="B3758" t="str">
            <v>N120</v>
          </cell>
          <cell r="C3758" t="str">
            <v>ซาติน แขนสั้นขาสั้น คอบัว สีม่วง XL</v>
          </cell>
        </row>
        <row r="3759">
          <cell r="A3759" t="str">
            <v>SN0121-L</v>
          </cell>
          <cell r="B3759" t="str">
            <v>N121</v>
          </cell>
          <cell r="C3759" t="str">
            <v>ซาติน แขนสั้นขาสั้น คอบัว สีครีม L</v>
          </cell>
        </row>
        <row r="3760">
          <cell r="A3760" t="str">
            <v>SN0121-M</v>
          </cell>
          <cell r="B3760" t="str">
            <v>N121</v>
          </cell>
          <cell r="C3760" t="str">
            <v>ซาติน แขนสั้นขาสั้น คอบัว สีครีม M</v>
          </cell>
        </row>
        <row r="3761">
          <cell r="A3761" t="str">
            <v>SN0121-S</v>
          </cell>
          <cell r="B3761" t="str">
            <v>N121</v>
          </cell>
          <cell r="C3761" t="str">
            <v>ซาติน แขนสั้นขาสั้น คอบัว สีครีม S</v>
          </cell>
        </row>
        <row r="3762">
          <cell r="A3762" t="str">
            <v>SN0121-XL</v>
          </cell>
          <cell r="B3762" t="str">
            <v>N121</v>
          </cell>
          <cell r="C3762" t="str">
            <v>ซาติน แขนสั้นขาสั้น คอบัว สีครีม XL</v>
          </cell>
        </row>
        <row r="3763">
          <cell r="A3763" t="str">
            <v>SN0122-L</v>
          </cell>
          <cell r="B3763" t="str">
            <v>N122</v>
          </cell>
          <cell r="C3763" t="str">
            <v>ซาติน แขนสั้นขาสั้น คอบัว เขียวใบตอง L</v>
          </cell>
        </row>
        <row r="3764">
          <cell r="A3764" t="str">
            <v>SN0122-M</v>
          </cell>
          <cell r="B3764" t="str">
            <v>N122</v>
          </cell>
          <cell r="C3764" t="str">
            <v>ซาติน แขนสั้นขาสั้น คอบัว เขียวใบตอง M</v>
          </cell>
        </row>
        <row r="3765">
          <cell r="A3765" t="str">
            <v>SN0122-S</v>
          </cell>
          <cell r="B3765" t="str">
            <v>N122</v>
          </cell>
          <cell r="C3765" t="str">
            <v>ซาติน แขนสั้นขาสั้น คอบัว เขียวใบตอง S</v>
          </cell>
        </row>
        <row r="3766">
          <cell r="A3766" t="str">
            <v>SN0122-XL</v>
          </cell>
          <cell r="B3766" t="str">
            <v>N122</v>
          </cell>
          <cell r="C3766" t="str">
            <v>ซาติน แขนสั้นขาสั้น คอบัว เขียวใบตอง XL</v>
          </cell>
        </row>
        <row r="3767">
          <cell r="A3767" t="str">
            <v>SN0123-L</v>
          </cell>
          <cell r="B3767" t="str">
            <v>N123</v>
          </cell>
          <cell r="C3767" t="str">
            <v>ซาติน แขนสั้นขาสั้น เขียวอ่อน คอพริก L</v>
          </cell>
        </row>
        <row r="3768">
          <cell r="A3768" t="str">
            <v>SN0123-M</v>
          </cell>
          <cell r="B3768" t="str">
            <v>N123</v>
          </cell>
          <cell r="C3768" t="str">
            <v>ซาติน แขนสั้นขาสั้น เขียวอ่อน คอพริก M</v>
          </cell>
        </row>
        <row r="3769">
          <cell r="A3769" t="str">
            <v>SN0124-L</v>
          </cell>
          <cell r="B3769" t="str">
            <v>N124</v>
          </cell>
          <cell r="C3769" t="str">
            <v>ซาติน แขนสั้นขาสั้น ชมพูอ่อน คอพริก L</v>
          </cell>
        </row>
        <row r="3770">
          <cell r="A3770" t="str">
            <v>SN0124-M</v>
          </cell>
          <cell r="B3770" t="str">
            <v>N124</v>
          </cell>
          <cell r="C3770" t="str">
            <v>ซาติน แขนสั้นขาสั้น ชมพูอ่อน คอพริก M</v>
          </cell>
        </row>
        <row r="3771">
          <cell r="A3771" t="str">
            <v>SN0125-L</v>
          </cell>
          <cell r="B3771" t="str">
            <v>N125</v>
          </cell>
          <cell r="C3771" t="str">
            <v>ซาติน แขนสั้นขาสั้น ลายหัวใจ ชมพูอ่อน L</v>
          </cell>
        </row>
        <row r="3772">
          <cell r="A3772" t="str">
            <v>SN0125-M</v>
          </cell>
          <cell r="B3772" t="str">
            <v>N125</v>
          </cell>
          <cell r="C3772" t="str">
            <v>ซาติน แขนสั้นขาสั้น ลายหัวใจ ชมพูอ่อน M</v>
          </cell>
        </row>
        <row r="3773">
          <cell r="A3773" t="str">
            <v>SN0126-M</v>
          </cell>
          <cell r="B3773" t="str">
            <v>N126</v>
          </cell>
          <cell r="C3773" t="str">
            <v>ซาติน แขนสั้นขาสั้น แพนด้า M</v>
          </cell>
        </row>
        <row r="3774">
          <cell r="A3774" t="str">
            <v>SN0126-S</v>
          </cell>
          <cell r="B3774" t="str">
            <v>N126</v>
          </cell>
          <cell r="C3774" t="str">
            <v>ซาติน แขนสั้นขาสั้น แพนด้า S</v>
          </cell>
        </row>
        <row r="3775">
          <cell r="A3775" t="str">
            <v>SN0128-2XL</v>
          </cell>
          <cell r="B3775" t="str">
            <v>N128</v>
          </cell>
          <cell r="C3775" t="str">
            <v>ซาติน แขนสั้นขาสั้น ผีเสื้อดอกไม้ เขียว 2XL</v>
          </cell>
        </row>
        <row r="3776">
          <cell r="A3776" t="str">
            <v>SN0128-L</v>
          </cell>
          <cell r="B3776" t="str">
            <v>N128</v>
          </cell>
          <cell r="C3776" t="str">
            <v>ซาติน แขนสั้นขาสั้น ผีเสื้อดอกไม้ เขียว L</v>
          </cell>
        </row>
        <row r="3777">
          <cell r="A3777" t="str">
            <v>SN0128-M</v>
          </cell>
          <cell r="B3777" t="str">
            <v>N128</v>
          </cell>
          <cell r="C3777" t="str">
            <v>ซาติน แขนสั้นขาสั้น ผีเสื้อดอกไม้ เขียว M</v>
          </cell>
        </row>
        <row r="3778">
          <cell r="A3778" t="str">
            <v>SN0128-XL</v>
          </cell>
          <cell r="B3778" t="str">
            <v>N128</v>
          </cell>
          <cell r="C3778" t="str">
            <v>ซาติน แขนสั้นขาสั้น ผีเสื้อดอกไม้ เขียว XL</v>
          </cell>
        </row>
        <row r="3779">
          <cell r="A3779" t="str">
            <v>SN0129-L</v>
          </cell>
          <cell r="B3779" t="str">
            <v>N129</v>
          </cell>
          <cell r="C3779" t="str">
            <v>ซาติน แขนสั้นขาสั้น ลายหัวใจ ชมพูนู๊ด L</v>
          </cell>
        </row>
        <row r="3780">
          <cell r="A3780" t="str">
            <v>SN0129-M</v>
          </cell>
          <cell r="B3780" t="str">
            <v>N129</v>
          </cell>
          <cell r="C3780" t="str">
            <v>ซาติน แขนสั้นขาสั้น ลายหัวใจ ชมพูนู๊ด M</v>
          </cell>
        </row>
        <row r="3781">
          <cell r="A3781" t="str">
            <v>SN0130-M</v>
          </cell>
          <cell r="B3781" t="str">
            <v>N130</v>
          </cell>
          <cell r="C3781" t="str">
            <v>ซาติน แขนสี่ส่วน ขาสั้น ปิเตอร์แพน M</v>
          </cell>
        </row>
        <row r="3782">
          <cell r="A3782" t="str">
            <v>SN0130-S</v>
          </cell>
          <cell r="B3782" t="str">
            <v>N130</v>
          </cell>
          <cell r="C3782" t="str">
            <v>ซาติน แขนสี่ส่วน ขาสั้น ปิเตอร์แพน S</v>
          </cell>
        </row>
        <row r="3783">
          <cell r="A3783" t="str">
            <v>SN0133-L</v>
          </cell>
          <cell r="B3783" t="str">
            <v>N133</v>
          </cell>
          <cell r="C3783" t="str">
            <v>ซาติน แขนสั้นขาสั้น หมีกางเกงจุดน้ำตาล L</v>
          </cell>
        </row>
        <row r="3784">
          <cell r="A3784" t="str">
            <v>SN0133-M</v>
          </cell>
          <cell r="B3784" t="str">
            <v>N133</v>
          </cell>
          <cell r="C3784" t="str">
            <v>ซาติน แขนสั้นขาสั้น หมีกางเกงจุดน้ำตาล M</v>
          </cell>
        </row>
        <row r="3785">
          <cell r="A3785" t="str">
            <v>SN0134-L</v>
          </cell>
          <cell r="B3785" t="str">
            <v>N134</v>
          </cell>
          <cell r="C3785" t="str">
            <v>ซาติน แขนสั้นขาสั้น หมีกางเกงจุดเขียว L</v>
          </cell>
        </row>
        <row r="3786">
          <cell r="A3786" t="str">
            <v>SN0134-M</v>
          </cell>
          <cell r="B3786" t="str">
            <v>N134</v>
          </cell>
          <cell r="C3786" t="str">
            <v>ซาติน แขนสั้นขาสั้น หมีกางเกงจุดเขียว M</v>
          </cell>
        </row>
        <row r="3787">
          <cell r="A3787" t="str">
            <v>SN0137-L</v>
          </cell>
          <cell r="B3787" t="str">
            <v>N137</v>
          </cell>
          <cell r="C3787" t="str">
            <v>ซาติน แขนสั้นขาสั้น พื้นชมพู L</v>
          </cell>
        </row>
        <row r="3788">
          <cell r="A3788" t="str">
            <v>SN0137-M</v>
          </cell>
          <cell r="B3788" t="str">
            <v>N137</v>
          </cell>
          <cell r="C3788" t="str">
            <v>ซาติน แขนสั้นขาสั้น พื้นชมพู M</v>
          </cell>
        </row>
        <row r="3789">
          <cell r="A3789" t="str">
            <v>SN0138-L</v>
          </cell>
          <cell r="B3789" t="str">
            <v>N138</v>
          </cell>
          <cell r="C3789" t="str">
            <v>ซาติน แขนสั้นขาสั้น พื้นเขียว L</v>
          </cell>
        </row>
        <row r="3790">
          <cell r="A3790" t="str">
            <v>SN0138-M</v>
          </cell>
          <cell r="B3790" t="str">
            <v>N138</v>
          </cell>
          <cell r="C3790" t="str">
            <v>ซาติน แขนสั้นขาสั้น พื้นเขียว M</v>
          </cell>
        </row>
        <row r="3791">
          <cell r="A3791" t="str">
            <v>SN0142-L</v>
          </cell>
          <cell r="B3791" t="str">
            <v>JN142</v>
          </cell>
          <cell r="C3791" t="str">
            <v>ซาติน แขนสั้นขาสั้น เหลืองขอบเขียวลายหัวใจ L ตัวโชว์</v>
          </cell>
        </row>
        <row r="3792">
          <cell r="A3792" t="str">
            <v>SN0142-M</v>
          </cell>
          <cell r="B3792" t="str">
            <v>JN142</v>
          </cell>
          <cell r="C3792" t="str">
            <v>ซาติน แขนสั้นขาสั้น เหลืองขอบเขียวลายหัวใจ M ตัวโชว์</v>
          </cell>
        </row>
        <row r="3793">
          <cell r="A3793" t="str">
            <v>SN0181-L</v>
          </cell>
          <cell r="B3793" t="str">
            <v>N181</v>
          </cell>
          <cell r="C3793" t="str">
            <v>ซาติน แขนสั้นขาสั้น สีครีม ขอบเงิน L</v>
          </cell>
        </row>
        <row r="3794">
          <cell r="A3794" t="str">
            <v>SN0181-M</v>
          </cell>
          <cell r="B3794" t="str">
            <v>JN181</v>
          </cell>
          <cell r="C3794" t="str">
            <v>ซาติน แขนสั้นขาสั้น สีครีม ขอบเงิน M ตัวโชว์</v>
          </cell>
        </row>
        <row r="3795">
          <cell r="A3795" t="str">
            <v>SN0183-L</v>
          </cell>
          <cell r="B3795" t="str">
            <v>N183</v>
          </cell>
          <cell r="C3795" t="str">
            <v>ซาติน แขนสั้นขาสั้น กระเป๋าหัวใจพื้นฟ้า L</v>
          </cell>
        </row>
        <row r="3796">
          <cell r="A3796" t="str">
            <v>SN0183-M</v>
          </cell>
          <cell r="B3796" t="str">
            <v>N183</v>
          </cell>
          <cell r="C3796" t="str">
            <v>ซาติน แขนสั้นขาสั้น กระเป๋าหัวใจพื้นฟ้า M</v>
          </cell>
        </row>
        <row r="3797">
          <cell r="A3797" t="str">
            <v>SN0184-L</v>
          </cell>
          <cell r="B3797" t="str">
            <v>N184</v>
          </cell>
          <cell r="C3797" t="str">
            <v>ซาติน แขนสั้นขาสั้น ลายทางชมพู โบว์ดำ L</v>
          </cell>
        </row>
        <row r="3798">
          <cell r="A3798" t="str">
            <v>SN0184-M</v>
          </cell>
          <cell r="B3798" t="str">
            <v>N184</v>
          </cell>
          <cell r="C3798" t="str">
            <v>ซาติน แขนสั้นขาสั้น ลายทางชมพู โบว์ดำ M</v>
          </cell>
        </row>
        <row r="3799">
          <cell r="A3799" t="str">
            <v>SN0185-M</v>
          </cell>
          <cell r="B3799" t="str">
            <v>N185</v>
          </cell>
          <cell r="C3799" t="str">
            <v>ซาติน แขนสั้นขาสั้น ชมพูหัวใจ ขอบดำ M</v>
          </cell>
        </row>
        <row r="3800">
          <cell r="A3800" t="str">
            <v>SN0187-L</v>
          </cell>
          <cell r="B3800" t="str">
            <v>N187</v>
          </cell>
          <cell r="C3800" t="str">
            <v>ซาติน แขนสั้นขาสั้น สีฟ้า ขอบชมพู L</v>
          </cell>
        </row>
        <row r="3801">
          <cell r="A3801" t="str">
            <v>SN0187-M</v>
          </cell>
          <cell r="B3801" t="str">
            <v>N187</v>
          </cell>
          <cell r="C3801" t="str">
            <v>ซาตินแขนสั้นขาสั้น สีฟ้า ขอบชมพู M</v>
          </cell>
        </row>
        <row r="3802">
          <cell r="A3802" t="str">
            <v>SN0191-F</v>
          </cell>
          <cell r="B3802" t="str">
            <v>N191</v>
          </cell>
          <cell r="C3802" t="str">
            <v>ซาติน แขนสั้นขาสั้น ดอกไม้น้ำเงิน ฟรีไซด์</v>
          </cell>
        </row>
        <row r="3803">
          <cell r="A3803" t="str">
            <v>SN0192-L</v>
          </cell>
          <cell r="B3803" t="str">
            <v>N192</v>
          </cell>
          <cell r="C3803" t="str">
            <v>ซาติน แขนสั้นขาสั้น พื้นชมพู ตัว V L</v>
          </cell>
        </row>
        <row r="3804">
          <cell r="A3804" t="str">
            <v>SN0192-M</v>
          </cell>
          <cell r="B3804" t="str">
            <v>N192</v>
          </cell>
          <cell r="C3804" t="str">
            <v>ซาติน แขนสั้นขาสั้น พื้นชมพู ตัว V M</v>
          </cell>
        </row>
        <row r="3805">
          <cell r="A3805" t="str">
            <v>SN0193-F</v>
          </cell>
          <cell r="B3805" t="str">
            <v>N193</v>
          </cell>
          <cell r="C3805" t="str">
            <v>ซาติน แขนสั้นขาสั้น ไข่ดาว สีฟ้า ฟรีไซส์</v>
          </cell>
        </row>
        <row r="3806">
          <cell r="A3806" t="str">
            <v>SN0193-L</v>
          </cell>
          <cell r="B3806" t="str">
            <v>N193</v>
          </cell>
          <cell r="C3806" t="str">
            <v>ซาติน แขนสั้นขาสั้น ไข่ดาว สีฟ้า L</v>
          </cell>
        </row>
        <row r="3807">
          <cell r="A3807" t="str">
            <v>SN0193-M</v>
          </cell>
          <cell r="B3807" t="str">
            <v>N193</v>
          </cell>
          <cell r="C3807" t="str">
            <v>ซาติน แขนสั้นขาสั้น ไข่ดาว สีฟ้า M</v>
          </cell>
        </row>
        <row r="3808">
          <cell r="A3808" t="str">
            <v>SN0196-L</v>
          </cell>
          <cell r="B3808" t="str">
            <v>N196</v>
          </cell>
          <cell r="C3808" t="str">
            <v>ซาติน แขนสั้นขาสั้น เหลือง ระบายขาว L</v>
          </cell>
        </row>
        <row r="3809">
          <cell r="A3809" t="str">
            <v>SN0196-M</v>
          </cell>
          <cell r="B3809" t="str">
            <v>N196</v>
          </cell>
          <cell r="C3809" t="str">
            <v>ซาติน แขนสั้นขาสั้น เหลือง ระบายขาว M</v>
          </cell>
        </row>
        <row r="3810">
          <cell r="A3810" t="str">
            <v>SN0197-L</v>
          </cell>
          <cell r="B3810" t="str">
            <v>N197</v>
          </cell>
          <cell r="C3810" t="str">
            <v>ซาติน แขนสั้นขาสั้น ฟ้าทะเล ระบายครีม L</v>
          </cell>
        </row>
        <row r="3811">
          <cell r="A3811" t="str">
            <v>SN0197-M</v>
          </cell>
          <cell r="B3811" t="str">
            <v>N197</v>
          </cell>
          <cell r="C3811" t="str">
            <v>ซาติน แขนสั้นขาสั้น ฟ้าทะเล ระบายครีม M</v>
          </cell>
        </row>
        <row r="3812">
          <cell r="A3812" t="str">
            <v>SN0198-L</v>
          </cell>
          <cell r="B3812" t="str">
            <v>N198</v>
          </cell>
          <cell r="C3812" t="str">
            <v>ซาติน แขนสั้นขาสั้น แมวฟ้าส้ม พื้นขาว กางเกงฟ้า L</v>
          </cell>
        </row>
        <row r="3813">
          <cell r="A3813" t="str">
            <v>SN0198-M</v>
          </cell>
          <cell r="B3813" t="str">
            <v>JN198</v>
          </cell>
          <cell r="C3813" t="str">
            <v>ซาติน แขนสั้นขาสั้น แมวฟ้าส้ม พื้นขาวกางเกงฟ้า M ตัวโชว์</v>
          </cell>
        </row>
        <row r="3814">
          <cell r="A3814" t="str">
            <v>SN0199-L</v>
          </cell>
          <cell r="B3814" t="str">
            <v>N199</v>
          </cell>
          <cell r="C3814" t="str">
            <v>ซาติน แขนสั้นขาสั้น สตรอเบอร์รี่ ดอกไม้ พื้นชมพู L</v>
          </cell>
        </row>
        <row r="3815">
          <cell r="A3815" t="str">
            <v>SN0199-M</v>
          </cell>
          <cell r="B3815" t="str">
            <v>N199</v>
          </cell>
          <cell r="C3815" t="str">
            <v>ซาติน แขนสั้นขาสั้น สตรอเบอร์รี่ ดอกไม้ พื้นชมพู M</v>
          </cell>
        </row>
        <row r="3816">
          <cell r="A3816" t="str">
            <v>SN0200-L</v>
          </cell>
          <cell r="B3816" t="str">
            <v>N200</v>
          </cell>
          <cell r="C3816" t="str">
            <v>ซาติน แขนสั้นขาสั้น สตรอเบอร์รี่ ดอกไม้ พื้นขาว L</v>
          </cell>
        </row>
        <row r="3817">
          <cell r="A3817" t="str">
            <v>SN0200-M</v>
          </cell>
          <cell r="B3817" t="str">
            <v>N200</v>
          </cell>
          <cell r="C3817" t="str">
            <v>ซาติน แขนสั้นขาสั้น สตรอเบอร์รี่ ดอกไม้ พื้นขาว M</v>
          </cell>
        </row>
        <row r="3818">
          <cell r="A3818" t="str">
            <v>SN0201-L</v>
          </cell>
          <cell r="B3818" t="str">
            <v>N201</v>
          </cell>
          <cell r="C3818" t="str">
            <v>ซาติน แขนสั้นขาสั้น คอแขนระบายขาว พื้นเขียว L</v>
          </cell>
        </row>
        <row r="3819">
          <cell r="A3819" t="str">
            <v>SN0201-M</v>
          </cell>
          <cell r="B3819" t="str">
            <v>N201</v>
          </cell>
          <cell r="C3819" t="str">
            <v>ซาติน แขนสั้นขาสั้น คอแขนระบายขาว พื้นเขียว M</v>
          </cell>
        </row>
        <row r="3820">
          <cell r="A3820" t="str">
            <v>SN0202-L</v>
          </cell>
          <cell r="B3820" t="str">
            <v>N202</v>
          </cell>
          <cell r="C3820" t="str">
            <v>ซาติน แขนสั้นขาสั้น คอแขนระบายเขียว พื้นชมพู L</v>
          </cell>
        </row>
        <row r="3821">
          <cell r="A3821" t="str">
            <v>SN0202-M</v>
          </cell>
          <cell r="B3821" t="str">
            <v>N202</v>
          </cell>
          <cell r="C3821" t="str">
            <v>ซาติน แขนสั้นขาสั้น คอแขนระบายเขียว พื้นชมพู M</v>
          </cell>
        </row>
        <row r="3822">
          <cell r="A3822" t="str">
            <v>SN0203-L</v>
          </cell>
          <cell r="B3822" t="str">
            <v>N203</v>
          </cell>
          <cell r="C3822" t="str">
            <v>ซาติน แขนสั้นขาสั้น คอแขนระบายชมพู พื้นขาว L</v>
          </cell>
        </row>
        <row r="3823">
          <cell r="A3823" t="str">
            <v>SN0203-M</v>
          </cell>
          <cell r="B3823" t="str">
            <v>N203</v>
          </cell>
          <cell r="C3823" t="str">
            <v>ซาติน แขนสั้นขาสั้น คอแขนระบายชมพู พื้นขาว M</v>
          </cell>
        </row>
        <row r="3824">
          <cell r="A3824" t="str">
            <v>SN0204-F</v>
          </cell>
          <cell r="B3824" t="str">
            <v>N204</v>
          </cell>
          <cell r="C3824" t="str">
            <v>ซาตินแขนสั้นขาสั้น พื้นกรม หัวใจ แขนขาลูกไม้ ฟรีไซส์</v>
          </cell>
        </row>
        <row r="3825">
          <cell r="A3825" t="str">
            <v>SN0205-F</v>
          </cell>
          <cell r="B3825" t="str">
            <v>N205</v>
          </cell>
          <cell r="C3825" t="str">
            <v>ซาตินแขนสั้นขาสั้น พื้นชมพู หัวใจ แขนขาลูกไม้ ฟรีไซส์</v>
          </cell>
        </row>
        <row r="3826">
          <cell r="A3826" t="str">
            <v>SN0209-F</v>
          </cell>
          <cell r="B3826" t="str">
            <v>N209</v>
          </cell>
          <cell r="C3826" t="str">
            <v>ซาตินแขนสั้นขาสั้น พื้นดำ หัวใจ แขนขาลูกไม้ ฟรีไซส์</v>
          </cell>
        </row>
        <row r="3827">
          <cell r="A3827" t="str">
            <v>SN0212-L</v>
          </cell>
          <cell r="B3827" t="str">
            <v>N212</v>
          </cell>
          <cell r="C3827" t="str">
            <v>ซาติน แขนสั้นขาสั้น ลายทางชมพู L</v>
          </cell>
        </row>
        <row r="3828">
          <cell r="A3828" t="str">
            <v>SN0212-M</v>
          </cell>
          <cell r="B3828" t="str">
            <v>N212</v>
          </cell>
          <cell r="C3828" t="str">
            <v>ซาติน แขนสั้นขาสั้น ลายทางชมพู M</v>
          </cell>
        </row>
        <row r="3829">
          <cell r="A3829" t="str">
            <v>SN0213-L</v>
          </cell>
          <cell r="B3829" t="str">
            <v>BN213</v>
          </cell>
          <cell r="C3829" t="str">
            <v>ซาติน แขนสั้นขาสั้น สีโอรสขอบเงินลายหัวใจ L</v>
          </cell>
        </row>
        <row r="3830">
          <cell r="A3830" t="str">
            <v>SN0213-M</v>
          </cell>
          <cell r="B3830" t="str">
            <v>N213</v>
          </cell>
          <cell r="C3830" t="str">
            <v>ซาติน แขนสั้นขาสั้น สีโอรสขอบเงินลายหัวใจ M</v>
          </cell>
        </row>
        <row r="3831">
          <cell r="A3831" t="str">
            <v>SN0214-L</v>
          </cell>
          <cell r="B3831" t="str">
            <v>JN214</v>
          </cell>
          <cell r="C3831" t="str">
            <v>ซาติน แขนสั้นขาสั้น สีชมพูนู๊ดขอบเงินลายหัวใจ L ตัวโชว์</v>
          </cell>
        </row>
        <row r="3832">
          <cell r="A3832" t="str">
            <v>SN0214-M</v>
          </cell>
          <cell r="B3832" t="str">
            <v>JN214</v>
          </cell>
          <cell r="C3832" t="str">
            <v>ซาติน แขนสั้นขาสั้น สีชมพูนู๊ดขอบเงินลายหัวใจ M ตัวโชว์</v>
          </cell>
        </row>
        <row r="3833">
          <cell r="A3833" t="str">
            <v>SN0215-2XL</v>
          </cell>
          <cell r="B3833" t="str">
            <v>N215</v>
          </cell>
          <cell r="C3833" t="str">
            <v>ซาติน แขนสั้นขาสั้น ตารางม่วง คอม่วง 2XL</v>
          </cell>
        </row>
        <row r="3834">
          <cell r="A3834" t="str">
            <v>SN0215-L</v>
          </cell>
          <cell r="B3834" t="str">
            <v>N215</v>
          </cell>
          <cell r="C3834" t="str">
            <v>ซาติน แขนสั้นขาสั้น ตารางม่วง คอม่วง L</v>
          </cell>
        </row>
        <row r="3835">
          <cell r="A3835" t="str">
            <v>SN0215-M</v>
          </cell>
          <cell r="B3835" t="str">
            <v>N215</v>
          </cell>
          <cell r="C3835" t="str">
            <v>ซาติน แขนสั้นขาสั้น ตารางม่วง คอม่วง M</v>
          </cell>
        </row>
        <row r="3836">
          <cell r="A3836" t="str">
            <v>SN0215-XL</v>
          </cell>
          <cell r="B3836" t="str">
            <v>N215</v>
          </cell>
          <cell r="C3836" t="str">
            <v>ซาติน แขนสั้นขาสั้น ตารางม่วง คอม่วง XL</v>
          </cell>
        </row>
        <row r="3837">
          <cell r="A3837" t="str">
            <v>SN0217-L</v>
          </cell>
          <cell r="B3837" t="str">
            <v>N217</v>
          </cell>
          <cell r="C3837" t="str">
            <v>ซาติน สั้นสั้น เทาอ่อนลายดาวเดือน คอบัว L</v>
          </cell>
        </row>
        <row r="3838">
          <cell r="A3838" t="str">
            <v>SN0217-M</v>
          </cell>
          <cell r="B3838" t="str">
            <v>N217</v>
          </cell>
          <cell r="C3838" t="str">
            <v>ซาติน สั้นสั้น เทาอ่อนลายดาวเดือน คอบัว M</v>
          </cell>
        </row>
        <row r="3839">
          <cell r="A3839" t="str">
            <v>SN0218-L</v>
          </cell>
          <cell r="B3839" t="str">
            <v>N218</v>
          </cell>
          <cell r="C3839" t="str">
            <v>ซาติน สั้นสั้น โอรสลายดาวเดือน คอบัว L</v>
          </cell>
        </row>
        <row r="3840">
          <cell r="A3840" t="str">
            <v>SN0218-M</v>
          </cell>
          <cell r="B3840" t="str">
            <v>N218</v>
          </cell>
          <cell r="C3840" t="str">
            <v>ซาติน สั้นสั้น โอรสลายดาวเดือน คอบัว M</v>
          </cell>
        </row>
        <row r="3841">
          <cell r="A3841" t="str">
            <v>SN0230-L</v>
          </cell>
          <cell r="B3841" t="str">
            <v>N230</v>
          </cell>
          <cell r="C3841" t="str">
            <v>ซาติน แขนสั้นขาสั้น แมวฟ้าส้ม พื้นขาว กางเกงชมพู L</v>
          </cell>
        </row>
        <row r="3842">
          <cell r="A3842" t="str">
            <v>SN0230-M</v>
          </cell>
          <cell r="B3842" t="str">
            <v>JN230</v>
          </cell>
          <cell r="C3842" t="str">
            <v>ซาติน แขนสั้นขาสั้น แมวฟ้าส้ม พื้นขาว กางเกงชมพู M ตัวโชว์</v>
          </cell>
        </row>
        <row r="3843">
          <cell r="A3843" t="str">
            <v>SN0231-L</v>
          </cell>
          <cell r="B3843" t="str">
            <v>N231</v>
          </cell>
          <cell r="C3843" t="str">
            <v>ซาติน แขนสั้นขาสั้น หัวใจดวงใหญ่ พื้นชมพู L</v>
          </cell>
        </row>
        <row r="3844">
          <cell r="A3844" t="str">
            <v>SN0231-M</v>
          </cell>
          <cell r="B3844" t="str">
            <v>N231</v>
          </cell>
          <cell r="C3844" t="str">
            <v>ซาติน แขนสั้นขาสั้น หัวใจดวงใหญ่ พื้นชมพู M</v>
          </cell>
        </row>
        <row r="3845">
          <cell r="A3845" t="str">
            <v>SN0232-L</v>
          </cell>
          <cell r="B3845" t="str">
            <v>N232</v>
          </cell>
          <cell r="C3845" t="str">
            <v>ซาติน แขนสั้นขาสั้น หัวใจดวงใหญ่ พื้นขาว L</v>
          </cell>
        </row>
        <row r="3846">
          <cell r="A3846" t="str">
            <v>SN0232-M</v>
          </cell>
          <cell r="B3846" t="str">
            <v>N232</v>
          </cell>
          <cell r="C3846" t="str">
            <v>ซาติน แขนสั้นขาสั้น หัวใจดวงใหญ่ พื้นขาว M</v>
          </cell>
        </row>
        <row r="3847">
          <cell r="A3847" t="str">
            <v>SN0233-M</v>
          </cell>
          <cell r="B3847" t="str">
            <v>N233</v>
          </cell>
          <cell r="C3847" t="str">
            <v>ซาติน แขนสั้นขาสั้น ตารางชมพู ปกเขียว M</v>
          </cell>
        </row>
        <row r="3848">
          <cell r="A3848" t="str">
            <v>SN0234-M</v>
          </cell>
          <cell r="B3848" t="str">
            <v>N234</v>
          </cell>
          <cell r="C3848" t="str">
            <v>ซาติน แขนสี่ส่วนกางเกงสั้น ตารางเขียว ปกชมพู M</v>
          </cell>
        </row>
        <row r="3849">
          <cell r="A3849" t="str">
            <v>SN0234-S</v>
          </cell>
          <cell r="B3849" t="str">
            <v>N234</v>
          </cell>
          <cell r="C3849" t="str">
            <v>ซาติน แขนสี่ส่วนกางเกงสั้น ตารางเขียว ปกชมพู S</v>
          </cell>
        </row>
        <row r="3850">
          <cell r="A3850" t="str">
            <v>SN0235-L</v>
          </cell>
          <cell r="B3850" t="str">
            <v>N235</v>
          </cell>
          <cell r="C3850" t="str">
            <v>ซาติน สั้นสั้น ยูนิคอร์น พื้นฟ้า L</v>
          </cell>
        </row>
        <row r="3851">
          <cell r="A3851" t="str">
            <v>SN0235-M</v>
          </cell>
          <cell r="B3851" t="str">
            <v>N235</v>
          </cell>
          <cell r="C3851" t="str">
            <v>ซาติน สั้นสั้น ยูนิคอร์น พื้นฟ้า M</v>
          </cell>
        </row>
        <row r="3852">
          <cell r="A3852" t="str">
            <v>SN0236-L</v>
          </cell>
          <cell r="B3852" t="str">
            <v>N236</v>
          </cell>
          <cell r="C3852" t="str">
            <v>ซาติน สั้นสั้น ยูนิคอร์น พื้นชมพู ม่วง L</v>
          </cell>
        </row>
        <row r="3853">
          <cell r="A3853" t="str">
            <v>SN0236-M</v>
          </cell>
          <cell r="B3853" t="str">
            <v>N236</v>
          </cell>
          <cell r="C3853" t="str">
            <v>ซาติน สั้นสั้น ยูนิคอร์น พื้นชมพู ม่วง M</v>
          </cell>
        </row>
        <row r="3854">
          <cell r="A3854" t="str">
            <v>SN0237-2XL</v>
          </cell>
          <cell r="B3854" t="str">
            <v>N237</v>
          </cell>
          <cell r="C3854" t="str">
            <v>ซาติน แขนสั้นขาสั้น ภาพวาด 2XL</v>
          </cell>
        </row>
        <row r="3855">
          <cell r="A3855" t="str">
            <v>SN0237-L</v>
          </cell>
          <cell r="B3855" t="str">
            <v>N237</v>
          </cell>
          <cell r="C3855" t="str">
            <v>ซาติน แขนสั้นขาสั้น ภาพวาด L</v>
          </cell>
        </row>
        <row r="3856">
          <cell r="A3856" t="str">
            <v>SN0237-M</v>
          </cell>
          <cell r="B3856" t="str">
            <v>N237</v>
          </cell>
          <cell r="C3856" t="str">
            <v>ซาติน แขนสั้นขาสั้น ภาพวาด M</v>
          </cell>
        </row>
        <row r="3857">
          <cell r="A3857" t="str">
            <v>SN0237-XL</v>
          </cell>
          <cell r="B3857" t="str">
            <v>N237</v>
          </cell>
          <cell r="C3857" t="str">
            <v>ซาติน แขนสั้นขาสั้น ภาพวาด XL</v>
          </cell>
        </row>
        <row r="3858">
          <cell r="A3858" t="str">
            <v>SN0240-L</v>
          </cell>
          <cell r="B3858" t="str">
            <v>N240</v>
          </cell>
          <cell r="C3858" t="str">
            <v>ซาติน  แขนสั้นขาสั้น จุดดำ พื้นครีม L</v>
          </cell>
        </row>
        <row r="3859">
          <cell r="A3859" t="str">
            <v>SN0242-L</v>
          </cell>
          <cell r="B3859" t="str">
            <v>N242</v>
          </cell>
          <cell r="C3859" t="str">
            <v>ซาติน แขนสั้นขาสั้น หมีพื้นเขียว คอปกครีม L</v>
          </cell>
        </row>
        <row r="3860">
          <cell r="A3860" t="str">
            <v>SN0242-M</v>
          </cell>
          <cell r="B3860" t="str">
            <v>N242</v>
          </cell>
          <cell r="C3860" t="str">
            <v>ซาติน แขนสั้นขาสั้น หมีพื้นเขียว คอปกครีม M</v>
          </cell>
        </row>
        <row r="3861">
          <cell r="A3861" t="str">
            <v>SN0246-2XL</v>
          </cell>
          <cell r="B3861" t="str">
            <v>JN246</v>
          </cell>
          <cell r="C3861" t="str">
            <v>ซาติน แขนสั้นขาสั้น เสือ ชมพู 2XL ตัวโชว์</v>
          </cell>
        </row>
        <row r="3862">
          <cell r="A3862" t="str">
            <v>SN0246-L</v>
          </cell>
          <cell r="B3862" t="str">
            <v>N246</v>
          </cell>
          <cell r="C3862" t="str">
            <v>ซาติน แขนสั้นขาสั้น เสือ ชมพู L</v>
          </cell>
        </row>
        <row r="3863">
          <cell r="A3863" t="str">
            <v>SN0246-M</v>
          </cell>
          <cell r="B3863" t="str">
            <v>JN246</v>
          </cell>
          <cell r="C3863" t="str">
            <v>ซาติน แขนสั้นขาสั้น เสือ ชมพู M ตัวโชว์</v>
          </cell>
        </row>
        <row r="3864">
          <cell r="A3864" t="str">
            <v>SN0246-XL</v>
          </cell>
          <cell r="B3864" t="str">
            <v>JN246</v>
          </cell>
          <cell r="C3864" t="str">
            <v>ซาติน แขนสั้นขาสั้น เสือ ชมพู XL ตัวโชว์</v>
          </cell>
        </row>
        <row r="3865">
          <cell r="A3865" t="str">
            <v>SN0251-L</v>
          </cell>
          <cell r="B3865" t="str">
            <v>JN251</v>
          </cell>
          <cell r="C3865" t="str">
            <v>ซาติน แขนสั้นขาสั้น กระต่ายฟ้า L ตัวโชว์</v>
          </cell>
        </row>
        <row r="3866">
          <cell r="A3866" t="str">
            <v>SN0251-M</v>
          </cell>
          <cell r="B3866" t="str">
            <v>JN251</v>
          </cell>
          <cell r="C3866" t="str">
            <v>ซาติน แขนสั้นขาสั้น กระต่ายฟ้า M ตัวโชว์</v>
          </cell>
        </row>
        <row r="3867">
          <cell r="A3867" t="str">
            <v>SN0252-L</v>
          </cell>
          <cell r="B3867" t="str">
            <v>N252</v>
          </cell>
          <cell r="C3867" t="str">
            <v>ซาติน แขนสั้นขาสั้น กระต่ายชมพู L</v>
          </cell>
        </row>
        <row r="3868">
          <cell r="A3868" t="str">
            <v>SN0252-M</v>
          </cell>
          <cell r="B3868" t="str">
            <v>N252</v>
          </cell>
          <cell r="C3868" t="str">
            <v>ซาติน แขนสั้นขาสั้น กระต่ายชมพู M</v>
          </cell>
        </row>
        <row r="3869">
          <cell r="A3869" t="str">
            <v>SN0255-L</v>
          </cell>
          <cell r="B3869" t="str">
            <v>N255</v>
          </cell>
          <cell r="C3869" t="str">
            <v>ซาติน แขนสั้นขาสั้น ซากูระขาว พื้นเขียว&amp;nbsp;L</v>
          </cell>
        </row>
        <row r="3870">
          <cell r="A3870" t="str">
            <v>SN0255-M</v>
          </cell>
          <cell r="B3870" t="str">
            <v>N255</v>
          </cell>
          <cell r="C3870" t="str">
            <v>ซาติน แขนสั้นขาสั้น ซากูระขาว พื้นเขียว&amp;nbsp;M</v>
          </cell>
        </row>
        <row r="3871">
          <cell r="A3871" t="str">
            <v>SN0256-L</v>
          </cell>
          <cell r="B3871" t="str">
            <v>N256</v>
          </cell>
          <cell r="C3871" t="str">
            <v>ซาติน แขนสั้นขาสั้น ซากูระชมพู  L</v>
          </cell>
        </row>
        <row r="3872">
          <cell r="A3872" t="str">
            <v>SN0256-M</v>
          </cell>
          <cell r="B3872" t="str">
            <v>N256</v>
          </cell>
          <cell r="C3872" t="str">
            <v>ซาติน แขนสั้นขาสั้น ซากูระชมพู  M</v>
          </cell>
        </row>
        <row r="3873">
          <cell r="A3873" t="str">
            <v>SN0257-L</v>
          </cell>
          <cell r="B3873" t="str">
            <v>N257</v>
          </cell>
          <cell r="C3873" t="str">
            <v>ซาติน แขนสั้นขาสั้น หัวใจดำ พื้นครีม L (กปก)</v>
          </cell>
        </row>
        <row r="3874">
          <cell r="A3874" t="str">
            <v>SN0257-M</v>
          </cell>
          <cell r="B3874" t="str">
            <v>N257</v>
          </cell>
          <cell r="C3874" t="str">
            <v>ซาติน แขนสั้นขาสั้น หัวใจดำ พื้นครีม M (กปก)</v>
          </cell>
        </row>
        <row r="3875">
          <cell r="A3875" t="str">
            <v>SN0259-L</v>
          </cell>
          <cell r="B3875" t="str">
            <v>N259</v>
          </cell>
          <cell r="C3875" t="str">
            <v>ซาติน แขนสั้นขาสั้น แรคคูน ปกเหลือง L</v>
          </cell>
        </row>
        <row r="3876">
          <cell r="A3876" t="str">
            <v>SN0260-L</v>
          </cell>
          <cell r="B3876" t="str">
            <v>N260</v>
          </cell>
          <cell r="C3876" t="str">
            <v>ซาติน แขนสั้นขาสั้น แรคคูน ปกแดง L</v>
          </cell>
        </row>
        <row r="3877">
          <cell r="A3877" t="str">
            <v>SN0260-M</v>
          </cell>
          <cell r="B3877" t="str">
            <v>N260</v>
          </cell>
          <cell r="C3877" t="str">
            <v>ซาติน แขนสั้นขาสั้น แรคคูน ปกแดง M</v>
          </cell>
        </row>
        <row r="3878">
          <cell r="A3878" t="str">
            <v>SN0261-L</v>
          </cell>
          <cell r="B3878" t="str">
            <v>N261</v>
          </cell>
          <cell r="C3878" t="str">
            <v>ซาติน แขนสั้นขาสั้น เสือ ขาว L</v>
          </cell>
        </row>
        <row r="3879">
          <cell r="A3879" t="str">
            <v>SN0269-2XL</v>
          </cell>
          <cell r="B3879" t="str">
            <v>N269</v>
          </cell>
          <cell r="C3879" t="str">
            <v>ซาติน แขนสั้นขาสั้น เสือดำ 2XL</v>
          </cell>
        </row>
        <row r="3880">
          <cell r="A3880" t="str">
            <v>SN0269-L</v>
          </cell>
          <cell r="B3880" t="str">
            <v>N269</v>
          </cell>
          <cell r="C3880" t="str">
            <v>ซาติน แขนสั้นขาสั้น เสือดำ L</v>
          </cell>
        </row>
        <row r="3881">
          <cell r="A3881" t="str">
            <v>SN0269-M</v>
          </cell>
          <cell r="B3881" t="str">
            <v>N269</v>
          </cell>
          <cell r="C3881" t="str">
            <v>ซาติน แขนสั้นขาสั้น เสือดำ M</v>
          </cell>
        </row>
        <row r="3882">
          <cell r="A3882" t="str">
            <v>SN0269-XL</v>
          </cell>
          <cell r="B3882" t="str">
            <v>N269</v>
          </cell>
          <cell r="C3882" t="str">
            <v>ซาติน แขนสั้นขาสั้น เสือดำ XL</v>
          </cell>
        </row>
        <row r="3883">
          <cell r="A3883" t="str">
            <v>SN0270-L</v>
          </cell>
          <cell r="B3883" t="str">
            <v>N270</v>
          </cell>
          <cell r="C3883" t="str">
            <v>ซาติน แขนสั้นขาสั้น จุดขาวใหญ่ พื้นชมพู L</v>
          </cell>
        </row>
        <row r="3884">
          <cell r="A3884" t="str">
            <v>SN0270-M</v>
          </cell>
          <cell r="B3884" t="str">
            <v>N270</v>
          </cell>
          <cell r="C3884" t="str">
            <v>ซาติน แขนสั้นขาสั้น จุดขาวใหญ่ พื้นชมพู M</v>
          </cell>
        </row>
        <row r="3885">
          <cell r="A3885" t="str">
            <v>SN0270-XL</v>
          </cell>
          <cell r="B3885" t="str">
            <v>N270</v>
          </cell>
          <cell r="C3885" t="str">
            <v>ซาติน แขนสั้นขาสั้น จุดขาวใหญ่ พื้นชมพู XL</v>
          </cell>
        </row>
        <row r="3886">
          <cell r="A3886" t="str">
            <v>SN0271-L</v>
          </cell>
          <cell r="B3886" t="str">
            <v>BN271</v>
          </cell>
          <cell r="C3886" t="str">
            <v>ซาติน แขนสั้นขาสั้น จุดกรมใหญ่ พื้นม่วง L</v>
          </cell>
        </row>
        <row r="3887">
          <cell r="A3887" t="str">
            <v>SN0271-M</v>
          </cell>
          <cell r="B3887" t="str">
            <v>BN271</v>
          </cell>
          <cell r="C3887" t="str">
            <v>ซาติน แขนสั้นขาสั้น จุดกรมใหญ่ พื้นม่วง M</v>
          </cell>
        </row>
        <row r="3888">
          <cell r="A3888" t="str">
            <v>SN0271-XL</v>
          </cell>
          <cell r="B3888" t="str">
            <v>N271</v>
          </cell>
          <cell r="C3888" t="str">
            <v>ซาติน แขนสั้นขาสั้น จุดกรมใหญ่ พื้นม่วง XL</v>
          </cell>
        </row>
        <row r="3889">
          <cell r="A3889" t="str">
            <v>SN0284-L</v>
          </cell>
          <cell r="B3889" t="str">
            <v>N284</v>
          </cell>
          <cell r="C3889" t="str">
            <v>ซาติน แขนสั้นขาสั้น แมว Funny พื้นฟ้า L</v>
          </cell>
        </row>
        <row r="3890">
          <cell r="A3890" t="str">
            <v>SN0284-M</v>
          </cell>
          <cell r="B3890" t="str">
            <v>N284</v>
          </cell>
          <cell r="C3890" t="str">
            <v>ซาติน แขนสั้นขาสั้น แมว Funny พื้นฟ้า M</v>
          </cell>
        </row>
        <row r="3891">
          <cell r="A3891" t="str">
            <v>SN0285-L</v>
          </cell>
          <cell r="B3891" t="str">
            <v>N285</v>
          </cell>
          <cell r="C3891" t="str">
            <v>ซาติน แขนสั้นขาสั้น แมว Funny พื้นชมพู L</v>
          </cell>
        </row>
        <row r="3892">
          <cell r="A3892" t="str">
            <v>SN0285-M</v>
          </cell>
          <cell r="B3892" t="str">
            <v>N285</v>
          </cell>
          <cell r="C3892" t="str">
            <v>ซาติน แขนสั้นขาสั้น แมว Funny พื้นชมพู M</v>
          </cell>
        </row>
        <row r="3893">
          <cell r="A3893" t="str">
            <v>SN0298-L</v>
          </cell>
          <cell r="B3893" t="str">
            <v>N298</v>
          </cell>
          <cell r="C3893" t="str">
            <v>ซาติน แขนสั้นขาสั้น teddy bear พื้นน้ำตาล L</v>
          </cell>
        </row>
        <row r="3894">
          <cell r="A3894" t="str">
            <v>SN0298-M</v>
          </cell>
          <cell r="B3894" t="str">
            <v>JN298</v>
          </cell>
          <cell r="C3894" t="str">
            <v>ซาติน แขนสั้นขาสั้น teddy bear พื้นน้ำตาล M ตัวโชว์</v>
          </cell>
        </row>
        <row r="3895">
          <cell r="A3895" t="str">
            <v>SN0308-L</v>
          </cell>
          <cell r="B3895" t="str">
            <v>N308</v>
          </cell>
          <cell r="C3895" t="str">
            <v>ซาติน แขนสั้นขาสั้น ดอกไม้ขาว ลูกม่วง L</v>
          </cell>
        </row>
        <row r="3896">
          <cell r="A3896" t="str">
            <v>SN0308-M</v>
          </cell>
          <cell r="B3896" t="str">
            <v>N308</v>
          </cell>
          <cell r="C3896" t="str">
            <v>ซาติน แขนสั้นขาสั้น ดอกไม้ขาว ลูกม่วง M</v>
          </cell>
        </row>
        <row r="3897">
          <cell r="A3897" t="str">
            <v>SN0308-XL</v>
          </cell>
          <cell r="B3897" t="str">
            <v>N308</v>
          </cell>
          <cell r="C3897" t="str">
            <v>ซาติน แขนสั้นขาสั้น ดอกไม้ขาว ลูกม่วง XL</v>
          </cell>
        </row>
        <row r="3898">
          <cell r="A3898" t="str">
            <v>SN0309-L</v>
          </cell>
          <cell r="B3898" t="str">
            <v>N309</v>
          </cell>
          <cell r="C3898" t="str">
            <v>ซาติน แขนสั้นขาสั้น ดอกไม้ขาว คลื่นทะเล L</v>
          </cell>
        </row>
        <row r="3899">
          <cell r="A3899" t="str">
            <v>SN0309-M</v>
          </cell>
          <cell r="B3899" t="str">
            <v>N309</v>
          </cell>
          <cell r="C3899" t="str">
            <v>ซาติน แขนสั้นขาสั้น ดอกไม้ขาว คลื่นทะเล M</v>
          </cell>
        </row>
        <row r="3900">
          <cell r="A3900" t="str">
            <v>SN0309-XL</v>
          </cell>
          <cell r="B3900" t="str">
            <v>N309</v>
          </cell>
          <cell r="C3900" t="str">
            <v>ซาติน แขนสั้นขาสั้น ดอกไม้ขาว คลื่นทะเล XL</v>
          </cell>
        </row>
        <row r="3901">
          <cell r="A3901" t="str">
            <v>SN0310-L</v>
          </cell>
          <cell r="B3901" t="str">
            <v>N310</v>
          </cell>
          <cell r="C3901" t="str">
            <v>ซาติน แขนสั้นขาสั้น สีน้ำ ลายแปรงแดง พื้นขาว L</v>
          </cell>
        </row>
        <row r="3902">
          <cell r="A3902" t="str">
            <v>SN0310-M</v>
          </cell>
          <cell r="B3902" t="str">
            <v>N310</v>
          </cell>
          <cell r="C3902" t="str">
            <v>ซาติน แขนสั้นขาสั้น สีน้ำ ลายแปรงแดง พื้นขาว M</v>
          </cell>
        </row>
        <row r="3903">
          <cell r="A3903" t="str">
            <v>SN0310-XL</v>
          </cell>
          <cell r="B3903" t="str">
            <v>N310</v>
          </cell>
          <cell r="C3903" t="str">
            <v>ซาติน แขนสั้นขาสั้น สีน้ำ ลายแปรงแดง พื้นขาว XL</v>
          </cell>
        </row>
        <row r="3904">
          <cell r="A3904" t="str">
            <v>SN0311-L</v>
          </cell>
          <cell r="B3904" t="str">
            <v>N311</v>
          </cell>
          <cell r="C3904" t="str">
            <v>ซาติน แขนสั้นขาสั้น รถม้า น้ำตาล น้ำเงิน L</v>
          </cell>
        </row>
        <row r="3905">
          <cell r="A3905" t="str">
            <v>SN0311-M</v>
          </cell>
          <cell r="B3905" t="str">
            <v>N311</v>
          </cell>
          <cell r="C3905" t="str">
            <v>ซาติน แขนสั้นขาสั้น รถม้า น้ำตาล น้ำเงิน M</v>
          </cell>
        </row>
        <row r="3906">
          <cell r="A3906" t="str">
            <v>SN0311-XL</v>
          </cell>
          <cell r="B3906" t="str">
            <v>N311</v>
          </cell>
          <cell r="C3906" t="str">
            <v>ซาติน แขนสั้นขาสั้น รถม้า น้ำตาล น้ำเงิน XL</v>
          </cell>
        </row>
        <row r="3907">
          <cell r="A3907" t="str">
            <v>SN0312-L</v>
          </cell>
          <cell r="B3907" t="str">
            <v>N312</v>
          </cell>
          <cell r="C3907" t="str">
            <v>ซาติน แขนสั้นขาสั้น ABS พื้นน้ำตาล L</v>
          </cell>
        </row>
        <row r="3908">
          <cell r="A3908" t="str">
            <v>SN0312-M</v>
          </cell>
          <cell r="B3908" t="str">
            <v>N312</v>
          </cell>
          <cell r="C3908" t="str">
            <v>ซาติน แขนสั้นขาสั้น ABS พื้นน้ำตาล M</v>
          </cell>
        </row>
        <row r="3909">
          <cell r="A3909" t="str">
            <v>SN0312-XL</v>
          </cell>
          <cell r="B3909" t="str">
            <v>N312</v>
          </cell>
          <cell r="C3909" t="str">
            <v>ซาติน แขนสั้นขาสั้น ABS พื้นน้ำตาล XL</v>
          </cell>
        </row>
        <row r="3910">
          <cell r="A3910" t="str">
            <v>SN0314-L</v>
          </cell>
          <cell r="B3910" t="str">
            <v>N314</v>
          </cell>
          <cell r="C3910" t="str">
            <v>ซาติน แขนสั้นขาสั้น ตาราง ดำขาว L</v>
          </cell>
        </row>
        <row r="3911">
          <cell r="A3911" t="str">
            <v>SN0314-M</v>
          </cell>
          <cell r="B3911" t="str">
            <v>N314</v>
          </cell>
          <cell r="C3911" t="str">
            <v>ซาติน แขนสั้นขาสั้น ตาราง ดำขาว M</v>
          </cell>
        </row>
        <row r="3912">
          <cell r="A3912" t="str">
            <v>SN0314-S</v>
          </cell>
          <cell r="B3912" t="str">
            <v>N314</v>
          </cell>
          <cell r="C3912" t="str">
            <v>ซาติน แขนสั้นขาสั้น ตาราง ดำขาว S</v>
          </cell>
        </row>
        <row r="3913">
          <cell r="A3913" t="str">
            <v>SN0320-L</v>
          </cell>
          <cell r="B3913" t="str">
            <v>N320</v>
          </cell>
          <cell r="C3913" t="str">
            <v>ซาติน แขนสั้นขาสั้น ลายมะพร้าว สีพาสเทล L</v>
          </cell>
        </row>
        <row r="3914">
          <cell r="A3914" t="str">
            <v>SN0320-M</v>
          </cell>
          <cell r="B3914" t="str">
            <v>N320</v>
          </cell>
          <cell r="C3914" t="str">
            <v>ซาติน แขนสั้นขาสั้น ลายมะพร้าว สีพาสเทล M</v>
          </cell>
        </row>
        <row r="3915">
          <cell r="A3915" t="str">
            <v>SN0321-L</v>
          </cell>
          <cell r="B3915" t="str">
            <v>N321</v>
          </cell>
          <cell r="C3915" t="str">
            <v>ซาติน แขนสั้นขาสั้น ดอกทานตะวัน พื้นครีม L</v>
          </cell>
        </row>
        <row r="3916">
          <cell r="A3916" t="str">
            <v>SN0321-M</v>
          </cell>
          <cell r="B3916" t="str">
            <v>N321</v>
          </cell>
          <cell r="C3916" t="str">
            <v>ซาติน แขนสั้นขาสั้น ดอกทานตะวัน พื้นครีม M</v>
          </cell>
        </row>
        <row r="3917">
          <cell r="A3917" t="str">
            <v>SN0325-L</v>
          </cell>
          <cell r="B3917" t="str">
            <v>N325</v>
          </cell>
          <cell r="C3917" t="str">
            <v>ซาติน แขนสั้นขาสั้น ดอกไม้ นกยูง L</v>
          </cell>
        </row>
        <row r="3918">
          <cell r="A3918" t="str">
            <v>SN0325-M</v>
          </cell>
          <cell r="B3918" t="str">
            <v>ป3</v>
          </cell>
          <cell r="C3918" t="str">
            <v>ซาติน แขนสั้นขาสั้น ดอกไม้ นกยูง M</v>
          </cell>
        </row>
        <row r="3919">
          <cell r="A3919" t="str">
            <v>SN0325-XL</v>
          </cell>
          <cell r="B3919" t="str">
            <v>JN325</v>
          </cell>
          <cell r="C3919" t="str">
            <v>ซาติน แขนสั้นขาสั้น ดอกไม้ นกยูง XL ตัวโชว์</v>
          </cell>
        </row>
        <row r="3920">
          <cell r="A3920" t="str">
            <v>SN0326-L</v>
          </cell>
          <cell r="B3920" t="str">
            <v>N326</v>
          </cell>
          <cell r="C3920" t="str">
            <v>ซาติน แขนสั้นขาสั้น แคนวาส พื้นครีม L</v>
          </cell>
        </row>
        <row r="3921">
          <cell r="A3921" t="str">
            <v>SN0326-M</v>
          </cell>
          <cell r="B3921" t="str">
            <v>N326</v>
          </cell>
          <cell r="C3921" t="str">
            <v>ซาติน แขนสั้นขาสั้น แคนวาส พื้นครีม M</v>
          </cell>
        </row>
        <row r="3922">
          <cell r="A3922" t="str">
            <v>SN0326-XL</v>
          </cell>
          <cell r="B3922" t="str">
            <v>N326</v>
          </cell>
          <cell r="C3922" t="str">
            <v>ซาติน แขนสั้นขาสั้น แคนวาส พื้นครีม XL</v>
          </cell>
        </row>
        <row r="3923">
          <cell r="A3923" t="str">
            <v>SN0327-L</v>
          </cell>
          <cell r="B3923" t="str">
            <v>N327</v>
          </cell>
          <cell r="C3923" t="str">
            <v>ซาติน แขนสั้นขาสั้น ดอกไม้ ART พื้นขาว L</v>
          </cell>
        </row>
        <row r="3924">
          <cell r="A3924" t="str">
            <v>SN0327-M</v>
          </cell>
          <cell r="B3924" t="str">
            <v>N327</v>
          </cell>
          <cell r="C3924" t="str">
            <v>ซาติน แขนสั้นขาสั้น ดอกไม้ ART พื้นขาว M</v>
          </cell>
        </row>
        <row r="3925">
          <cell r="A3925" t="str">
            <v>SN0327-XL</v>
          </cell>
          <cell r="B3925" t="str">
            <v>N327</v>
          </cell>
          <cell r="C3925" t="str">
            <v>ซาติน แขนสั้นขาสั้น ดอกไม้ ART พื้นขาว XL</v>
          </cell>
        </row>
        <row r="3926">
          <cell r="A3926" t="str">
            <v>SN0328-L</v>
          </cell>
          <cell r="B3926" t="str">
            <v>JN328</v>
          </cell>
          <cell r="C3926" t="str">
            <v>ซาติน แขนสั้นขาสั้น ดอกไม้ชม ใบไม้ฟ้า พื้นขาว L ตัวโชว์</v>
          </cell>
        </row>
        <row r="3927">
          <cell r="A3927" t="str">
            <v>SN0328-M</v>
          </cell>
          <cell r="B3927" t="str">
            <v>JN328</v>
          </cell>
          <cell r="C3927" t="str">
            <v>ซาติน แขนสั้นขาสั้น ดอกไม้ชม ใบไม้ฟ้า พื้นขาว M ตัวโชว์</v>
          </cell>
        </row>
        <row r="3928">
          <cell r="A3928" t="str">
            <v>SN0328-XL</v>
          </cell>
          <cell r="B3928" t="str">
            <v>JN328</v>
          </cell>
          <cell r="C3928" t="str">
            <v>ซาติน แขนสั้นขาสั้น ดอกไม้ชม ใบไม้ฟ้า พื้นขาว XL ตัวโชว์</v>
          </cell>
        </row>
        <row r="3929">
          <cell r="A3929" t="str">
            <v>SN0329-L</v>
          </cell>
          <cell r="B3929" t="str">
            <v>N329</v>
          </cell>
          <cell r="C3929" t="str">
            <v>ซาติน แขนสั้นขาสั้น ทุ่งทานตะวัน L</v>
          </cell>
        </row>
        <row r="3930">
          <cell r="A3930" t="str">
            <v>SN0329-M</v>
          </cell>
          <cell r="B3930" t="str">
            <v>N329</v>
          </cell>
          <cell r="C3930" t="str">
            <v>ซาติน แขนสั้นขาสั้น ทุ่งทานตะวัน M</v>
          </cell>
        </row>
        <row r="3931">
          <cell r="A3931" t="str">
            <v>SN0329-XL</v>
          </cell>
          <cell r="B3931" t="str">
            <v>N329</v>
          </cell>
          <cell r="C3931" t="str">
            <v>ซาติน แขนสั้นขาสั้น ทุ่งทานตะวัน XL</v>
          </cell>
        </row>
        <row r="3932">
          <cell r="A3932" t="str">
            <v>SN0330-2XL</v>
          </cell>
          <cell r="B3932" t="str">
            <v>N330</v>
          </cell>
          <cell r="C3932" t="str">
            <v>ซาติน แขนสั้นขาสั้น ปีกัสโซ่ 2XL</v>
          </cell>
        </row>
        <row r="3933">
          <cell r="A3933" t="str">
            <v>SN0330-L</v>
          </cell>
          <cell r="B3933" t="str">
            <v>N330</v>
          </cell>
          <cell r="C3933" t="str">
            <v>ซาติน  แขนสั้นขาสั้น ปีกัสโซ่ L</v>
          </cell>
        </row>
        <row r="3934">
          <cell r="A3934" t="str">
            <v>SN0330-M</v>
          </cell>
          <cell r="B3934" t="str">
            <v>N330</v>
          </cell>
          <cell r="C3934" t="str">
            <v>ซาติน  แขนสั้นขาสั้น ปีกัสโซ่ M</v>
          </cell>
        </row>
        <row r="3935">
          <cell r="A3935" t="str">
            <v>SN0330-XL</v>
          </cell>
          <cell r="B3935" t="str">
            <v>N330</v>
          </cell>
          <cell r="C3935" t="str">
            <v>ซาติน แขนสั้นขาสั้น ปีกัสโซ่ XL</v>
          </cell>
        </row>
        <row r="3936">
          <cell r="A3936" t="str">
            <v>SN0340-L</v>
          </cell>
          <cell r="B3936" t="str">
            <v>N340</v>
          </cell>
          <cell r="C3936" t="str">
            <v>ซาติน แขนสั้นขาสั้น กุหลาบขาวดำ L</v>
          </cell>
        </row>
        <row r="3937">
          <cell r="A3937" t="str">
            <v>SN0340-M</v>
          </cell>
          <cell r="B3937" t="str">
            <v>N340</v>
          </cell>
          <cell r="C3937" t="str">
            <v>ซาติน แขนสั้นขาสั้น กุหลาบขาวดำ M</v>
          </cell>
        </row>
        <row r="3938">
          <cell r="A3938" t="str">
            <v>SN0340-XL</v>
          </cell>
          <cell r="B3938" t="str">
            <v>N340</v>
          </cell>
          <cell r="C3938" t="str">
            <v>ซาติน แขนสั้นขาสั้น กุหลาบขาวดำ XL</v>
          </cell>
        </row>
        <row r="3939">
          <cell r="A3939" t="str">
            <v>SN0341-L</v>
          </cell>
          <cell r="B3939" t="str">
            <v>N341</v>
          </cell>
          <cell r="C3939" t="str">
            <v>ซาติน แขนสั้นขาสั้น หมอก ม่วง L</v>
          </cell>
        </row>
        <row r="3940">
          <cell r="A3940" t="str">
            <v>SN0341-M</v>
          </cell>
          <cell r="B3940" t="str">
            <v>N341</v>
          </cell>
          <cell r="C3940" t="str">
            <v>ซาติน แขนสั้นขาสั้น หมอก ม่วง M</v>
          </cell>
        </row>
        <row r="3941">
          <cell r="A3941" t="str">
            <v>SN0341-XL</v>
          </cell>
          <cell r="B3941" t="str">
            <v>N341</v>
          </cell>
          <cell r="C3941" t="str">
            <v>ซาติน แขนสั้นขาสั้น หมอก ม่วง XL</v>
          </cell>
        </row>
        <row r="3942">
          <cell r="A3942" t="str">
            <v>SN0345-L</v>
          </cell>
          <cell r="B3942" t="str">
            <v>N345</v>
          </cell>
          <cell r="C3942" t="str">
            <v>ซาติน แขนสั้นขาสั้น สีชมพู ระบายขาว L</v>
          </cell>
        </row>
        <row r="3943">
          <cell r="A3943" t="str">
            <v>SN0345-M</v>
          </cell>
          <cell r="B3943" t="str">
            <v>N345</v>
          </cell>
          <cell r="C3943" t="str">
            <v>ซาติน แขนสั้นขาสั้น สีชมพู ระบายขาว M</v>
          </cell>
        </row>
        <row r="3944">
          <cell r="A3944" t="str">
            <v>SN0347-2XL</v>
          </cell>
          <cell r="B3944" t="str">
            <v>N347</v>
          </cell>
          <cell r="C3944" t="str">
            <v>ซาติน แขนสั้นขาสั้น Coral Sea 2XL</v>
          </cell>
        </row>
        <row r="3945">
          <cell r="A3945" t="str">
            <v>SN0347-3XL</v>
          </cell>
          <cell r="B3945" t="str">
            <v>N347</v>
          </cell>
          <cell r="C3945" t="str">
            <v>ซาติน แขนสั้นขาสั้น Coral Sea 3XL</v>
          </cell>
        </row>
        <row r="3946">
          <cell r="A3946" t="str">
            <v>SN0347-L</v>
          </cell>
          <cell r="B3946" t="str">
            <v>N347</v>
          </cell>
          <cell r="C3946" t="str">
            <v>ซาติน แขนสั้นขาสั้น Coral Sea L</v>
          </cell>
        </row>
        <row r="3947">
          <cell r="A3947" t="str">
            <v>SN0347-M</v>
          </cell>
          <cell r="B3947" t="str">
            <v>N347</v>
          </cell>
          <cell r="C3947" t="str">
            <v>ซาติน แขนสั้นขาสั้น Coral Sea M</v>
          </cell>
        </row>
        <row r="3948">
          <cell r="A3948" t="str">
            <v>SN0347-XL</v>
          </cell>
          <cell r="B3948" t="str">
            <v>N347</v>
          </cell>
          <cell r="C3948" t="str">
            <v>ซาติน แขนสั้นขาสั้น Coral Sea XL</v>
          </cell>
        </row>
        <row r="3949">
          <cell r="A3949" t="str">
            <v>SN0348-L</v>
          </cell>
          <cell r="B3949" t="str">
            <v>N348</v>
          </cell>
          <cell r="C3949" t="str">
            <v>ซาติน แขนสั้นขาสั้น Red Flower L</v>
          </cell>
        </row>
        <row r="3950">
          <cell r="A3950" t="str">
            <v>SN0348-M</v>
          </cell>
          <cell r="B3950" t="str">
            <v>N348</v>
          </cell>
          <cell r="C3950" t="str">
            <v>ซาติน แขนสั้นขาสั้น Red Flower M</v>
          </cell>
        </row>
        <row r="3951">
          <cell r="A3951" t="str">
            <v>SN0348-XL</v>
          </cell>
          <cell r="B3951" t="str">
            <v>N348</v>
          </cell>
          <cell r="C3951" t="str">
            <v>ซาติน แขนสั้นขาสั้น Red Flower XL</v>
          </cell>
        </row>
        <row r="3952">
          <cell r="A3952" t="str">
            <v>SN0349-L</v>
          </cell>
          <cell r="B3952" t="str">
            <v>N349</v>
          </cell>
          <cell r="C3952" t="str">
            <v>ซาติน แขนสั้นขาสั้น The Witch L</v>
          </cell>
        </row>
        <row r="3953">
          <cell r="A3953" t="str">
            <v>SN0349-M</v>
          </cell>
          <cell r="B3953" t="str">
            <v>N349</v>
          </cell>
          <cell r="C3953" t="str">
            <v>ซาติน แขนสั้นขาสั้น The Witch M</v>
          </cell>
        </row>
        <row r="3954">
          <cell r="A3954" t="str">
            <v>SN0349-XL</v>
          </cell>
          <cell r="B3954" t="str">
            <v>N349</v>
          </cell>
          <cell r="C3954" t="str">
            <v>ซาติน แขนสั้นขาสั้น The Witch XL</v>
          </cell>
        </row>
        <row r="3955">
          <cell r="A3955" t="str">
            <v>SN0350-2XL</v>
          </cell>
          <cell r="B3955" t="str">
            <v>N350</v>
          </cell>
          <cell r="C3955" t="str">
            <v>ซาติน แขนสั้นขาสั้น Flower Gray 2XL</v>
          </cell>
        </row>
        <row r="3956">
          <cell r="A3956" t="str">
            <v>SN0350-3XL</v>
          </cell>
          <cell r="B3956" t="str">
            <v>N350</v>
          </cell>
          <cell r="C3956" t="str">
            <v>ซาติน แขนสั้นขาสั้น Flower Gray 3XL</v>
          </cell>
        </row>
        <row r="3957">
          <cell r="A3957" t="str">
            <v>SN0350-L</v>
          </cell>
          <cell r="B3957" t="str">
            <v>N350</v>
          </cell>
          <cell r="C3957" t="str">
            <v>ซาติน แขนสั้นขาสั้น Flower Gray L</v>
          </cell>
        </row>
        <row r="3958">
          <cell r="A3958" t="str">
            <v>SN0350-M</v>
          </cell>
          <cell r="B3958" t="str">
            <v>N350</v>
          </cell>
          <cell r="C3958" t="str">
            <v>ซาติน แขนสั้นขาสั้น Flower Gray M</v>
          </cell>
        </row>
        <row r="3959">
          <cell r="A3959" t="str">
            <v>SN0350-XL</v>
          </cell>
          <cell r="B3959" t="str">
            <v>N350</v>
          </cell>
          <cell r="C3959" t="str">
            <v>ซาติน แขนสั้นขาสั้น Flower Gray XL</v>
          </cell>
        </row>
        <row r="3960">
          <cell r="A3960" t="str">
            <v>SN0352-2XL</v>
          </cell>
          <cell r="B3960" t="str">
            <v>N352</v>
          </cell>
          <cell r="C3960" t="str">
            <v>ซาติน แขนสั้นขาสั้น Jasmine Green 2XL</v>
          </cell>
        </row>
        <row r="3961">
          <cell r="A3961" t="str">
            <v>SN0352-L</v>
          </cell>
          <cell r="B3961" t="str">
            <v>N352</v>
          </cell>
          <cell r="C3961" t="str">
            <v>ซาติน แขนสั้นขาสั้น Jasmine Green L</v>
          </cell>
        </row>
        <row r="3962">
          <cell r="A3962" t="str">
            <v>SN0352-M</v>
          </cell>
          <cell r="B3962" t="str">
            <v>N352</v>
          </cell>
          <cell r="C3962" t="str">
            <v>ซาติน แขนสั้นขาสั้น Jasmine Green M</v>
          </cell>
        </row>
        <row r="3963">
          <cell r="A3963" t="str">
            <v>SN0352-XL</v>
          </cell>
          <cell r="B3963" t="str">
            <v>N352</v>
          </cell>
          <cell r="C3963" t="str">
            <v>ซาติน แขนสั้นขาสั้น Jasmine Green XL</v>
          </cell>
        </row>
        <row r="3964">
          <cell r="A3964" t="str">
            <v>SN0353-2XL</v>
          </cell>
          <cell r="B3964" t="str">
            <v>N353</v>
          </cell>
          <cell r="C3964" t="str">
            <v>ซาติน แขนสั้นขาสั้น Passion Fruit 2XL</v>
          </cell>
        </row>
        <row r="3965">
          <cell r="A3965" t="str">
            <v>SN0353-L</v>
          </cell>
          <cell r="B3965" t="str">
            <v>N353</v>
          </cell>
          <cell r="C3965" t="str">
            <v>ซาติน แขนสั้นขาสั้น Passion Fruit L</v>
          </cell>
        </row>
        <row r="3966">
          <cell r="A3966" t="str">
            <v>SN0353-M</v>
          </cell>
          <cell r="B3966" t="str">
            <v>JN353</v>
          </cell>
          <cell r="C3966" t="str">
            <v>ซาติน แขนสั้นขาสั้น Passion Fruit M ตัวโชว์</v>
          </cell>
        </row>
        <row r="3967">
          <cell r="A3967" t="str">
            <v>SN0353-XL</v>
          </cell>
          <cell r="B3967" t="str">
            <v>N353</v>
          </cell>
          <cell r="C3967" t="str">
            <v>ซาติน แขนสั้นขาสั้น Passion Fruit XL</v>
          </cell>
        </row>
        <row r="3968">
          <cell r="A3968" t="str">
            <v>SN0360-2XL</v>
          </cell>
          <cell r="B3968" t="str">
            <v>N360</v>
          </cell>
          <cell r="C3968" t="str">
            <v>ซาติน แขนสั้นขาสั้น Comic book 2XL</v>
          </cell>
        </row>
        <row r="3969">
          <cell r="A3969" t="str">
            <v>SN0360-3XL</v>
          </cell>
          <cell r="B3969" t="str">
            <v>N360</v>
          </cell>
          <cell r="C3969" t="str">
            <v>ซาติน แขนสั้นขาสั้น Comic book 3XL</v>
          </cell>
        </row>
        <row r="3970">
          <cell r="A3970" t="str">
            <v>SN0360-L</v>
          </cell>
          <cell r="B3970" t="str">
            <v>N360</v>
          </cell>
          <cell r="C3970" t="str">
            <v>ซาติน แขนสั้นขาสั้น Comic book L</v>
          </cell>
        </row>
        <row r="3971">
          <cell r="A3971" t="str">
            <v>SN0360-M</v>
          </cell>
          <cell r="B3971" t="str">
            <v>N360</v>
          </cell>
          <cell r="C3971" t="str">
            <v>ซาติน แขนสั้นขาสั้น Comic book M</v>
          </cell>
        </row>
        <row r="3972">
          <cell r="A3972" t="str">
            <v>SN0360-XL</v>
          </cell>
          <cell r="B3972" t="str">
            <v>N360</v>
          </cell>
          <cell r="C3972" t="str">
            <v>ซาติน แขนสั้นขาสั้น Comic book XL</v>
          </cell>
        </row>
        <row r="3973">
          <cell r="A3973" t="str">
            <v>SN0361-L</v>
          </cell>
          <cell r="B3973" t="str">
            <v>N361</v>
          </cell>
          <cell r="C3973" t="str">
            <v>ซาติน แขนสั้นขาสั้น Color Full L</v>
          </cell>
        </row>
        <row r="3974">
          <cell r="A3974" t="str">
            <v>SN0361-M</v>
          </cell>
          <cell r="B3974" t="str">
            <v>N361</v>
          </cell>
          <cell r="C3974" t="str">
            <v>ซาติน แขนสั้นขาสั้น Color Full M</v>
          </cell>
        </row>
        <row r="3975">
          <cell r="A3975" t="str">
            <v>SN0361-XL</v>
          </cell>
          <cell r="B3975" t="str">
            <v>N361</v>
          </cell>
          <cell r="C3975" t="str">
            <v>ซาติน แขนสั้นขาสั้น Color Full XL</v>
          </cell>
        </row>
        <row r="3976">
          <cell r="A3976" t="str">
            <v>SN0362-2XL</v>
          </cell>
          <cell r="B3976" t="str">
            <v>N362</v>
          </cell>
          <cell r="C3976" t="str">
            <v>ซาติน แขนสั้นขาสั้น New moon Art 2XL</v>
          </cell>
        </row>
        <row r="3977">
          <cell r="A3977" t="str">
            <v>SN0362-3XL</v>
          </cell>
          <cell r="B3977" t="str">
            <v>N362</v>
          </cell>
          <cell r="C3977" t="str">
            <v>ซาติน แขนสั้นขาสั้น New moon Art 3XL</v>
          </cell>
        </row>
        <row r="3978">
          <cell r="A3978" t="str">
            <v>SN0362-L</v>
          </cell>
          <cell r="B3978" t="str">
            <v>N362</v>
          </cell>
          <cell r="C3978" t="str">
            <v>ซาติน แขนสั้นขาสั้น New moon Art L</v>
          </cell>
        </row>
        <row r="3979">
          <cell r="A3979" t="str">
            <v>SN0362-M</v>
          </cell>
          <cell r="B3979" t="str">
            <v>N362</v>
          </cell>
          <cell r="C3979" t="str">
            <v>ซาติน แขนสั้นขาสั้น New moon Art M</v>
          </cell>
        </row>
        <row r="3980">
          <cell r="A3980" t="str">
            <v>SN0362-XL</v>
          </cell>
          <cell r="B3980" t="str">
            <v>N362</v>
          </cell>
          <cell r="C3980" t="str">
            <v>ซาติน แขนสั้นขาสั้น New moon Art XL</v>
          </cell>
        </row>
        <row r="3981">
          <cell r="A3981" t="str">
            <v>SN0369-L</v>
          </cell>
          <cell r="B3981" t="str">
            <v>N369</v>
          </cell>
          <cell r="C3981" t="str">
            <v>ซาติน แขนสั้นขาสั้น กุหลาบ ขอบชมพู พื้นขาว L</v>
          </cell>
        </row>
        <row r="3982">
          <cell r="A3982" t="str">
            <v>SN0369-M</v>
          </cell>
          <cell r="B3982" t="str">
            <v>N369</v>
          </cell>
          <cell r="C3982" t="str">
            <v>ซาติน แขนสั้นขาสั้น กุหลาบ ขอบชมพู พื้นขาว M</v>
          </cell>
        </row>
        <row r="3983">
          <cell r="A3983" t="str">
            <v>SN0377-L</v>
          </cell>
          <cell r="B3983" t="str">
            <v>N377</v>
          </cell>
          <cell r="C3983" t="str">
            <v>ซาติน แขนสั้นขาสั้น กระต่ายม่วง L</v>
          </cell>
        </row>
        <row r="3984">
          <cell r="A3984" t="str">
            <v>SN0377-M</v>
          </cell>
          <cell r="B3984" t="str">
            <v>N377</v>
          </cell>
          <cell r="C3984" t="str">
            <v>ซาติน แขนสั้นขาสั้น กระต่ายม่วง M</v>
          </cell>
        </row>
        <row r="3985">
          <cell r="A3985" t="str">
            <v>SN0378-L</v>
          </cell>
          <cell r="B3985" t="str">
            <v>N378</v>
          </cell>
          <cell r="C3985" t="str">
            <v>ซาติน แขนสั้นขาสั้น โบว์ดำ ทั่วตัว พื้นครีม L</v>
          </cell>
        </row>
        <row r="3986">
          <cell r="A3986" t="str">
            <v>SN0378-M</v>
          </cell>
          <cell r="B3986" t="str">
            <v>N378</v>
          </cell>
          <cell r="C3986" t="str">
            <v>ซาติน แขนสั้นขาสั้น โบว์ดำ ทั่วตัว พื้นครีม M</v>
          </cell>
        </row>
        <row r="3987">
          <cell r="A3987" t="str">
            <v>SN0379-L</v>
          </cell>
          <cell r="B3987" t="str">
            <v>N379</v>
          </cell>
          <cell r="C3987" t="str">
            <v>ซาติน แขนสั้นขาสั้น หัวใจฟ้า น้ำตาล พื้นขาว L</v>
          </cell>
        </row>
        <row r="3988">
          <cell r="A3988" t="str">
            <v>SN0379-M</v>
          </cell>
          <cell r="B3988" t="str">
            <v>N379</v>
          </cell>
          <cell r="C3988" t="str">
            <v>ซาติน แขนสั้นขาสั้น หัวใจฟ้า น้ำตาล พื้นขาว M</v>
          </cell>
        </row>
        <row r="3989">
          <cell r="A3989" t="str">
            <v>SN0380-L</v>
          </cell>
          <cell r="B3989" t="str">
            <v>N380</v>
          </cell>
          <cell r="C3989" t="str">
            <v>ซาติน แขนสั้นขาสั้น หัวใจฟ้า น้ำตาล พื้นชมพู L</v>
          </cell>
        </row>
        <row r="3990">
          <cell r="A3990" t="str">
            <v>SN0380-M</v>
          </cell>
          <cell r="B3990" t="str">
            <v>N380</v>
          </cell>
          <cell r="C3990" t="str">
            <v>ซาติน แขนสั้นขาสั้น หัวใจฟ้า น้ำตาล พื้นชมพู M</v>
          </cell>
        </row>
        <row r="3991">
          <cell r="A3991" t="str">
            <v>SN0380-XL</v>
          </cell>
          <cell r="B3991" t="str">
            <v>N380</v>
          </cell>
          <cell r="C3991" t="str">
            <v>ซาติน แขนสั้นขาสั้น หัวใจฟ้า น้ำตาล พื้นชมพู XL</v>
          </cell>
        </row>
        <row r="3992">
          <cell r="A3992" t="str">
            <v>SN0393-L</v>
          </cell>
          <cell r="B3992" t="str">
            <v>N393</v>
          </cell>
          <cell r="C3992" t="str">
            <v>ซาติน แขนสั้นขาสั้น enjoylife พื้นชมพู L</v>
          </cell>
        </row>
        <row r="3993">
          <cell r="A3993" t="str">
            <v>SN0393-M</v>
          </cell>
          <cell r="B3993" t="str">
            <v>N393</v>
          </cell>
          <cell r="C3993" t="str">
            <v>ซาติน แขนสั้นขาสั้น enjoylife พื้นชมพู M</v>
          </cell>
        </row>
        <row r="3994">
          <cell r="A3994" t="str">
            <v>SN0394-L</v>
          </cell>
          <cell r="B3994" t="str">
            <v>N394</v>
          </cell>
          <cell r="C3994" t="str">
            <v>ซาติน แขนสั้นขาสั้น enjoylife พื้นดำ L</v>
          </cell>
        </row>
        <row r="3995">
          <cell r="A3995" t="str">
            <v>SN0394-M</v>
          </cell>
          <cell r="B3995" t="str">
            <v>N394</v>
          </cell>
          <cell r="C3995" t="str">
            <v>ซาติน แขนสั้นขาสั้น enjoylife พื้นดำ M</v>
          </cell>
        </row>
        <row r="3996">
          <cell r="A3996" t="str">
            <v>SN0396-L</v>
          </cell>
          <cell r="B3996" t="str">
            <v>N396</v>
          </cell>
          <cell r="C3996" t="str">
            <v>ซาติน แขนสั้นขาสั้น enjoylife พื้นขาว L</v>
          </cell>
        </row>
        <row r="3997">
          <cell r="A3997" t="str">
            <v>SN0396-M</v>
          </cell>
          <cell r="B3997" t="str">
            <v>N396</v>
          </cell>
          <cell r="C3997" t="str">
            <v>ซาติน แขนสั้นขาสั้น enjoylife พื้นขาว M</v>
          </cell>
        </row>
        <row r="3998">
          <cell r="A3998" t="str">
            <v>SN0397-L</v>
          </cell>
          <cell r="B3998" t="str">
            <v>N397</v>
          </cell>
          <cell r="C3998" t="str">
            <v>ซาติน แขนสั้นขาสั้น enjoylife พื้นครีม L</v>
          </cell>
        </row>
        <row r="3999">
          <cell r="A3999" t="str">
            <v>SN0397-M</v>
          </cell>
          <cell r="B3999" t="str">
            <v>N397</v>
          </cell>
          <cell r="C3999" t="str">
            <v>ซาติน แขนสั้นขาสั้น enjoylife พื้นครีม M</v>
          </cell>
        </row>
        <row r="4000">
          <cell r="A4000" t="str">
            <v>SN0399-L</v>
          </cell>
          <cell r="B4000" t="str">
            <v>N399</v>
          </cell>
          <cell r="C4000" t="str">
            <v>ซาติน แขนสั้นขาสั้น พื้นเหลือง จุดขาว SLEEP L</v>
          </cell>
        </row>
        <row r="4001">
          <cell r="A4001" t="str">
            <v>SN0399-M</v>
          </cell>
          <cell r="B4001" t="str">
            <v>N399</v>
          </cell>
          <cell r="C4001" t="str">
            <v>ซาติน แขนสั้นขาสั้น พื้นเหลือง จุดขาว SLEEP M</v>
          </cell>
        </row>
        <row r="4002">
          <cell r="A4002" t="str">
            <v>SN0400-L</v>
          </cell>
          <cell r="B4002" t="str">
            <v>N400</v>
          </cell>
          <cell r="C4002" t="str">
            <v>ซาติน แขนสั้นขาสั้น พื้นขาว จุดเขียวอ่อน SLEEP L</v>
          </cell>
        </row>
        <row r="4003">
          <cell r="A4003" t="str">
            <v>SN0400-M</v>
          </cell>
          <cell r="B4003" t="str">
            <v>N400</v>
          </cell>
          <cell r="C4003" t="str">
            <v>ซาติน แขนสั้นขาสั้น พื้นขาว จุดเขียวอ่อน SLEEP M</v>
          </cell>
        </row>
        <row r="4004">
          <cell r="A4004" t="str">
            <v>SN0401-L</v>
          </cell>
          <cell r="B4004" t="str">
            <v>N401</v>
          </cell>
          <cell r="C4004" t="str">
            <v>ซาติน แขนสั้นขาสั้น พื้นขาว จุดชมพูอ่อน SLEEP L</v>
          </cell>
        </row>
        <row r="4005">
          <cell r="A4005" t="str">
            <v>SN0401-M</v>
          </cell>
          <cell r="B4005" t="str">
            <v>N401</v>
          </cell>
          <cell r="C4005" t="str">
            <v>ซาติน แขนสั้นขาสั้น พื้นขาว จุดชมพูอ่อน SLEEP M</v>
          </cell>
        </row>
        <row r="4006">
          <cell r="A4006" t="str">
            <v>SN0404-L</v>
          </cell>
          <cell r="B4006" t="str">
            <v>N404</v>
          </cell>
          <cell r="C4006" t="str">
            <v>ซาติน แขนสั้นขาสั้น ชิโนริ พื้นขาว กระเป๋า Queen L</v>
          </cell>
        </row>
        <row r="4007">
          <cell r="A4007" t="str">
            <v>SN0404-M</v>
          </cell>
          <cell r="B4007" t="str">
            <v>N404</v>
          </cell>
          <cell r="C4007" t="str">
            <v>ซาติน แขนสั้นขาสั้น ชิโนริ พื้นขาว กระเป๋า Queen M</v>
          </cell>
        </row>
        <row r="4008">
          <cell r="A4008" t="str">
            <v>SN0405-L</v>
          </cell>
          <cell r="B4008" t="str">
            <v>N405</v>
          </cell>
          <cell r="C4008" t="str">
            <v>ซาติน แขนสั้นขาสั้น ชิโนริ พื้นดำ กระเป๋า Queen L</v>
          </cell>
        </row>
        <row r="4009">
          <cell r="A4009" t="str">
            <v>SN0406-L</v>
          </cell>
          <cell r="B4009" t="str">
            <v>N406</v>
          </cell>
          <cell r="C4009" t="str">
            <v>ซาติน แขนสั้นขาสั้น ชิโนริ พื้นเทา กระเป๋า Queen L</v>
          </cell>
        </row>
        <row r="4010">
          <cell r="A4010" t="str">
            <v>SN0406-M</v>
          </cell>
          <cell r="B4010" t="str">
            <v>N406</v>
          </cell>
          <cell r="C4010" t="str">
            <v>ซาติน แขนสั้นขาสั้น ชิโนริ พื้นเทา กระเป๋า Queen M</v>
          </cell>
        </row>
        <row r="4011">
          <cell r="A4011" t="str">
            <v>SN0407-L</v>
          </cell>
          <cell r="B4011" t="str">
            <v>N407</v>
          </cell>
          <cell r="C4011" t="str">
            <v>ซาติน แขนสั้นขาสั้น ชิโนริ พื้นเขียว กระเป๋า Queen L</v>
          </cell>
        </row>
        <row r="4012">
          <cell r="A4012" t="str">
            <v>SN0407-M</v>
          </cell>
          <cell r="B4012" t="str">
            <v>N407</v>
          </cell>
          <cell r="C4012" t="str">
            <v>ซาติน แขนสั้นขาสั้น ชิโนริ พื้นเขียว กระเป๋า Queen M</v>
          </cell>
        </row>
        <row r="4013">
          <cell r="A4013" t="str">
            <v>SN0408-L</v>
          </cell>
          <cell r="B4013" t="str">
            <v>N408</v>
          </cell>
          <cell r="C4013" t="str">
            <v>ซาติน แขนสั้นขาสั้น ชิโนริ พื้นชมพู กระเป๋า Queen L</v>
          </cell>
        </row>
        <row r="4014">
          <cell r="A4014" t="str">
            <v>SN0408-M</v>
          </cell>
          <cell r="B4014" t="str">
            <v>N408</v>
          </cell>
          <cell r="C4014" t="str">
            <v>ซาติน แขนสั้นขาสั้น ชิโนริ พื้นชมพู กระเป๋า Queen M</v>
          </cell>
        </row>
        <row r="4015">
          <cell r="A4015" t="str">
            <v>SN0429-L</v>
          </cell>
          <cell r="B4015" t="str">
            <v>N429</v>
          </cell>
          <cell r="C4015" t="str">
            <v>ซาติน แขนสั้นขาสั้น ลายทาง แมว พื้นเทา L</v>
          </cell>
        </row>
        <row r="4016">
          <cell r="A4016" t="str">
            <v>SN0429-M</v>
          </cell>
          <cell r="B4016" t="str">
            <v>N429</v>
          </cell>
          <cell r="C4016" t="str">
            <v>ซาติน แขนสั้นขาสั้น ลายทาง แมว พื้นเทา M</v>
          </cell>
        </row>
        <row r="4017">
          <cell r="A4017" t="str">
            <v>SN0430-L</v>
          </cell>
          <cell r="B4017" t="str">
            <v>N430</v>
          </cell>
          <cell r="C4017" t="str">
            <v>ซาติน แขนสั้นขาสั้น ลายทาง หมา พื้นดำ L</v>
          </cell>
        </row>
        <row r="4018">
          <cell r="A4018" t="str">
            <v>SN0430-M</v>
          </cell>
          <cell r="B4018" t="str">
            <v>N430</v>
          </cell>
          <cell r="C4018" t="str">
            <v>ซาติน แขนสั้นขาสั้น ลายทาง หมา พื้นดำ M</v>
          </cell>
        </row>
        <row r="4019">
          <cell r="A4019" t="str">
            <v>SN0432-L</v>
          </cell>
          <cell r="B4019" t="str">
            <v>N432</v>
          </cell>
          <cell r="C4019" t="str">
            <v>ซาติน แขนสั้นขาสั้น Montel พื้นครีม L</v>
          </cell>
        </row>
        <row r="4020">
          <cell r="A4020" t="str">
            <v>SN0432-M</v>
          </cell>
          <cell r="B4020" t="str">
            <v>N432</v>
          </cell>
          <cell r="C4020" t="str">
            <v>ซาติน แขนสั้นขาสั้น Montel พื้นครีม M</v>
          </cell>
        </row>
        <row r="4021">
          <cell r="A4021" t="str">
            <v>SN0433-L</v>
          </cell>
          <cell r="B4021" t="str">
            <v>N433</v>
          </cell>
          <cell r="C4021" t="str">
            <v>ซาติน แขนสั้นขาสั้น Montel พื้นดำ L</v>
          </cell>
        </row>
        <row r="4022">
          <cell r="A4022" t="str">
            <v>SN0433-M</v>
          </cell>
          <cell r="B4022" t="str">
            <v>N433</v>
          </cell>
          <cell r="C4022" t="str">
            <v>ซาติน แขนสั้นขาสั้น Montel พื้นดำ M</v>
          </cell>
        </row>
        <row r="4023">
          <cell r="A4023" t="str">
            <v>SN0434-L</v>
          </cell>
          <cell r="B4023" t="str">
            <v>N434</v>
          </cell>
          <cell r="C4023" t="str">
            <v>ซาติน แขนสั้นขาสั้น Montel พื้นชมพู L</v>
          </cell>
        </row>
        <row r="4024">
          <cell r="A4024" t="str">
            <v>SN0434-M</v>
          </cell>
          <cell r="B4024" t="str">
            <v>N434</v>
          </cell>
          <cell r="C4024" t="str">
            <v>ซาติน แขนสั้นขาสั้น Montel พื้นชมพู M</v>
          </cell>
        </row>
        <row r="4025">
          <cell r="A4025" t="str">
            <v>SN0435-L</v>
          </cell>
          <cell r="B4025" t="str">
            <v>N435</v>
          </cell>
          <cell r="C4025" t="str">
            <v>ซาติน แขนสั้นขาสั้น Montel พื้นขาว L</v>
          </cell>
        </row>
        <row r="4026">
          <cell r="A4026" t="str">
            <v>SN0435-M</v>
          </cell>
          <cell r="B4026" t="str">
            <v>N435</v>
          </cell>
          <cell r="C4026" t="str">
            <v>ซาติน แขนสั้นขาสั้น Montel พื้นขาว M</v>
          </cell>
        </row>
        <row r="4027">
          <cell r="A4027" t="str">
            <v>SN0446-L</v>
          </cell>
          <cell r="B4027" t="str">
            <v>N446</v>
          </cell>
          <cell r="C4027" t="str">
            <v>ซาติน แขนสั้นขาสั้น Fabulous Bear พื้นชมพู L</v>
          </cell>
        </row>
        <row r="4028">
          <cell r="A4028" t="str">
            <v>SN0446-M</v>
          </cell>
          <cell r="B4028" t="str">
            <v>N446</v>
          </cell>
          <cell r="C4028" t="str">
            <v>ซาติน แขนสั้นขาสั้น&amp;nbsp;Fabulous Bear พื้นชมพู M</v>
          </cell>
        </row>
        <row r="4029">
          <cell r="A4029" t="str">
            <v>SN0447-L</v>
          </cell>
          <cell r="B4029" t="str">
            <v>N447</v>
          </cell>
          <cell r="C4029" t="str">
            <v>ซาติน แขนสั้นขาสั้น&amp;nbsp;Fabulous Bear พื้นฟ้า L</v>
          </cell>
        </row>
        <row r="4030">
          <cell r="A4030" t="str">
            <v>SN0447-M</v>
          </cell>
          <cell r="B4030" t="str">
            <v>N447</v>
          </cell>
          <cell r="C4030" t="str">
            <v>ซาติน แขนสั้นขาสั้น Fabulous Bear พื้นฟ้า M</v>
          </cell>
        </row>
        <row r="4031">
          <cell r="A4031" t="str">
            <v>SN0448-L</v>
          </cell>
          <cell r="B4031" t="str">
            <v>JN448</v>
          </cell>
          <cell r="C4031" t="str">
            <v>ซาติน แขนสั้นขาสั้น ส้ม พื้นชมพู L ตัวโชว์</v>
          </cell>
        </row>
        <row r="4032">
          <cell r="A4032" t="str">
            <v>SN0448-M</v>
          </cell>
          <cell r="B4032" t="str">
            <v>N448</v>
          </cell>
          <cell r="C4032" t="str">
            <v>ซาติน แขนสั้นขาสั้น&amp;nbsp;ส้ม พื้นชมพู M</v>
          </cell>
        </row>
        <row r="4033">
          <cell r="A4033" t="str">
            <v>SN0449-L</v>
          </cell>
          <cell r="B4033" t="str">
            <v>N449</v>
          </cell>
          <cell r="C4033" t="str">
            <v>ซาติน แขนสั้นขาสั้น&amp;nbsp;ส้ม พื้นม่วง L</v>
          </cell>
        </row>
        <row r="4034">
          <cell r="A4034" t="str">
            <v>SN0449-M</v>
          </cell>
          <cell r="B4034" t="str">
            <v>N449</v>
          </cell>
          <cell r="C4034" t="str">
            <v>ซาติน แขนสั้นขาสั้น&amp;nbsp;ส้ม พื้นม่วง M</v>
          </cell>
        </row>
        <row r="4035">
          <cell r="A4035" t="str">
            <v>SN0450-L</v>
          </cell>
          <cell r="B4035" t="str">
            <v>N450</v>
          </cell>
          <cell r="C4035" t="str">
            <v>ซาติน แขนสั้นแขนสั้น Stawberry พื้นชมพู L</v>
          </cell>
        </row>
        <row r="4036">
          <cell r="A4036" t="str">
            <v>SN0450-M</v>
          </cell>
          <cell r="B4036" t="str">
            <v>N450</v>
          </cell>
          <cell r="C4036" t="str">
            <v>ซาติน แขนสั้นแขนสั้น Stawberry พื้นชมพู M</v>
          </cell>
        </row>
        <row r="4037">
          <cell r="A4037" t="str">
            <v>SN0451-L</v>
          </cell>
          <cell r="B4037" t="str">
            <v>N451</v>
          </cell>
          <cell r="C4037" t="str">
            <v>ซาติน แขนสั้นแขนสั้น Stawberry พื้นม่วง L</v>
          </cell>
        </row>
        <row r="4038">
          <cell r="A4038" t="str">
            <v>SN0451-M</v>
          </cell>
          <cell r="B4038" t="str">
            <v>N451</v>
          </cell>
          <cell r="C4038" t="str">
            <v>ซาติน แขนสั้นแขนสั้น Stawberry พื้นม่วง M</v>
          </cell>
        </row>
        <row r="4039">
          <cell r="A4039" t="str">
            <v>SN0452-L</v>
          </cell>
          <cell r="B4039" t="str">
            <v>N452</v>
          </cell>
          <cell r="C4039" t="str">
            <v>ซาติน แขนสั้นแขนสั้น Stawberry พื้นขาว L</v>
          </cell>
        </row>
        <row r="4040">
          <cell r="A4040" t="str">
            <v>SN0452-M</v>
          </cell>
          <cell r="B4040" t="str">
            <v>N452</v>
          </cell>
          <cell r="C4040" t="str">
            <v>ซาติน แขนสั้นแขนสั้น Stawberry พื้นขาว M</v>
          </cell>
        </row>
        <row r="4041">
          <cell r="A4041" t="str">
            <v>SN0453-L</v>
          </cell>
          <cell r="B4041" t="str">
            <v>N453</v>
          </cell>
          <cell r="C4041" t="str">
            <v>ซาติน แขนสั้นแขนสั้น Small Bear พื้นม่วง L</v>
          </cell>
        </row>
        <row r="4042">
          <cell r="A4042" t="str">
            <v>SN0453-M</v>
          </cell>
          <cell r="B4042" t="str">
            <v>N453</v>
          </cell>
          <cell r="C4042" t="str">
            <v>ซาติน แขนสั้นแขนสั้น Small Bear พื้นม่วง M</v>
          </cell>
        </row>
        <row r="4043">
          <cell r="A4043" t="str">
            <v>SN0454-L</v>
          </cell>
          <cell r="B4043" t="str">
            <v>N454</v>
          </cell>
          <cell r="C4043" t="str">
            <v>ซาติน แขนสั้นแขนสั้น Small Bear พื้นขาว L</v>
          </cell>
        </row>
        <row r="4044">
          <cell r="A4044" t="str">
            <v>SN0454-M</v>
          </cell>
          <cell r="B4044" t="str">
            <v>N454</v>
          </cell>
          <cell r="C4044" t="str">
            <v>ซาติน แขนสั้นแขนสั้น Small Bear พื้นขาว M</v>
          </cell>
        </row>
        <row r="4045">
          <cell r="A4045" t="str">
            <v>SN0456-L</v>
          </cell>
          <cell r="B4045" t="str">
            <v>N456</v>
          </cell>
          <cell r="C4045" t="str">
            <v>ซาติน แขนสั้นแขนสั้น Waffle พื้นเทา L</v>
          </cell>
        </row>
        <row r="4046">
          <cell r="A4046" t="str">
            <v>SN0456-M</v>
          </cell>
          <cell r="B4046" t="str">
            <v>JN456</v>
          </cell>
          <cell r="C4046" t="str">
            <v>ซาติน แขนสั้นแขนสั้น&amp;nbsp;Waffle พื้นเทา M ตัวโชว์</v>
          </cell>
        </row>
        <row r="4047">
          <cell r="A4047" t="str">
            <v>SN0457-L</v>
          </cell>
          <cell r="B4047" t="str">
            <v>N457</v>
          </cell>
          <cell r="C4047" t="str">
            <v>ซาติน แขนสั้นแขนสั้น Waffle พื้นฟ้า L</v>
          </cell>
        </row>
        <row r="4048">
          <cell r="A4048" t="str">
            <v>SN0458-L</v>
          </cell>
          <cell r="B4048" t="str">
            <v>N458</v>
          </cell>
          <cell r="C4048" t="str">
            <v>ซาติน แขนสั้นแขนสั้น&amp;nbsp;Waffle พื้นชมพู L</v>
          </cell>
        </row>
        <row r="4049">
          <cell r="A4049" t="str">
            <v>SN0459-L</v>
          </cell>
          <cell r="B4049" t="str">
            <v>N459</v>
          </cell>
          <cell r="C4049" t="str">
            <v>ซาติน แขนสั้นแขนสั้น&amp;nbsp;Waffle พื้นขาว L</v>
          </cell>
        </row>
        <row r="4050">
          <cell r="A4050" t="str">
            <v>SN0461-L</v>
          </cell>
          <cell r="B4050" t="str">
            <v>N461</v>
          </cell>
          <cell r="C4050" t="str">
            <v>ซาติน แขนสั้นขาสั้น Bear I miss you พื้นฟ้า L</v>
          </cell>
        </row>
        <row r="4051">
          <cell r="A4051" t="str">
            <v>SN0461-M</v>
          </cell>
          <cell r="B4051" t="str">
            <v>N461</v>
          </cell>
          <cell r="C4051" t="str">
            <v>ซาติน แขนสั้นขาสั้น Bear I miss you พื้นฟ้า M</v>
          </cell>
        </row>
        <row r="4052">
          <cell r="A4052" t="str">
            <v>SN0462-L</v>
          </cell>
          <cell r="B4052" t="str">
            <v>N462</v>
          </cell>
          <cell r="C4052" t="str">
            <v>ซาติน แขนสั้นขาสั้น Bear I miss you พื้นชมพู L</v>
          </cell>
        </row>
        <row r="4053">
          <cell r="A4053" t="str">
            <v>SN0462-M</v>
          </cell>
          <cell r="B4053" t="str">
            <v>N462</v>
          </cell>
          <cell r="C4053" t="str">
            <v>ซาติน แขนสั้นขาสั้น Bear I miss you พื้นชมพู M</v>
          </cell>
        </row>
        <row r="4054">
          <cell r="A4054" t="str">
            <v>SN0463-L</v>
          </cell>
          <cell r="B4054" t="str">
            <v>N463</v>
          </cell>
          <cell r="C4054" t="str">
            <v>ซาติน แขนสั้นขาสั้น Bear I miss you พื้นขาว L</v>
          </cell>
        </row>
        <row r="4055">
          <cell r="A4055" t="str">
            <v>SN0463-M</v>
          </cell>
          <cell r="B4055" t="str">
            <v>N463</v>
          </cell>
          <cell r="C4055" t="str">
            <v>ซาติน แขนสั้นขาสั้น Bear I miss you พื้นขาว M</v>
          </cell>
        </row>
        <row r="4056">
          <cell r="A4056" t="str">
            <v>SN0464-L</v>
          </cell>
          <cell r="B4056" t="str">
            <v>N464</v>
          </cell>
          <cell r="C4056" t="str">
            <v>ซาติน แขนสั้นขาสั้น Fat Cat พื้นขาว L</v>
          </cell>
        </row>
        <row r="4057">
          <cell r="A4057" t="str">
            <v>SN0464-M</v>
          </cell>
          <cell r="B4057" t="str">
            <v>N464</v>
          </cell>
          <cell r="C4057" t="str">
            <v>ซาติน แขนสั้นขาสั้น Fat Cat พื้นขาว M</v>
          </cell>
        </row>
        <row r="4058">
          <cell r="A4058" t="str">
            <v>SN0465-L</v>
          </cell>
          <cell r="B4058" t="str">
            <v>N465</v>
          </cell>
          <cell r="C4058" t="str">
            <v>ซาติน แขนสั้นขาสั้น Fat Cat พื้นชมพู L</v>
          </cell>
        </row>
        <row r="4059">
          <cell r="A4059" t="str">
            <v>SN0465-M</v>
          </cell>
          <cell r="B4059" t="str">
            <v>N465</v>
          </cell>
          <cell r="C4059" t="str">
            <v>ซาติน แขนสั้นขาสั้น Fat Cat พื้นชมพู M</v>
          </cell>
        </row>
        <row r="4060">
          <cell r="A4060" t="str">
            <v>SN0466-L</v>
          </cell>
          <cell r="B4060" t="str">
            <v>N466</v>
          </cell>
          <cell r="C4060" t="str">
            <v>ซาติน แขนสั้นขาสั้น Fat Cat พื้นเขียว L</v>
          </cell>
        </row>
        <row r="4061">
          <cell r="A4061" t="str">
            <v>SN0466-M</v>
          </cell>
          <cell r="B4061" t="str">
            <v>N466</v>
          </cell>
          <cell r="C4061" t="str">
            <v>ซาติน แขนสั้นขาสั้น Fat Cat พื้นเขียว M</v>
          </cell>
        </row>
        <row r="4062">
          <cell r="A4062" t="str">
            <v>SN0467-L</v>
          </cell>
          <cell r="B4062" t="str">
            <v>N467</v>
          </cell>
          <cell r="C4062" t="str">
            <v>ซาติน แขนสั้นขาสั้น Fat Cat พื้นม่วง L</v>
          </cell>
        </row>
        <row r="4063">
          <cell r="A4063" t="str">
            <v>SN0476-L</v>
          </cell>
          <cell r="B4063" t="str">
            <v>N476</v>
          </cell>
          <cell r="C4063" t="str">
            <v>ซาติน แขนสั้นขาสั้น love and balloon ชมพู L</v>
          </cell>
        </row>
        <row r="4064">
          <cell r="A4064" t="str">
            <v>SN0476-M</v>
          </cell>
          <cell r="B4064" t="str">
            <v>JN476</v>
          </cell>
          <cell r="C4064" t="str">
            <v>ซาติน แขนสั้นขาสั้น love and balloon ชมพู M ตัวโชว์</v>
          </cell>
        </row>
        <row r="4065">
          <cell r="A4065" t="str">
            <v>SN0477-L</v>
          </cell>
          <cell r="B4065" t="str">
            <v>N477</v>
          </cell>
          <cell r="C4065" t="str">
            <v>ซาติน แขนสั้นขาสั้น love and balloon ม่วง L</v>
          </cell>
        </row>
        <row r="4066">
          <cell r="A4066" t="str">
            <v>SN0477-M</v>
          </cell>
          <cell r="B4066" t="str">
            <v>JN477</v>
          </cell>
          <cell r="C4066" t="str">
            <v>ซาติน แขนสั้นขาสั้น love and balloon ม่วง M ตัวโชว์</v>
          </cell>
        </row>
        <row r="4067">
          <cell r="A4067" t="str">
            <v>SN0478-L</v>
          </cell>
          <cell r="B4067" t="str">
            <v>BN478</v>
          </cell>
          <cell r="C4067" t="str">
            <v>ซาติน แขนสั้นขาสั้น fashion and girl ส้ม L</v>
          </cell>
        </row>
        <row r="4068">
          <cell r="A4068" t="str">
            <v>SN0478-M</v>
          </cell>
          <cell r="B4068" t="str">
            <v>JN478</v>
          </cell>
          <cell r="C4068" t="str">
            <v>ซาติน แขนสั้นขาสั้น fashion and girl ส้ม M ตัวโชว์</v>
          </cell>
        </row>
        <row r="4069">
          <cell r="A4069" t="str">
            <v>SN0479-L</v>
          </cell>
          <cell r="B4069" t="str">
            <v>N479</v>
          </cell>
          <cell r="C4069" t="str">
            <v>ซาติน แขนสั้นขาสั้น fashion and girl เขียว L</v>
          </cell>
        </row>
        <row r="4070">
          <cell r="A4070" t="str">
            <v>SN0480-L</v>
          </cell>
          <cell r="B4070" t="str">
            <v>N480</v>
          </cell>
          <cell r="C4070" t="str">
            <v>ซาติน แขนสั้นขาสั้น ดอกมะลิ พื้นขาว L</v>
          </cell>
        </row>
        <row r="4071">
          <cell r="A4071" t="str">
            <v>SN0481-L</v>
          </cell>
          <cell r="B4071" t="str">
            <v>JN481</v>
          </cell>
          <cell r="C4071" t="str">
            <v>ซาติน แขนสั้นขาสั้น ดอกมะลิ พื้นม่วง L (กปก) ตัวโชว์</v>
          </cell>
        </row>
        <row r="4072">
          <cell r="A4072" t="str">
            <v>SN0481-M</v>
          </cell>
          <cell r="B4072" t="str">
            <v>BN481</v>
          </cell>
          <cell r="C4072" t="str">
            <v>ซาติน แขนสั้นขาสั้น ดอกมะลิ พื้นม่วง M (กปก)</v>
          </cell>
        </row>
        <row r="4073">
          <cell r="A4073" t="str">
            <v>SN0482-2XL</v>
          </cell>
          <cell r="B4073" t="str">
            <v>N482</v>
          </cell>
          <cell r="C4073" t="str">
            <v>ซาติน แขนสั้นขาสั้น Sleep Cat พื้นฟ้า 2XL</v>
          </cell>
        </row>
        <row r="4074">
          <cell r="A4074" t="str">
            <v>SN0482-L</v>
          </cell>
          <cell r="B4074" t="str">
            <v>N482</v>
          </cell>
          <cell r="C4074" t="str">
            <v>ซาติน แขนสั้นขาสั้น Sleep Cat พื้นฟ้า L</v>
          </cell>
        </row>
        <row r="4075">
          <cell r="A4075" t="str">
            <v>SN0482-M</v>
          </cell>
          <cell r="B4075" t="str">
            <v>N482</v>
          </cell>
          <cell r="C4075" t="str">
            <v>ซาติน แขนสั้นขาสั้น Sleep Cat พื้นฟ้า M</v>
          </cell>
        </row>
        <row r="4076">
          <cell r="A4076" t="str">
            <v>SN0482-XL</v>
          </cell>
          <cell r="B4076" t="str">
            <v>N482</v>
          </cell>
          <cell r="C4076" t="str">
            <v>ซาติน แขนสั้นขาสั้น Sleep Cat พื้นฟ้า XL</v>
          </cell>
        </row>
        <row r="4077">
          <cell r="A4077" t="str">
            <v>SN0483-L</v>
          </cell>
          <cell r="B4077" t="str">
            <v>N483</v>
          </cell>
          <cell r="C4077" t="str">
            <v>ซาติน แขนสั้นขาสั้น หมีตารางฟ้า L</v>
          </cell>
        </row>
        <row r="4078">
          <cell r="A4078" t="str">
            <v>SN0484-L</v>
          </cell>
          <cell r="B4078" t="str">
            <v>N484</v>
          </cell>
          <cell r="C4078" t="str">
            <v>ซาติน แขนสั้นขาสั้น หมีตารางเขียว L</v>
          </cell>
        </row>
        <row r="4079">
          <cell r="A4079" t="str">
            <v>SN0485-L</v>
          </cell>
          <cell r="B4079" t="str">
            <v>N485</v>
          </cell>
          <cell r="C4079" t="str">
            <v>ซาติน แขนสั้นขาสั้น Cute Bear ขาว-ดำ L</v>
          </cell>
        </row>
        <row r="4080">
          <cell r="A4080" t="str">
            <v>SN0485-M</v>
          </cell>
          <cell r="B4080" t="str">
            <v>N485</v>
          </cell>
          <cell r="C4080" t="str">
            <v>ซาติน แขนสั้นขาสั้น Cute Bear ขาว-ดำ M</v>
          </cell>
        </row>
        <row r="4081">
          <cell r="A4081" t="str">
            <v>SN0491-L</v>
          </cell>
          <cell r="B4081" t="str">
            <v>N491</v>
          </cell>
          <cell r="C4081" t="str">
            <v>ซาติน แขนสั้นขาสั้น Cute Heart กระต่าย ชมพู L</v>
          </cell>
        </row>
        <row r="4082">
          <cell r="A4082" t="str">
            <v>SN0491-M</v>
          </cell>
          <cell r="B4082" t="str">
            <v>N491</v>
          </cell>
          <cell r="C4082" t="str">
            <v>ซาติน แขนสั้นขาสั้น Cute Heart กระต่าย ชมพู M</v>
          </cell>
        </row>
        <row r="4083">
          <cell r="A4083" t="str">
            <v>SN0491-XL</v>
          </cell>
          <cell r="B4083" t="str">
            <v>N491</v>
          </cell>
          <cell r="C4083" t="str">
            <v>ซาติน แขนสั้นขาสั้น Cute Heart กระต่าย ชมพู XL</v>
          </cell>
        </row>
        <row r="4084">
          <cell r="A4084" t="str">
            <v>SN0492-L</v>
          </cell>
          <cell r="B4084" t="str">
            <v>N492</v>
          </cell>
          <cell r="C4084" t="str">
            <v>ซาติน แขนสั้นขาสั้น Brown Squirrel L</v>
          </cell>
        </row>
        <row r="4085">
          <cell r="A4085" t="str">
            <v>SN0492-XL</v>
          </cell>
          <cell r="B4085" t="str">
            <v>N492</v>
          </cell>
          <cell r="C4085" t="str">
            <v>ซาติน แขนสั้นขาสั้น Brown Squirrel XL</v>
          </cell>
        </row>
        <row r="4086">
          <cell r="A4086" t="str">
            <v>SN0493-L</v>
          </cell>
          <cell r="B4086" t="str">
            <v>N493</v>
          </cell>
          <cell r="C4086" t="str">
            <v>ซาติน แขนสั้นขาสั้น Pink Squirrel L</v>
          </cell>
        </row>
        <row r="4087">
          <cell r="A4087" t="str">
            <v>SN0493-XL</v>
          </cell>
          <cell r="B4087" t="str">
            <v>N493</v>
          </cell>
          <cell r="C4087" t="str">
            <v>ซาติน แขนสั้นขาสั้น Pink Squirrel XL</v>
          </cell>
        </row>
        <row r="4088">
          <cell r="A4088" t="str">
            <v>SN0494-L</v>
          </cell>
          <cell r="B4088" t="str">
            <v>N494</v>
          </cell>
          <cell r="C4088" t="str">
            <v>ซาติน แขนสั้นขาสั้น Angel Bow L</v>
          </cell>
        </row>
        <row r="4089">
          <cell r="A4089" t="str">
            <v>SN0494-XL</v>
          </cell>
          <cell r="B4089" t="str">
            <v>N494</v>
          </cell>
          <cell r="C4089" t="str">
            <v>ซาติน แขนสั้นขาสั้น Angel Bow XL</v>
          </cell>
        </row>
        <row r="4090">
          <cell r="A4090" t="str">
            <v>SN0495-L</v>
          </cell>
          <cell r="B4090" t="str">
            <v>N495</v>
          </cell>
          <cell r="C4090" t="str">
            <v>ซาติน แขนสั้นขาสั้น Cute Heart กระต่าย เขียว L</v>
          </cell>
        </row>
        <row r="4091">
          <cell r="A4091" t="str">
            <v>SN0495-XL</v>
          </cell>
          <cell r="B4091" t="str">
            <v>N495</v>
          </cell>
          <cell r="C4091" t="str">
            <v>ซาติน แขนสั้นขาสั้น Cute Heart กระต่าย เขียว XL</v>
          </cell>
        </row>
        <row r="4092">
          <cell r="A4092" t="str">
            <v>SN0496-L</v>
          </cell>
          <cell r="B4092" t="str">
            <v>N496</v>
          </cell>
          <cell r="C4092" t="str">
            <v>ซาติน แขนสั้นขาสั้น Cute Bear White L</v>
          </cell>
        </row>
        <row r="4093">
          <cell r="A4093" t="str">
            <v>SN0496-M</v>
          </cell>
          <cell r="B4093" t="str">
            <v>N496</v>
          </cell>
          <cell r="C4093" t="str">
            <v>ซาติน แขนสั้นขาสั้น Cute Bear White M</v>
          </cell>
        </row>
        <row r="4094">
          <cell r="A4094" t="str">
            <v>SN0497-L</v>
          </cell>
          <cell r="B4094" t="str">
            <v>N497</v>
          </cell>
          <cell r="C4094" t="str">
            <v>ซาติน แขนสั้นขาสั้น Cute Bear Pink L</v>
          </cell>
        </row>
        <row r="4095">
          <cell r="A4095" t="str">
            <v>SN0497-M</v>
          </cell>
          <cell r="B4095" t="str">
            <v>JN497</v>
          </cell>
          <cell r="C4095" t="str">
            <v>ซาติน แขนสั้นขาสั้น Cute Bear Pink M ตัวโชว์</v>
          </cell>
        </row>
        <row r="4096">
          <cell r="A4096" t="str">
            <v>SN0498-L</v>
          </cell>
          <cell r="B4096" t="str">
            <v>N498</v>
          </cell>
          <cell r="C4096" t="str">
            <v>ซาติน แขนสั้นขาสั้น เรือสำราญ พื้นเทา L</v>
          </cell>
        </row>
        <row r="4097">
          <cell r="A4097" t="str">
            <v>SN0498-M</v>
          </cell>
          <cell r="B4097" t="str">
            <v>N498</v>
          </cell>
          <cell r="C4097" t="str">
            <v>ซาติน แขนสั้นขาสั้น เรือสำราญ พื้นเทา M</v>
          </cell>
        </row>
        <row r="4098">
          <cell r="A4098" t="str">
            <v>SN0498-XL</v>
          </cell>
          <cell r="B4098" t="str">
            <v>N498</v>
          </cell>
          <cell r="C4098" t="str">
            <v>ซาติน แขนสั้นขาสั้น เรือสำราญ พื้นเทา XL</v>
          </cell>
        </row>
        <row r="4099">
          <cell r="A4099" t="str">
            <v>SN0499-L</v>
          </cell>
          <cell r="B4099" t="str">
            <v>N499</v>
          </cell>
          <cell r="C4099" t="str">
            <v>ซาติน  แขนสั้นขาสั้น เสือดาว จุดชมพูม่วง L</v>
          </cell>
        </row>
        <row r="4100">
          <cell r="A4100" t="str">
            <v>SN0499-M</v>
          </cell>
          <cell r="B4100" t="str">
            <v>N499</v>
          </cell>
          <cell r="C4100" t="str">
            <v>ซาติน  แขนสั้นขาสั้น เสือดาว จุดชมพูม่วง  M</v>
          </cell>
        </row>
        <row r="4101">
          <cell r="A4101" t="str">
            <v>SN0499-S</v>
          </cell>
          <cell r="B4101" t="str">
            <v>N499</v>
          </cell>
          <cell r="C4101" t="str">
            <v>ซาติน  แขนสั้นขาสั้น เสือดาว จุดชมพูม่วง S</v>
          </cell>
        </row>
        <row r="4102">
          <cell r="A4102" t="str">
            <v>SN0500-L</v>
          </cell>
          <cell r="B4102" t="str">
            <v>N500</v>
          </cell>
          <cell r="C4102" t="str">
            <v>ซาติน  แขนสั้นขาสั้น เสือดาว พื้นครีมอ่อน L</v>
          </cell>
        </row>
        <row r="4103">
          <cell r="A4103" t="str">
            <v>SN0500-M</v>
          </cell>
          <cell r="B4103" t="str">
            <v>N500</v>
          </cell>
          <cell r="C4103" t="str">
            <v>ซาติน  แขนสั้นขาสั้น เสือดาว พื้นครีมอ่อน M</v>
          </cell>
        </row>
        <row r="4104">
          <cell r="A4104" t="str">
            <v>SN0500-S</v>
          </cell>
          <cell r="B4104" t="str">
            <v>N500</v>
          </cell>
          <cell r="C4104" t="str">
            <v>ซาติน  แขนสั้นขาสั้น เสือดาว พื้นครีมอ่อน S</v>
          </cell>
        </row>
        <row r="4105">
          <cell r="A4105" t="str">
            <v>SN0501-L</v>
          </cell>
          <cell r="B4105" t="str">
            <v>JN501</v>
          </cell>
          <cell r="C4105" t="str">
            <v>ซาติน แขนสั้นขาสั้น Good Luck น้องหมีชมพู L ตัวโชว์</v>
          </cell>
        </row>
        <row r="4106">
          <cell r="A4106" t="str">
            <v>SN0501-M</v>
          </cell>
          <cell r="B4106" t="str">
            <v>JN501</v>
          </cell>
          <cell r="C4106" t="str">
            <v>ซาติน แขนสั้นขาสั้น Good Luck น้องหมีชมพู M ตัวโชว์</v>
          </cell>
        </row>
        <row r="4107">
          <cell r="A4107" t="str">
            <v>SN0502-L</v>
          </cell>
          <cell r="B4107" t="str">
            <v>JN502</v>
          </cell>
          <cell r="C4107" t="str">
            <v>ซาติน แขนสั้นขาสั้น Good Luck น้องหมีกรม L ตัวโชว์</v>
          </cell>
        </row>
        <row r="4108">
          <cell r="A4108" t="str">
            <v>SN0502-M</v>
          </cell>
          <cell r="B4108" t="str">
            <v>JN502</v>
          </cell>
          <cell r="C4108" t="str">
            <v>ซาติน แขนสั้นขาสั้น Good Luck น้องหมีกรม M ตัวโชว์</v>
          </cell>
        </row>
        <row r="4109">
          <cell r="A4109" t="str">
            <v>SN0503-L</v>
          </cell>
          <cell r="B4109" t="str">
            <v>N503</v>
          </cell>
          <cell r="C4109" t="str">
            <v>ซาติน แขนสั้นขาสั้น Good Luck น้องหมีม่วง L</v>
          </cell>
        </row>
        <row r="4110">
          <cell r="A4110" t="str">
            <v>SN0503-M</v>
          </cell>
          <cell r="B4110" t="str">
            <v>N503</v>
          </cell>
          <cell r="C4110" t="str">
            <v>ซาติน แขนสั้นขาสั้น Good Luck น้องหมีม่วง M</v>
          </cell>
        </row>
        <row r="4111">
          <cell r="A4111" t="str">
            <v>SN0504-L</v>
          </cell>
          <cell r="B4111" t="str">
            <v>N504</v>
          </cell>
          <cell r="C4111" t="str">
            <v>ซาติน แขนสั้นขาสั้น Good Luck น้องหมีฟ้า L (กปก)</v>
          </cell>
        </row>
        <row r="4112">
          <cell r="A4112" t="str">
            <v>SN0504-M</v>
          </cell>
          <cell r="B4112" t="str">
            <v>JN504</v>
          </cell>
          <cell r="C4112" t="str">
            <v>ซาติน แขนสั้นขาสั้น Good Luck น้องหมีฟ้า M (กปก) ตัวโชว์</v>
          </cell>
        </row>
        <row r="4113">
          <cell r="A4113" t="str">
            <v>SN0506-L</v>
          </cell>
          <cell r="B4113" t="str">
            <v>N506</v>
          </cell>
          <cell r="C4113" t="str">
            <v>ซาติน แขนสั้นขาสั้น Jolly Bear White L</v>
          </cell>
        </row>
        <row r="4114">
          <cell r="A4114" t="str">
            <v>SN0506-M</v>
          </cell>
          <cell r="B4114" t="str">
            <v>N506</v>
          </cell>
          <cell r="C4114" t="str">
            <v>ซาติน แขนสั้นขาสั้น Jolly Bear White M</v>
          </cell>
        </row>
        <row r="4115">
          <cell r="A4115" t="str">
            <v>SN0506-XL</v>
          </cell>
          <cell r="B4115" t="str">
            <v>N506</v>
          </cell>
          <cell r="C4115" t="str">
            <v>ซาติน แขนสั้นขาสั้น Jolly Bear White XL</v>
          </cell>
        </row>
        <row r="4116">
          <cell r="A4116" t="str">
            <v>SN0507-L</v>
          </cell>
          <cell r="B4116" t="str">
            <v>N507</v>
          </cell>
          <cell r="C4116" t="str">
            <v>ซาติน แขนสั้นขาสั้น Jolly Bear Black L</v>
          </cell>
        </row>
        <row r="4117">
          <cell r="A4117" t="str">
            <v>SN0507-M</v>
          </cell>
          <cell r="B4117" t="str">
            <v>JN507</v>
          </cell>
          <cell r="C4117" t="str">
            <v>ซาติน แขนสั้นขาสั้น Jolly Bear Black M ตัวโชว์</v>
          </cell>
        </row>
        <row r="4118">
          <cell r="A4118" t="str">
            <v>SN0507-XL</v>
          </cell>
          <cell r="B4118" t="str">
            <v>N507</v>
          </cell>
          <cell r="C4118" t="str">
            <v>ซาติน แขนสั้นขาสั้น Jolly Bear Black XL</v>
          </cell>
        </row>
        <row r="4119">
          <cell r="A4119" t="str">
            <v>SN0511-L</v>
          </cell>
          <cell r="B4119" t="str">
            <v>N511</v>
          </cell>
          <cell r="C4119" t="str">
            <v>ซาติน แขนสั้นขาสั้น Princess Violet L</v>
          </cell>
        </row>
        <row r="4120">
          <cell r="A4120" t="str">
            <v>SN0511-M</v>
          </cell>
          <cell r="B4120" t="str">
            <v>N511</v>
          </cell>
          <cell r="C4120" t="str">
            <v>ซาติน แขนสั้นขาสั้น Princess Violet M</v>
          </cell>
        </row>
        <row r="4121">
          <cell r="A4121" t="str">
            <v>SN0511-XL</v>
          </cell>
          <cell r="B4121" t="str">
            <v>N511</v>
          </cell>
          <cell r="C4121" t="str">
            <v>ซาติน แขนสั้นขาสั้น Princess Violet XL</v>
          </cell>
        </row>
        <row r="4122">
          <cell r="A4122" t="str">
            <v>SN0519-2XL</v>
          </cell>
          <cell r="B4122" t="str">
            <v>JN519</v>
          </cell>
          <cell r="C4122" t="str">
            <v>ซิลค์แจ็คการ์ด แขนสั้นขาสั้น ผีเสื้อ พาสเทล พื้นขาว 2XL ตัวโชว์</v>
          </cell>
        </row>
        <row r="4123">
          <cell r="A4123" t="str">
            <v>SN0519-L</v>
          </cell>
          <cell r="B4123" t="str">
            <v>JN519</v>
          </cell>
          <cell r="C4123" t="str">
            <v>ซิลค์แจ็คการ์ด แขนสั้นขาสั้น ผีเสื้อ พาสเทล พื้นขาว L ตัวโชว์</v>
          </cell>
        </row>
        <row r="4124">
          <cell r="A4124" t="str">
            <v>SN0519-M</v>
          </cell>
          <cell r="B4124" t="str">
            <v>JN519</v>
          </cell>
          <cell r="C4124" t="str">
            <v>ซิลค์แจ็คการ์ด แขนสั้นขาสั้น ผีเสื้อ พาสเทล พื้นขาว M ตัวโชว์</v>
          </cell>
        </row>
        <row r="4125">
          <cell r="A4125" t="str">
            <v>SN0519-XL</v>
          </cell>
          <cell r="B4125" t="str">
            <v>JN519</v>
          </cell>
          <cell r="C4125" t="str">
            <v>ซิลค์แจ็คการ์ด แขนสั้นขาสั้น ผีเสื้อ พาสเทล พื้นขาว XL ตัวโชว์</v>
          </cell>
        </row>
        <row r="4126">
          <cell r="A4126" t="str">
            <v>SN0522-L</v>
          </cell>
          <cell r="B4126" t="str">
            <v>N522</v>
          </cell>
          <cell r="C4126" t="str">
            <v>ซาติน แขนสั้นขาสั้น เกง พีช เสื้อ กระต่าย ชมพู L</v>
          </cell>
        </row>
        <row r="4127">
          <cell r="A4127" t="str">
            <v>SN0522-M</v>
          </cell>
          <cell r="B4127" t="str">
            <v>N522</v>
          </cell>
          <cell r="C4127" t="str">
            <v>ซาติน แขนสั้นขาสั้น เกง พีช เสื้อ กระต่าย ชมพู M</v>
          </cell>
        </row>
        <row r="4128">
          <cell r="A4128" t="str">
            <v>SN0522-XL</v>
          </cell>
          <cell r="B4128" t="str">
            <v>N522</v>
          </cell>
          <cell r="C4128" t="str">
            <v>ซาติน แขนสั้นขาสั้น เกง พีช เสื้อ กระต่าย ชมพู XL</v>
          </cell>
        </row>
        <row r="4129">
          <cell r="A4129" t="str">
            <v>SN0525-2XL</v>
          </cell>
          <cell r="B4129" t="str">
            <v>N525</v>
          </cell>
          <cell r="C4129" t="str">
            <v>ซาติน แขนสั้นขาสั้น ภาพวาดกุหลาบ พื้นส้ม 2XL</v>
          </cell>
        </row>
        <row r="4130">
          <cell r="A4130" t="str">
            <v>SN0525-3XL</v>
          </cell>
          <cell r="B4130" t="str">
            <v>N525</v>
          </cell>
          <cell r="C4130" t="str">
            <v>ซาติน แขนสั้นขาสั้น ภาพวาดกุหลาบ พื้นส้ม 3XL</v>
          </cell>
        </row>
        <row r="4131">
          <cell r="A4131" t="str">
            <v>SN0525-L</v>
          </cell>
          <cell r="B4131" t="str">
            <v>N525</v>
          </cell>
          <cell r="C4131" t="str">
            <v>ซาติน แขนสั้นขาสั้น ภาพวาดกุหลาบ พื้นส้ม L</v>
          </cell>
        </row>
        <row r="4132">
          <cell r="A4132" t="str">
            <v>SN0525-M</v>
          </cell>
          <cell r="B4132" t="str">
            <v>N525</v>
          </cell>
          <cell r="C4132" t="str">
            <v>ซาติน แขนสั้นขาสั้น ภาพวาดกุหลาบ พื้นส้ม M</v>
          </cell>
        </row>
        <row r="4133">
          <cell r="A4133" t="str">
            <v>SN0525-XL</v>
          </cell>
          <cell r="B4133" t="str">
            <v>N525</v>
          </cell>
          <cell r="C4133" t="str">
            <v>ซาติน แขนสั้นขาสั้น ภาพวาดกุหลาบ พื้นส้ม XL</v>
          </cell>
        </row>
        <row r="4134">
          <cell r="A4134" t="str">
            <v>SN0526-2XL</v>
          </cell>
          <cell r="B4134" t="str">
            <v>N526</v>
          </cell>
          <cell r="C4134" t="str">
            <v>ซาติน แขนสั้นขาสั้น Royal Art 2XL</v>
          </cell>
        </row>
        <row r="4135">
          <cell r="A4135" t="str">
            <v>SN0526-3XL</v>
          </cell>
          <cell r="B4135" t="str">
            <v>N526</v>
          </cell>
          <cell r="C4135" t="str">
            <v>ซาติน แขนสั้นขาสั้น Royal Art 3XL</v>
          </cell>
        </row>
        <row r="4136">
          <cell r="A4136" t="str">
            <v>SN0526-L</v>
          </cell>
          <cell r="B4136" t="str">
            <v>N526</v>
          </cell>
          <cell r="C4136" t="str">
            <v>ซาติน แขนสั้นขาสั้น Royal Art L</v>
          </cell>
        </row>
        <row r="4137">
          <cell r="A4137" t="str">
            <v>SN0526-M</v>
          </cell>
          <cell r="B4137" t="str">
            <v>N526</v>
          </cell>
          <cell r="C4137" t="str">
            <v>ซาติน แขนสั้นขาสั้น Royal Art M</v>
          </cell>
        </row>
        <row r="4138">
          <cell r="A4138" t="str">
            <v>SN0526-S</v>
          </cell>
          <cell r="B4138" t="str">
            <v>N526</v>
          </cell>
          <cell r="C4138" t="str">
            <v>ซาติน แขนสั้นขาสั้น Royal Art S</v>
          </cell>
        </row>
        <row r="4139">
          <cell r="A4139" t="str">
            <v>SN0526-XL</v>
          </cell>
          <cell r="B4139" t="str">
            <v>N526</v>
          </cell>
          <cell r="C4139" t="str">
            <v>ซาติน แขนสั้นขาสั้น Royal Art XL</v>
          </cell>
        </row>
        <row r="4140">
          <cell r="A4140" t="str">
            <v>SN0532-L</v>
          </cell>
          <cell r="B4140" t="str">
            <v>JN532</v>
          </cell>
          <cell r="C4140" t="str">
            <v>ซาติน แขนสั้นขาสั้น มะหมา พื้นฟ้า L (กปก) ตัวโชว์</v>
          </cell>
        </row>
        <row r="4141">
          <cell r="A4141" t="str">
            <v>SN0532-M</v>
          </cell>
          <cell r="B4141" t="str">
            <v>JN532</v>
          </cell>
          <cell r="C4141" t="str">
            <v>ซาติน แขนสั้นขาสั้น มะหมา พื้นฟ้า M (กปก) ตัวโชว์</v>
          </cell>
        </row>
        <row r="4142">
          <cell r="A4142" t="str">
            <v>SN0533-L</v>
          </cell>
          <cell r="B4142" t="str">
            <v>N533</v>
          </cell>
          <cell r="C4142" t="str">
            <v>ซาติน แขนสั้นขาสั้น มะหมา พื้นชมพู L</v>
          </cell>
        </row>
        <row r="4143">
          <cell r="A4143" t="str">
            <v>SN0533-M</v>
          </cell>
          <cell r="B4143" t="str">
            <v>JN533</v>
          </cell>
          <cell r="C4143" t="str">
            <v>ซาติน แขนสั้นขาสั้น มะหมา พื้นชมพู M ตัวโชว์</v>
          </cell>
        </row>
        <row r="4144">
          <cell r="A4144" t="str">
            <v>SN0535-M</v>
          </cell>
          <cell r="B4144" t="str">
            <v>N535</v>
          </cell>
          <cell r="C4144" t="str">
            <v>ซาติน แขนสั้นขาสั้น Dark Green หัวใจ M</v>
          </cell>
        </row>
        <row r="4145">
          <cell r="A4145" t="str">
            <v>SN0535-S</v>
          </cell>
          <cell r="B4145" t="str">
            <v>JN535</v>
          </cell>
          <cell r="C4145" t="str">
            <v>ซาติน แขนสั้นขาสั้น Dark Green หัวใจ S ตัวโชว์</v>
          </cell>
        </row>
        <row r="4146">
          <cell r="A4146" t="str">
            <v>SN0537-L</v>
          </cell>
          <cell r="B4146" t="str">
            <v>N537</v>
          </cell>
          <cell r="C4146" t="str">
            <v>ซาติน แขนสั้นขาสั้น ตาราง ชมพูขาว L</v>
          </cell>
        </row>
        <row r="4147">
          <cell r="A4147" t="str">
            <v>SN0537-M</v>
          </cell>
          <cell r="B4147" t="str">
            <v>N537</v>
          </cell>
          <cell r="C4147" t="str">
            <v>ซาติน แขนสั้นขาสั้น ตาราง ชมพูขาว M</v>
          </cell>
        </row>
        <row r="4148">
          <cell r="A4148" t="str">
            <v>SN0537-S</v>
          </cell>
          <cell r="B4148" t="str">
            <v>JN537</v>
          </cell>
          <cell r="C4148" t="str">
            <v>ซาติน แขนสั้นขาสั้น ตาราง ชมพูขาว S ตัวโชว์</v>
          </cell>
        </row>
        <row r="4149">
          <cell r="A4149" t="str">
            <v>SN0538-L</v>
          </cell>
          <cell r="B4149" t="str">
            <v>N538</v>
          </cell>
          <cell r="C4149" t="str">
            <v>ซาติน แขนสั้นขาสั้น Sweet Pink L</v>
          </cell>
        </row>
        <row r="4150">
          <cell r="A4150" t="str">
            <v>SN0538-M</v>
          </cell>
          <cell r="B4150" t="str">
            <v>N538</v>
          </cell>
          <cell r="C4150" t="str">
            <v>ซาติน แขนสั้นขาสั้น Sweet Pink M</v>
          </cell>
        </row>
        <row r="4151">
          <cell r="A4151" t="str">
            <v>SN0538-S</v>
          </cell>
          <cell r="B4151" t="str">
            <v>N538</v>
          </cell>
          <cell r="C4151" t="str">
            <v>ซาติน แขนสั้นขาสั้น Sweet Pink S</v>
          </cell>
        </row>
        <row r="4152">
          <cell r="A4152" t="str">
            <v>SN0539-L</v>
          </cell>
          <cell r="B4152" t="str">
            <v>N539</v>
          </cell>
          <cell r="C4152" t="str">
            <v>ซาติน แขนสั้นขาสั้น Sweet Purple L</v>
          </cell>
        </row>
        <row r="4153">
          <cell r="A4153" t="str">
            <v>SN0539-M</v>
          </cell>
          <cell r="B4153" t="str">
            <v>N539</v>
          </cell>
          <cell r="C4153" t="str">
            <v>ซาติน แขนสั้นขาสั้น Sweet Purple M</v>
          </cell>
        </row>
        <row r="4154">
          <cell r="A4154" t="str">
            <v>SN0539-S</v>
          </cell>
          <cell r="B4154" t="str">
            <v>N539</v>
          </cell>
          <cell r="C4154" t="str">
            <v>ซาติน แขนสั้นขาสั้น Sweet Purple S</v>
          </cell>
        </row>
        <row r="4155">
          <cell r="A4155" t="str">
            <v>SN0540-L</v>
          </cell>
          <cell r="B4155" t="str">
            <v>JN540</v>
          </cell>
          <cell r="C4155" t="str">
            <v>ซาติน แขนสั้นขาสั้น Sweet Green L ตัวโชว์</v>
          </cell>
        </row>
        <row r="4156">
          <cell r="A4156" t="str">
            <v>SN0540-M</v>
          </cell>
          <cell r="B4156" t="str">
            <v>JN540</v>
          </cell>
          <cell r="C4156" t="str">
            <v>ซาติน แขนสั้นขาสั้น Sweet Green M ตัวโชว์</v>
          </cell>
        </row>
        <row r="4157">
          <cell r="A4157" t="str">
            <v>SN0540-S</v>
          </cell>
          <cell r="B4157" t="str">
            <v>JN540</v>
          </cell>
          <cell r="C4157" t="str">
            <v>ซาติน แขนสั้นขาสั้น Sweet Green S ตัวโชว์</v>
          </cell>
        </row>
        <row r="4158">
          <cell r="A4158" t="str">
            <v>SN0541-2XL</v>
          </cell>
          <cell r="B4158" t="str">
            <v>JN541</v>
          </cell>
          <cell r="C4158" t="str">
            <v>ซาติน แขนสั้นขาสั้น ใบไม้ชมพู ปกม่วง 2XL ตัวโชว์</v>
          </cell>
        </row>
        <row r="4159">
          <cell r="A4159" t="str">
            <v>SN0541-L</v>
          </cell>
          <cell r="B4159" t="str">
            <v>N541</v>
          </cell>
          <cell r="C4159" t="str">
            <v>ซาติน แขนสั้นขาสั้น ใบไม้ชมพู ปกม่วง L</v>
          </cell>
        </row>
        <row r="4160">
          <cell r="A4160" t="str">
            <v>SN0541-M</v>
          </cell>
          <cell r="B4160" t="str">
            <v>ป6</v>
          </cell>
          <cell r="C4160" t="str">
            <v>ซาติน แขนสั้นขาสั้น ใบไม้ชมพู ปกม่วง M</v>
          </cell>
        </row>
        <row r="4161">
          <cell r="A4161" t="str">
            <v>SN0541-XL</v>
          </cell>
          <cell r="B4161" t="str">
            <v>JN541</v>
          </cell>
          <cell r="C4161" t="str">
            <v>ซาติน แขนสั้นขาสั้น ใบไม้ชมพู ปกม่วง XL ตัวโชว์</v>
          </cell>
        </row>
        <row r="4162">
          <cell r="A4162" t="str">
            <v>SN0542-2XL</v>
          </cell>
          <cell r="B4162" t="str">
            <v>N542</v>
          </cell>
          <cell r="C4162" t="str">
            <v>ซาติน แขนสั้นขาสั้น Green Garden ปกชมพูจุด 2XL</v>
          </cell>
        </row>
        <row r="4163">
          <cell r="A4163" t="str">
            <v>SN0542-L</v>
          </cell>
          <cell r="B4163" t="str">
            <v>N542</v>
          </cell>
          <cell r="C4163" t="str">
            <v>ซาติน แขนสั้นขาสั้น Green Garden ปกชมพูจุด L</v>
          </cell>
        </row>
        <row r="4164">
          <cell r="A4164" t="str">
            <v>SN0542-M</v>
          </cell>
          <cell r="B4164" t="str">
            <v>N542</v>
          </cell>
          <cell r="C4164" t="str">
            <v>ซาติน แขนสั้นขาสั้น Green Garden ปกชมพูจุด M</v>
          </cell>
        </row>
        <row r="4165">
          <cell r="A4165" t="str">
            <v>SN0542-XL</v>
          </cell>
          <cell r="B4165" t="str">
            <v>N542</v>
          </cell>
          <cell r="C4165" t="str">
            <v>ซาติน แขนสั้นขาสั้น Green Garden ปกชมพูจุด XL</v>
          </cell>
        </row>
        <row r="4166">
          <cell r="A4166" t="str">
            <v>SN0543-L</v>
          </cell>
          <cell r="B4166" t="str">
            <v>JN543</v>
          </cell>
          <cell r="C4166" t="str">
            <v>ซาติน แขนสั้นขาสั้น Sweet Green ลูกไม้ L ตัวโชว์</v>
          </cell>
        </row>
        <row r="4167">
          <cell r="A4167" t="str">
            <v>SN0543-M</v>
          </cell>
          <cell r="B4167" t="str">
            <v>JN543</v>
          </cell>
          <cell r="C4167" t="str">
            <v>ซาติน แขนสั้นขาสั้น Sweet Green ลูกไม้ M ตัวโชว์</v>
          </cell>
        </row>
        <row r="4168">
          <cell r="A4168" t="str">
            <v>SN0543-S</v>
          </cell>
          <cell r="B4168" t="str">
            <v>JN543</v>
          </cell>
          <cell r="C4168" t="str">
            <v>ซาติน แขนสั้นขาสั้น Sweet Green ลูกไม้ S ตัวโชว์</v>
          </cell>
        </row>
        <row r="4169">
          <cell r="A4169" t="str">
            <v>SN0546-L</v>
          </cell>
          <cell r="B4169" t="str">
            <v>N546</v>
          </cell>
          <cell r="C4169" t="str">
            <v>ซาติน แขนสั้นขาสั้น พื้นชมพู ขอบทอง กระเป๋าทอง L</v>
          </cell>
        </row>
        <row r="4170">
          <cell r="A4170" t="str">
            <v>SN0546-M</v>
          </cell>
          <cell r="B4170" t="str">
            <v>N546</v>
          </cell>
          <cell r="C4170" t="str">
            <v>ซาติน แขนสั้นขาสั้น พื้นชมพู ขอบทอง กระเป๋าทอง M</v>
          </cell>
        </row>
        <row r="4171">
          <cell r="A4171" t="str">
            <v>SN0547-L</v>
          </cell>
          <cell r="B4171" t="str">
            <v>N547</v>
          </cell>
          <cell r="C4171" t="str">
            <v>ซาติน แขนสั้นขาสั้น พื้นเหลือง ขอบขาว กระเป๋าชมพู L</v>
          </cell>
        </row>
        <row r="4172">
          <cell r="A4172" t="str">
            <v>SN0547-M</v>
          </cell>
          <cell r="B4172" t="str">
            <v>N547</v>
          </cell>
          <cell r="C4172" t="str">
            <v>ซาติน แขนสั้นขาสั้น พื้นเหลือง ขอบขาว กระเป๋าชมพู M</v>
          </cell>
        </row>
        <row r="4173">
          <cell r="A4173" t="str">
            <v>SN0548-L</v>
          </cell>
          <cell r="B4173" t="str">
            <v>N548</v>
          </cell>
          <cell r="C4173" t="str">
            <v>ซาติน แขนสั้นขาสั้น หมีแพนด้า พื้นครีม ขอบเขียว L</v>
          </cell>
        </row>
        <row r="4174">
          <cell r="A4174" t="str">
            <v>SN0548-M</v>
          </cell>
          <cell r="B4174" t="str">
            <v>N548</v>
          </cell>
          <cell r="C4174" t="str">
            <v>ซาติน แขนสั้นขาสั้น หมีแพนด้า พื้นครีม ขอบเขียว M</v>
          </cell>
        </row>
        <row r="4175">
          <cell r="A4175" t="str">
            <v>SN0548-S</v>
          </cell>
          <cell r="B4175" t="str">
            <v>N548</v>
          </cell>
          <cell r="C4175" t="str">
            <v>ซาติน แขนสั้นขาสั้น หมีแพนด้า พื้นครีม ขอบเขียว S</v>
          </cell>
        </row>
        <row r="4176">
          <cell r="A4176" t="str">
            <v>SN0551-L</v>
          </cell>
          <cell r="B4176" t="str">
            <v>N551</v>
          </cell>
          <cell r="C4176" t="str">
            <v>ซาติน แขนสั้นขาสั้น ลายจุด กระเป๋าแตงโม เหลือง L</v>
          </cell>
        </row>
        <row r="4177">
          <cell r="A4177" t="str">
            <v>SN0551-M</v>
          </cell>
          <cell r="B4177" t="str">
            <v>N551</v>
          </cell>
          <cell r="C4177" t="str">
            <v>ซาติน แขนสั้นขาสั้น ลายจุด กระเป๋าแตงโม เหลือง M</v>
          </cell>
        </row>
        <row r="4178">
          <cell r="A4178" t="str">
            <v>SN0552-L</v>
          </cell>
          <cell r="B4178" t="str">
            <v>N552</v>
          </cell>
          <cell r="C4178" t="str">
            <v>ซาติน แขนสั้นขาสั้น ลายจุด กระเป๋าแตงโม เขียว L</v>
          </cell>
        </row>
        <row r="4179">
          <cell r="A4179" t="str">
            <v>SN0552-M</v>
          </cell>
          <cell r="B4179" t="str">
            <v>N552</v>
          </cell>
          <cell r="C4179" t="str">
            <v>ซาติน แขนสั้นขาสั้น ลายจุด กระเป๋าแตงโม เขียว M</v>
          </cell>
        </row>
        <row r="4180">
          <cell r="A4180" t="str">
            <v>SN0553-L</v>
          </cell>
          <cell r="B4180" t="str">
            <v>N553</v>
          </cell>
          <cell r="C4180" t="str">
            <v>ซาติน แขนสั้นขาสั้น รวมแมว พื้นชมพู L</v>
          </cell>
        </row>
        <row r="4181">
          <cell r="A4181" t="str">
            <v>SN0553-M</v>
          </cell>
          <cell r="B4181" t="str">
            <v>N553</v>
          </cell>
          <cell r="C4181" t="str">
            <v>ซาติน แขนสั้นขาสั้น รวมแมว พื้นชมพู M</v>
          </cell>
        </row>
        <row r="4182">
          <cell r="A4182" t="str">
            <v>SN0554-L</v>
          </cell>
          <cell r="B4182" t="str">
            <v>N554</v>
          </cell>
          <cell r="C4182" t="str">
            <v>ซาติน แขนสั้นขาสั้น ลายเสือ ชมพูนู้ด ลูกไม้ L</v>
          </cell>
        </row>
        <row r="4183">
          <cell r="A4183" t="str">
            <v>SN0554-M</v>
          </cell>
          <cell r="B4183" t="str">
            <v>N554</v>
          </cell>
          <cell r="C4183" t="str">
            <v>ซาติน แขนสั้นขาสั้น ลายเสือ ชมพูนู้ด ลูกไม้ M</v>
          </cell>
        </row>
        <row r="4184">
          <cell r="A4184" t="str">
            <v>SN0555-L</v>
          </cell>
          <cell r="B4184" t="str">
            <v>N555</v>
          </cell>
          <cell r="C4184" t="str">
            <v>ซาติน แขนสั้นขาสั้น Booboo Star L</v>
          </cell>
        </row>
        <row r="4185">
          <cell r="A4185" t="str">
            <v>SN0555-M</v>
          </cell>
          <cell r="B4185" t="str">
            <v>JN555</v>
          </cell>
          <cell r="C4185" t="str">
            <v>ซาติน แขนสั้นขาสั้น Booboo Star M ตัวโชว์</v>
          </cell>
        </row>
        <row r="4186">
          <cell r="A4186" t="str">
            <v>SN0556-L</v>
          </cell>
          <cell r="B4186" t="str">
            <v>N556</v>
          </cell>
          <cell r="C4186" t="str">
            <v>ซาติน แขนสั้นขาสั้น ลายทาง เขียวน้ำทะเล L</v>
          </cell>
        </row>
        <row r="4187">
          <cell r="A4187" t="str">
            <v>SN0556-M</v>
          </cell>
          <cell r="B4187" t="str">
            <v>N556</v>
          </cell>
          <cell r="C4187" t="str">
            <v>ซาติน แขนสั้นขาสั้น ลายทาง เขียวน้ำทะเล M</v>
          </cell>
        </row>
        <row r="4188">
          <cell r="A4188" t="str">
            <v>SN0556-S</v>
          </cell>
          <cell r="B4188" t="str">
            <v>N556</v>
          </cell>
          <cell r="C4188" t="str">
            <v>ซาติน แขนสั้นขาสั้น ลายทาง เขียวน้ำทะเล S</v>
          </cell>
        </row>
        <row r="4189">
          <cell r="A4189" t="str">
            <v>SN0562-L</v>
          </cell>
          <cell r="B4189" t="str">
            <v>N562</v>
          </cell>
          <cell r="C4189" t="str">
            <v>ซาติน แขนสั้นขาสั้น Sweet Orange ลูกไม้ L</v>
          </cell>
        </row>
        <row r="4190">
          <cell r="A4190" t="str">
            <v>SN0562-M</v>
          </cell>
          <cell r="B4190" t="str">
            <v>N562</v>
          </cell>
          <cell r="C4190" t="str">
            <v>ซาติน แขนสั้นขาสั้น Sweet Orange ลูกไม้ M</v>
          </cell>
        </row>
        <row r="4191">
          <cell r="A4191" t="str">
            <v>SN0562-S</v>
          </cell>
          <cell r="B4191" t="str">
            <v>N562</v>
          </cell>
          <cell r="C4191" t="str">
            <v>ซาติน แขนสั้นขาสั้น Sweet Orange ลูกไม้ S</v>
          </cell>
        </row>
        <row r="4192">
          <cell r="A4192" t="str">
            <v>SN0562-XL</v>
          </cell>
          <cell r="B4192" t="str">
            <v>N562</v>
          </cell>
          <cell r="C4192" t="str">
            <v>ซาติน แขนสั้นขาสั้น Sweet Orange ลูกไม้ XL</v>
          </cell>
        </row>
        <row r="4193">
          <cell r="A4193" t="str">
            <v>SN0563-L</v>
          </cell>
          <cell r="B4193" t="str">
            <v>N563</v>
          </cell>
          <cell r="C4193" t="str">
            <v>ซาติน แขนสั้นขาสั้น ชมพูนู้ด ลายทาง L</v>
          </cell>
        </row>
        <row r="4194">
          <cell r="A4194" t="str">
            <v>SN0563-M</v>
          </cell>
          <cell r="B4194" t="str">
            <v>N563</v>
          </cell>
          <cell r="C4194" t="str">
            <v>ซาติน แขนสั้นขาสั้น ชมพูนู้ด ลายทาง L</v>
          </cell>
        </row>
        <row r="4195">
          <cell r="A4195" t="str">
            <v>SN0563-S</v>
          </cell>
          <cell r="B4195" t="str">
            <v>N563</v>
          </cell>
          <cell r="C4195" t="str">
            <v>ซาติน แขนสั้นขาสั้น ชมพูนู้ด ลายทาง S</v>
          </cell>
        </row>
        <row r="4196">
          <cell r="A4196" t="str">
            <v>SN0568-L</v>
          </cell>
          <cell r="B4196" t="str">
            <v>N568</v>
          </cell>
          <cell r="C4196" t="str">
            <v>ซาติน แขนสั้นขาสั้น อาหมวย พื้นชมพู หมวกขาว L (กปก)</v>
          </cell>
        </row>
        <row r="4197">
          <cell r="A4197" t="str">
            <v>SN0568-M</v>
          </cell>
          <cell r="B4197" t="str">
            <v>N568</v>
          </cell>
          <cell r="C4197" t="str">
            <v>ซาติน แขนสั้นขาสั้น อาหมวย พื้นชมพู หมวกขาว M (กปก)</v>
          </cell>
        </row>
        <row r="4198">
          <cell r="A4198" t="str">
            <v>SN0569-L</v>
          </cell>
          <cell r="B4198" t="str">
            <v>JN569</v>
          </cell>
          <cell r="C4198" t="str">
            <v>ซาติน แขนสั้นขาสั้น อาหมวย พื้นเขียว หมวกขาว L (กปก) ตัวโชว์</v>
          </cell>
        </row>
        <row r="4199">
          <cell r="A4199" t="str">
            <v>SN0569-M</v>
          </cell>
          <cell r="B4199" t="str">
            <v>JN569</v>
          </cell>
          <cell r="C4199" t="str">
            <v>ซาติน แขนสั้นขาสั้น อาหมวย พื้นเขียว หมวกขาว M (กปก) ตัวโชว์</v>
          </cell>
        </row>
        <row r="4200">
          <cell r="A4200" t="str">
            <v>SN0570-L</v>
          </cell>
          <cell r="B4200" t="str">
            <v>N570</v>
          </cell>
          <cell r="C4200" t="str">
            <v>ซาติน แขนสั้นขาสั้น อาหมวย พื้นชมพู หมวกแดง  L (กปก)</v>
          </cell>
        </row>
        <row r="4201">
          <cell r="A4201" t="str">
            <v>SN0570-M</v>
          </cell>
          <cell r="B4201" t="str">
            <v>JN570</v>
          </cell>
          <cell r="C4201" t="str">
            <v>ซาติน แขนสั้นขาสั้น อาหมวย พื้นชมพู หมวกแดง  M (กปก) ตัวโชว์</v>
          </cell>
        </row>
        <row r="4202">
          <cell r="A4202" t="str">
            <v>SN0571-L</v>
          </cell>
          <cell r="B4202" t="str">
            <v>N571</v>
          </cell>
          <cell r="C4202" t="str">
            <v>ซาติน แขนสั้นขาสั้น อาหมวย พื้นเขียว หมวกแดง  L (กปก)</v>
          </cell>
        </row>
        <row r="4203">
          <cell r="A4203" t="str">
            <v>SN0571-M</v>
          </cell>
          <cell r="B4203" t="str">
            <v>N571</v>
          </cell>
          <cell r="C4203" t="str">
            <v>ซาติน แขนสั้นขาสั้น อาหมวย พื้นเขียว หมวกแดง  M (กปก)</v>
          </cell>
        </row>
        <row r="4204">
          <cell r="A4204" t="str">
            <v>SN0572-L</v>
          </cell>
          <cell r="B4204" t="str">
            <v>JN572</v>
          </cell>
          <cell r="C4204" t="str">
            <v>ซาติน แขนสั้นขาสั้น ลายเสือ ชมพู ลูกไม้ L ตัวโชว์</v>
          </cell>
        </row>
        <row r="4205">
          <cell r="A4205" t="str">
            <v>SN0572-M</v>
          </cell>
          <cell r="B4205" t="str">
            <v>JN572</v>
          </cell>
          <cell r="C4205" t="str">
            <v>ซาติน แขนสั้นขาสั้น ลายเสือ ชมพู ลูกไม้ M ตัวโชว์</v>
          </cell>
        </row>
        <row r="4206">
          <cell r="A4206" t="str">
            <v>SN0572-S</v>
          </cell>
          <cell r="B4206" t="str">
            <v>JN572</v>
          </cell>
          <cell r="C4206" t="str">
            <v>ซาติน แขนสั้นขาสั้น ลายเสือ ชมพู ลูกไม้ S ตัวโชว์</v>
          </cell>
        </row>
        <row r="4207">
          <cell r="A4207" t="str">
            <v>SN0573-M</v>
          </cell>
          <cell r="B4207" t="str">
            <v>N573</v>
          </cell>
          <cell r="C4207" t="str">
            <v>ซาติน แขนสั้นขาสั้น ใบไม้เขียว ใหญ่ M</v>
          </cell>
        </row>
        <row r="4208">
          <cell r="A4208" t="str">
            <v>SN0573-S</v>
          </cell>
          <cell r="B4208" t="str">
            <v>N573</v>
          </cell>
          <cell r="C4208" t="str">
            <v>ซาติน แขนสั้นขาสั้น ใบไม้เขียว ใหญ่ S</v>
          </cell>
        </row>
        <row r="4209">
          <cell r="A4209" t="str">
            <v>SN0574-L</v>
          </cell>
          <cell r="B4209" t="str">
            <v>N574</v>
          </cell>
          <cell r="C4209" t="str">
            <v>ซาติน แขนสั้นขาสั้น เสือ พื้นฟ้าคราม L</v>
          </cell>
        </row>
        <row r="4210">
          <cell r="A4210" t="str">
            <v>SN0574-M</v>
          </cell>
          <cell r="B4210" t="str">
            <v>N574</v>
          </cell>
          <cell r="C4210" t="str">
            <v>ซาติน แขนสั้นขาสั้น เสือ พื้นฟ้าคราม M</v>
          </cell>
        </row>
        <row r="4211">
          <cell r="A4211" t="str">
            <v>SN0574-S</v>
          </cell>
          <cell r="B4211" t="str">
            <v>N574</v>
          </cell>
          <cell r="C4211" t="str">
            <v>ซาติน แขนสั้นขาสั้น เสือ พื้นฟ้าคราม S</v>
          </cell>
        </row>
        <row r="4212">
          <cell r="A4212" t="str">
            <v>SN0576-M</v>
          </cell>
          <cell r="B4212" t="str">
            <v>N576</v>
          </cell>
          <cell r="C4212" t="str">
            <v>ซาติน แขนสั้นขาสั้น เชอร์รี่ สัปปะรด พื้นดำ M</v>
          </cell>
        </row>
        <row r="4213">
          <cell r="A4213" t="str">
            <v>SN0576-S</v>
          </cell>
          <cell r="B4213" t="str">
            <v>JN576</v>
          </cell>
          <cell r="C4213" t="str">
            <v>ซาติน แขนสั้นขาสั้น เชอร์รี่ สัปปะรด พื้นดำ S ตัวโชว์</v>
          </cell>
        </row>
        <row r="4214">
          <cell r="A4214" t="str">
            <v>SN0577-M</v>
          </cell>
          <cell r="B4214" t="str">
            <v>N577</v>
          </cell>
          <cell r="C4214" t="str">
            <v>ซาติน แขนสั้นขาสั้น Lime พื้นฟ้าอ่อน M</v>
          </cell>
        </row>
        <row r="4215">
          <cell r="A4215" t="str">
            <v>SN0577-S</v>
          </cell>
          <cell r="B4215" t="str">
            <v>N577</v>
          </cell>
          <cell r="C4215" t="str">
            <v>ซาติน แขนสั้นขาสั้น Lime พื้นฟ้าอ่อน S</v>
          </cell>
        </row>
        <row r="4216">
          <cell r="A4216" t="str">
            <v>SN0578-L</v>
          </cell>
          <cell r="B4216" t="str">
            <v>N578</v>
          </cell>
          <cell r="C4216" t="str">
            <v>ซาติน แขนสั้นขาสั้น ชมพูดำเล็ก พื้นขาว Dreamy L</v>
          </cell>
        </row>
        <row r="4217">
          <cell r="A4217" t="str">
            <v>SN0578-M</v>
          </cell>
          <cell r="B4217" t="str">
            <v>N578</v>
          </cell>
          <cell r="C4217" t="str">
            <v>ซาติน แขนสั้นขาสั้น ชมพูดำเล็ก พื้นขาว Dreamy M</v>
          </cell>
        </row>
        <row r="4218">
          <cell r="A4218" t="str">
            <v>SN0578-S</v>
          </cell>
          <cell r="B4218" t="str">
            <v>JN578</v>
          </cell>
          <cell r="C4218" t="str">
            <v>ซาติน แขนสั้นขาสั้น ชมพูดำเล็ก พื้นขาว Dreamy S ตัวโชว์</v>
          </cell>
        </row>
        <row r="4219">
          <cell r="A4219" t="str">
            <v>SN0581-L</v>
          </cell>
          <cell r="B4219" t="str">
            <v>N581</v>
          </cell>
          <cell r="C4219" t="str">
            <v>ซาติน แขนสั้นขาสั้น โบว์ดำคู่ ขอบดำ พื้นครีม L</v>
          </cell>
        </row>
        <row r="4220">
          <cell r="A4220" t="str">
            <v>SN0581-M</v>
          </cell>
          <cell r="B4220" t="str">
            <v>N581</v>
          </cell>
          <cell r="C4220" t="str">
            <v>ซาติน แขนสั้นขาสั้น โบว์ดำคู่ ขอบดำ พื้นครีม M</v>
          </cell>
        </row>
        <row r="4221">
          <cell r="A4221" t="str">
            <v>SN0582-L</v>
          </cell>
          <cell r="B4221" t="str">
            <v>N582</v>
          </cell>
          <cell r="C4221" t="str">
            <v>ซาติน แขนสั้นขาสั้น โบว์ชมพูคู่ ขอบชมพู พื้นขาว L</v>
          </cell>
        </row>
        <row r="4222">
          <cell r="A4222" t="str">
            <v>SN0582-M</v>
          </cell>
          <cell r="B4222" t="str">
            <v>N582</v>
          </cell>
          <cell r="C4222" t="str">
            <v>ซาติน แขนสั้นขาสั้น โบว์ชมพูคู่ ขอบชมพู พื้นขาว M</v>
          </cell>
        </row>
        <row r="4223">
          <cell r="A4223" t="str">
            <v>SN0583-L</v>
          </cell>
          <cell r="B4223" t="str">
            <v>JN583</v>
          </cell>
          <cell r="C4223" t="str">
            <v>ซาติน แขนสั้นขาสั้น โบว์ขาวคู่ ขอบขาว พื้นดำ L ตัวโชว์</v>
          </cell>
        </row>
        <row r="4224">
          <cell r="A4224" t="str">
            <v>SN0583-M</v>
          </cell>
          <cell r="B4224" t="str">
            <v>JN583</v>
          </cell>
          <cell r="C4224" t="str">
            <v>ซาติน แขนสั้นขาสั้น โบว์ขาวคู่ ขอบขาว พื้นดำ M ตัวโชว์</v>
          </cell>
        </row>
        <row r="4225">
          <cell r="A4225" t="str">
            <v>SN0584-L</v>
          </cell>
          <cell r="B4225" t="str">
            <v>N584</v>
          </cell>
          <cell r="C4225" t="str">
            <v>ซาติน แขนสั้นขาสั้น โบว์ครีมคู่ ขอบครีม พื้นม่วง L</v>
          </cell>
        </row>
        <row r="4226">
          <cell r="A4226" t="str">
            <v>SN0584-M</v>
          </cell>
          <cell r="B4226" t="str">
            <v>N584</v>
          </cell>
          <cell r="C4226" t="str">
            <v>ซาติน แขนสั้นขาสั้น โบว์ครีมคู่ ขอบครีม พื้นม่วง M</v>
          </cell>
        </row>
        <row r="4227">
          <cell r="A4227" t="str">
            <v>SN0585-L</v>
          </cell>
          <cell r="B4227" t="str">
            <v>N585</v>
          </cell>
          <cell r="C4227" t="str">
            <v>ซาติน แขนสั้นขาสั้น คอบัวม่วง กระดุมมุก พื้นม่วง L (กปก)</v>
          </cell>
        </row>
        <row r="4228">
          <cell r="A4228" t="str">
            <v>SN0585-M</v>
          </cell>
          <cell r="B4228" t="str">
            <v>N585</v>
          </cell>
          <cell r="C4228" t="str">
            <v>ซาติน แขนสั้นขาสั้น คอบัวม่วง กระดุมมุก พื้นม่วง M (กปก)</v>
          </cell>
        </row>
        <row r="4229">
          <cell r="A4229" t="str">
            <v>SN0586-L</v>
          </cell>
          <cell r="B4229" t="str">
            <v>N586</v>
          </cell>
          <cell r="C4229" t="str">
            <v>ซาติน แขนสั้นขาสั้น คอบัวดำ กระดุมมุก พื้นดำ L (กปก)</v>
          </cell>
        </row>
        <row r="4230">
          <cell r="A4230" t="str">
            <v>SN0586-M</v>
          </cell>
          <cell r="B4230" t="str">
            <v>N586</v>
          </cell>
          <cell r="C4230" t="str">
            <v>ซาติน แขนสั้นขาสั้น คอบัวดำ กระดุมมุก พื้นดำ M (กปก)</v>
          </cell>
        </row>
        <row r="4231">
          <cell r="A4231" t="str">
            <v>SN0587-L</v>
          </cell>
          <cell r="B4231" t="str">
            <v>N587</v>
          </cell>
          <cell r="C4231" t="str">
            <v>ซาติน แขนสั้นขาสั้น คอบัวขาว กระดุมมุก พื้นขาว L (กปก)</v>
          </cell>
        </row>
        <row r="4232">
          <cell r="A4232" t="str">
            <v>SN0587-M</v>
          </cell>
          <cell r="B4232" t="str">
            <v>N587</v>
          </cell>
          <cell r="C4232" t="str">
            <v>ซาติน แขนสั้นขาสั้น คอบัวขาว กระดุมมุก พื้นขาว M (กปก)</v>
          </cell>
        </row>
        <row r="4233">
          <cell r="A4233" t="str">
            <v>SN0588-L</v>
          </cell>
          <cell r="B4233" t="str">
            <v>N588</v>
          </cell>
          <cell r="C4233" t="str">
            <v>ซาติน แขนสั้นขาสั้น คอบัวครีม กระดุมมุก พื้นครีม L (กปก)</v>
          </cell>
        </row>
        <row r="4234">
          <cell r="A4234" t="str">
            <v>SN0588-M</v>
          </cell>
          <cell r="B4234" t="str">
            <v>N588</v>
          </cell>
          <cell r="C4234" t="str">
            <v>ซาติน แขนสั้นขาสั้น คอบัวครีม กระดุมมุก พื้นครีม M (กปก)</v>
          </cell>
        </row>
        <row r="4235">
          <cell r="A4235" t="str">
            <v>SN0589-L</v>
          </cell>
          <cell r="B4235" t="str">
            <v>JN589</v>
          </cell>
          <cell r="C4235" t="str">
            <v>ซาติน แขนสั้นขาสั้น แพนด้าจิ๋ว พื้นชมพู L ตัวโชว์</v>
          </cell>
        </row>
        <row r="4236">
          <cell r="A4236" t="str">
            <v>SN0589-M</v>
          </cell>
          <cell r="B4236" t="str">
            <v>JN589</v>
          </cell>
          <cell r="C4236" t="str">
            <v>ซาติน แขนสั้นขาสั้น แพนด้าจิ๋ว พื้นชมพู M ตัวโชว์</v>
          </cell>
        </row>
        <row r="4237">
          <cell r="A4237" t="str">
            <v>SN0590-L</v>
          </cell>
          <cell r="B4237" t="str">
            <v>N590</v>
          </cell>
          <cell r="C4237" t="str">
            <v>ซาติน แขนสั้นขาสั้น แพนด้าจิ๋ว พื้นขาว L</v>
          </cell>
        </row>
        <row r="4238">
          <cell r="A4238" t="str">
            <v>SN0590-M</v>
          </cell>
          <cell r="B4238" t="str">
            <v>N590</v>
          </cell>
          <cell r="C4238" t="str">
            <v>ซาติน แขนสั้นขาสั้น แพนด้าจิ๋ว พื้นขาว M</v>
          </cell>
        </row>
        <row r="4239">
          <cell r="A4239" t="str">
            <v>SN0591-L</v>
          </cell>
          <cell r="B4239" t="str">
            <v>JN591</v>
          </cell>
          <cell r="C4239" t="str">
            <v>ซาติน แขนสั้นขาสั้น กระเป๋าแพนด้า Hello พื้นขาว L ตัวโชว์</v>
          </cell>
        </row>
        <row r="4240">
          <cell r="A4240" t="str">
            <v>SN0591-M</v>
          </cell>
          <cell r="B4240" t="str">
            <v>JN591</v>
          </cell>
          <cell r="C4240" t="str">
            <v>ซาติน แขนสั้นขาสั้น กระเป๋าแพนด้า Hello พื้นขาว M ตัวโชว์</v>
          </cell>
        </row>
        <row r="4241">
          <cell r="A4241" t="str">
            <v>SN0592-L</v>
          </cell>
          <cell r="B4241" t="str">
            <v>JN592</v>
          </cell>
          <cell r="C4241" t="str">
            <v>ซาติน แขนสั้นขาสั้น กระเป๋าแพนด้า Hello พื้นชมพู L ตัวโชว์</v>
          </cell>
        </row>
        <row r="4242">
          <cell r="A4242" t="str">
            <v>SN0592-M</v>
          </cell>
          <cell r="B4242" t="str">
            <v>N592</v>
          </cell>
          <cell r="C4242" t="str">
            <v>ซาติน แขนสั้นขาสั้น กระเป๋าแพนด้า Hello พื้นชมพู M</v>
          </cell>
        </row>
        <row r="4243">
          <cell r="A4243" t="str">
            <v>SN0593-L</v>
          </cell>
          <cell r="B4243" t="str">
            <v>N593</v>
          </cell>
          <cell r="C4243" t="str">
            <v>ซาติน แขนสั้นขาสั้น เหมียว Star Tropical L</v>
          </cell>
        </row>
        <row r="4244">
          <cell r="A4244" t="str">
            <v>SN0593-M</v>
          </cell>
          <cell r="B4244" t="str">
            <v>N593</v>
          </cell>
          <cell r="C4244" t="str">
            <v>ซาติน แขนสั้นขาสั้น เหมียว Star Tropical M</v>
          </cell>
        </row>
        <row r="4245">
          <cell r="A4245" t="str">
            <v>SN0604-2XL</v>
          </cell>
          <cell r="B4245" t="str">
            <v>JN604</v>
          </cell>
          <cell r="C4245" t="str">
            <v>ซาติน แขนสั้นขาสั้น Pink Rose 2XL ตัวโชว์</v>
          </cell>
        </row>
        <row r="4246">
          <cell r="A4246" t="str">
            <v>SN0604-L</v>
          </cell>
          <cell r="B4246" t="str">
            <v>JN604</v>
          </cell>
          <cell r="C4246" t="str">
            <v>ซาติน แขนสั้นขาสั้น Pink Rose L ตัวโชว์</v>
          </cell>
        </row>
        <row r="4247">
          <cell r="A4247" t="str">
            <v>SN0604-M</v>
          </cell>
          <cell r="B4247" t="str">
            <v>JN604</v>
          </cell>
          <cell r="C4247" t="str">
            <v>ซาติน แขนสั้นขาสั้น Pink Rose M ตัวโชว์</v>
          </cell>
        </row>
        <row r="4248">
          <cell r="A4248" t="str">
            <v>SN0604-XL</v>
          </cell>
          <cell r="B4248" t="str">
            <v>JN604</v>
          </cell>
          <cell r="C4248" t="str">
            <v>ซาติน แขนสั้นขาสั้น Pink Rose XL ตัวโชว์</v>
          </cell>
        </row>
        <row r="4249">
          <cell r="A4249" t="str">
            <v>SN0605-2XL</v>
          </cell>
          <cell r="B4249" t="str">
            <v>N605</v>
          </cell>
          <cell r="C4249" t="str">
            <v>ซาติน แขนสั้นขาสั้น ดอกลิลลี่ พื้นฟ้า 2XL</v>
          </cell>
        </row>
        <row r="4250">
          <cell r="A4250" t="str">
            <v>SN0605-L</v>
          </cell>
          <cell r="B4250" t="str">
            <v>N605</v>
          </cell>
          <cell r="C4250" t="str">
            <v>ซาติน แขนสั้นขาสั้น ดอกลิลลี่ พื้นฟ้า L</v>
          </cell>
        </row>
        <row r="4251">
          <cell r="A4251" t="str">
            <v>SN0605-M</v>
          </cell>
          <cell r="B4251" t="str">
            <v>N605</v>
          </cell>
          <cell r="C4251" t="str">
            <v>ซาติน แขนสั้นขาสั้น ดอกลิลลี่ พื้นฟ้า M</v>
          </cell>
        </row>
        <row r="4252">
          <cell r="A4252" t="str">
            <v>SN0605-XL</v>
          </cell>
          <cell r="B4252" t="str">
            <v>N605</v>
          </cell>
          <cell r="C4252" t="str">
            <v>ซาติน แขนสั้นขาสั้น ดอกลิลลี่ พื้นฟ้า XL</v>
          </cell>
        </row>
        <row r="4253">
          <cell r="A4253" t="str">
            <v>SN0606-2XL</v>
          </cell>
          <cell r="B4253" t="str">
            <v>N606</v>
          </cell>
          <cell r="C4253" t="str">
            <v>ซาติน แขนสั้นขาสั้น มอนสเตอร่า พื้นเขียวมินท์ 2XL</v>
          </cell>
        </row>
        <row r="4254">
          <cell r="A4254" t="str">
            <v>SN0606-L</v>
          </cell>
          <cell r="B4254" t="str">
            <v>N606</v>
          </cell>
          <cell r="C4254" t="str">
            <v>ซาติน แขนสั้นขาสั้น มอนสเตอร่า พื้นเขียวมินท์ L</v>
          </cell>
        </row>
        <row r="4255">
          <cell r="A4255" t="str">
            <v>SN0606-M</v>
          </cell>
          <cell r="B4255" t="str">
            <v>N606</v>
          </cell>
          <cell r="C4255" t="str">
            <v>ซาติน แขนสั้นขาสั้น มอนสเตอร่า พื้นเขียวมินท์ M</v>
          </cell>
        </row>
        <row r="4256">
          <cell r="A4256" t="str">
            <v>SN0606-XL</v>
          </cell>
          <cell r="B4256" t="str">
            <v>N606</v>
          </cell>
          <cell r="C4256" t="str">
            <v>ซาติน แขนสั้นขาสั้น มอนสเตอร่า พื้นเขียวมินท์ XL</v>
          </cell>
        </row>
        <row r="4257">
          <cell r="A4257" t="str">
            <v>SN0609-F</v>
          </cell>
          <cell r="B4257" t="str">
            <v>N609</v>
          </cell>
          <cell r="C4257" t="str">
            <v>ซาติน แขนสั้นขาสั้น ตาราง ฟ้าครีม ดอกไม้ F</v>
          </cell>
        </row>
        <row r="4258">
          <cell r="A4258" t="str">
            <v>SN0613-F</v>
          </cell>
          <cell r="B4258" t="str">
            <v>JN613</v>
          </cell>
          <cell r="C4258" t="str">
            <v>ซิลค์แจ็คการ์ด แขนสั้นขาสั้น ตารางเขียว พื้นครีม ขอบม่วง พาสเทล F ตัวโชว์</v>
          </cell>
        </row>
        <row r="4259">
          <cell r="A4259" t="str">
            <v>SN0616-F</v>
          </cell>
          <cell r="B4259" t="str">
            <v>N616</v>
          </cell>
          <cell r="C4259" t="str">
            <v>ซาติน แขนสั้นขาสั้น ลายพราง น้ำเงิน F</v>
          </cell>
        </row>
        <row r="4260">
          <cell r="A4260" t="str">
            <v>SN0632-L</v>
          </cell>
          <cell r="B4260" t="str">
            <v>JN632</v>
          </cell>
          <cell r="C4260" t="str">
            <v>ซาติน แขนสั้นขาสั้น คอวี พื้นครีม ขอบดำ L ตัวโชว์</v>
          </cell>
        </row>
        <row r="4261">
          <cell r="A4261" t="str">
            <v>SN0632-M</v>
          </cell>
          <cell r="B4261" t="str">
            <v>JN632</v>
          </cell>
          <cell r="C4261" t="str">
            <v>ซาติน แขนสั้นขาสั้น คอวี พื้นครีม ขอบดำ M ตัวโชว์</v>
          </cell>
        </row>
        <row r="4262">
          <cell r="A4262" t="str">
            <v>SN0633-L</v>
          </cell>
          <cell r="B4262" t="str">
            <v>N633</v>
          </cell>
          <cell r="C4262" t="str">
            <v>ซาติน แขนสั้นขาสั้น คอวี พื้นฟ้า ขอบชมพู L</v>
          </cell>
        </row>
        <row r="4263">
          <cell r="A4263" t="str">
            <v>SN0633-M</v>
          </cell>
          <cell r="B4263" t="str">
            <v>N633</v>
          </cell>
          <cell r="C4263" t="str">
            <v>ซาติน แขนสั้นขาสั้น คอวี พื้นฟ้า ขอบชมพู M</v>
          </cell>
        </row>
        <row r="4264">
          <cell r="A4264" t="str">
            <v>SN0634-L</v>
          </cell>
          <cell r="B4264" t="str">
            <v>N634</v>
          </cell>
          <cell r="C4264" t="str">
            <v>ซาติน แขนสั้นขาสั้น แพนด้า กระเป๋าชมพู  L (กปก)</v>
          </cell>
        </row>
        <row r="4265">
          <cell r="A4265" t="str">
            <v>SN0634-M</v>
          </cell>
          <cell r="B4265" t="str">
            <v>N634</v>
          </cell>
          <cell r="C4265" t="str">
            <v>ซาติน แขนสั้นขาสั้น แพนด้า กระเป๋าชมพู  M (กปก)</v>
          </cell>
        </row>
        <row r="4266">
          <cell r="A4266" t="str">
            <v>SN0635-L</v>
          </cell>
          <cell r="B4266" t="str">
            <v>N635</v>
          </cell>
          <cell r="C4266" t="str">
            <v>ซาติน แขนสั้นขาสั้น แพนด้า กระเป๋าม่วง  L (กปก)</v>
          </cell>
        </row>
        <row r="4267">
          <cell r="A4267" t="str">
            <v>SN0635-M</v>
          </cell>
          <cell r="B4267" t="str">
            <v>N635</v>
          </cell>
          <cell r="C4267" t="str">
            <v>ซาติน แขนสั้นขาสั้น แพนด้า กระเป๋าม่วง  M (กปก)</v>
          </cell>
        </row>
        <row r="4268">
          <cell r="A4268" t="str">
            <v>SN0636-M</v>
          </cell>
          <cell r="B4268" t="str">
            <v>N636</v>
          </cell>
          <cell r="C4268" t="str">
            <v>ซาติน แขนสั้นขาสั้น เขียว ลายทาง ลายเซ็นต์ M</v>
          </cell>
        </row>
        <row r="4269">
          <cell r="A4269" t="str">
            <v>SN0636-S</v>
          </cell>
          <cell r="B4269" t="str">
            <v>ป10</v>
          </cell>
          <cell r="C4269" t="str">
            <v>ซาติน แขนสั้นขาสั้น เขียว ลายทาง ลายเซ็นต์ S</v>
          </cell>
        </row>
        <row r="4270">
          <cell r="A4270" t="str">
            <v>SN0637-M</v>
          </cell>
          <cell r="B4270" t="str">
            <v>N637</v>
          </cell>
          <cell r="C4270" t="str">
            <v>ซาติน แขนสั้นขาสั้น กระป๋องคูล พื้นชมพู ปกเขียว M</v>
          </cell>
        </row>
        <row r="4271">
          <cell r="A4271" t="str">
            <v>SN0637-S</v>
          </cell>
          <cell r="B4271" t="str">
            <v>N637</v>
          </cell>
          <cell r="C4271" t="str">
            <v>ซาติน แขนสั้นขาสั้น กระป๋องคูล พื้นชมพู ปกเขียว S</v>
          </cell>
        </row>
        <row r="4272">
          <cell r="A4272" t="str">
            <v>SN0638-L</v>
          </cell>
          <cell r="B4272" t="str">
            <v>N638</v>
          </cell>
          <cell r="C4272" t="str">
            <v>ซาติน แขนสั้นขาสั้น เรนโบว์ L</v>
          </cell>
        </row>
        <row r="4273">
          <cell r="A4273" t="str">
            <v>SN0638-M</v>
          </cell>
          <cell r="B4273" t="str">
            <v>N638</v>
          </cell>
          <cell r="C4273" t="str">
            <v>ซาติน แขนสั้นขาสั้น เรนโบว์ M</v>
          </cell>
        </row>
        <row r="4274">
          <cell r="A4274" t="str">
            <v>SN0639-L</v>
          </cell>
          <cell r="B4274" t="str">
            <v>N639</v>
          </cell>
          <cell r="C4274" t="str">
            <v>ซาติน แขนสั้นขาสั้น ทูโทนฮาร์ท พื้นขาว L</v>
          </cell>
        </row>
        <row r="4275">
          <cell r="A4275" t="str">
            <v>SN0639-M</v>
          </cell>
          <cell r="B4275" t="str">
            <v>N639</v>
          </cell>
          <cell r="C4275" t="str">
            <v>ซาติน แขนสั้นขาสั้น ทูโทนฮาร์ท พื้นขาว M</v>
          </cell>
        </row>
        <row r="4276">
          <cell r="A4276" t="str">
            <v>SN0640-L</v>
          </cell>
          <cell r="B4276" t="str">
            <v>N640</v>
          </cell>
          <cell r="C4276" t="str">
            <v>ซาติน แขนสั้นขาสั้น ทูโทนฮาร์ท พื้นชมพู L</v>
          </cell>
        </row>
        <row r="4277">
          <cell r="A4277" t="str">
            <v>SN0640-M</v>
          </cell>
          <cell r="B4277" t="str">
            <v>N640</v>
          </cell>
          <cell r="C4277" t="str">
            <v>ซาติน แขนสั้นขาสั้น ทูโทนฮาร์ท พื้นชมพู M</v>
          </cell>
        </row>
        <row r="4278">
          <cell r="A4278" t="str">
            <v>SN0641-L</v>
          </cell>
          <cell r="B4278" t="str">
            <v>N641</v>
          </cell>
          <cell r="C4278" t="str">
            <v>ซาติน แขนสั้นขาสั้น Miss You Cat พื้นชมพู L</v>
          </cell>
        </row>
        <row r="4279">
          <cell r="A4279" t="str">
            <v>SN0641-M</v>
          </cell>
          <cell r="B4279" t="str">
            <v>N641</v>
          </cell>
          <cell r="C4279" t="str">
            <v>ซาติน แขนสั้นขาสั้น Miss You Cat พื้นชมพู M</v>
          </cell>
        </row>
        <row r="4280">
          <cell r="A4280" t="str">
            <v>SN0642-L</v>
          </cell>
          <cell r="B4280" t="str">
            <v>N642</v>
          </cell>
          <cell r="C4280" t="str">
            <v>ซาติน แขนสั้นขาสั้น Miss You Cat พื้นม่วง L</v>
          </cell>
        </row>
        <row r="4281">
          <cell r="A4281" t="str">
            <v>SN0642-M</v>
          </cell>
          <cell r="B4281" t="str">
            <v>N642</v>
          </cell>
          <cell r="C4281" t="str">
            <v>ซาติน แขนสั้นขาสั้น Miss You Cat พื้นม่วง M</v>
          </cell>
        </row>
        <row r="4282">
          <cell r="A4282" t="str">
            <v>SN0643-L</v>
          </cell>
          <cell r="B4282" t="str">
            <v>JN643</v>
          </cell>
          <cell r="C4282" t="str">
            <v>ซาติน แขนสั้นขาสั้น Lacy Cat พื้นชมพู L ตัวโชว์</v>
          </cell>
        </row>
        <row r="4283">
          <cell r="A4283" t="str">
            <v>SN0643-M</v>
          </cell>
          <cell r="B4283" t="str">
            <v>JN643</v>
          </cell>
          <cell r="C4283" t="str">
            <v>ซาติน แขนสั้นขาสั้น Lacy Cat พื้นชมพู M ตัวโชว์</v>
          </cell>
        </row>
        <row r="4284">
          <cell r="A4284" t="str">
            <v>SN0644-L</v>
          </cell>
          <cell r="B4284" t="str">
            <v>N644</v>
          </cell>
          <cell r="C4284" t="str">
            <v>ซาติน แขนสั้นขาสั้น Lacy Cat พื้นม่วง L</v>
          </cell>
        </row>
        <row r="4285">
          <cell r="A4285" t="str">
            <v>SN0644-M</v>
          </cell>
          <cell r="B4285" t="str">
            <v>N644</v>
          </cell>
          <cell r="C4285" t="str">
            <v>ซาติน แขนสั้นขาสั้น Lacy Cat พื้นม่วง M</v>
          </cell>
        </row>
        <row r="4286">
          <cell r="A4286" t="str">
            <v>SN0647-L</v>
          </cell>
          <cell r="B4286" t="str">
            <v>N647</v>
          </cell>
          <cell r="C4286" t="str">
            <v>ซาติน แขนสั้นขาสั้น Happy Time Cat ม่วง L</v>
          </cell>
        </row>
        <row r="4287">
          <cell r="A4287" t="str">
            <v>SN0647-M</v>
          </cell>
          <cell r="B4287" t="str">
            <v>N647</v>
          </cell>
          <cell r="C4287" t="str">
            <v>ซาติน แขนสั้นขาสั้น Happy Time Cat ม่วง M</v>
          </cell>
        </row>
        <row r="4288">
          <cell r="A4288" t="str">
            <v>SN0647-S</v>
          </cell>
          <cell r="B4288" t="str">
            <v>N647</v>
          </cell>
          <cell r="C4288" t="str">
            <v>ซาติน แขนสั้นขาสั้น Happy Time Cat ม่วง S</v>
          </cell>
        </row>
        <row r="4289">
          <cell r="A4289" t="str">
            <v>SN0648-L</v>
          </cell>
          <cell r="B4289" t="str">
            <v>N648</v>
          </cell>
          <cell r="C4289" t="str">
            <v>ซาติน แขนสั้นขาสั้น Happy Time Cat ชมพู L</v>
          </cell>
        </row>
        <row r="4290">
          <cell r="A4290" t="str">
            <v>SN0648-M</v>
          </cell>
          <cell r="B4290" t="str">
            <v>N648</v>
          </cell>
          <cell r="C4290" t="str">
            <v>ซาติน แขนสั้นขาสั้น Happy Time Cat ชมพู M (กปก)</v>
          </cell>
        </row>
        <row r="4291">
          <cell r="A4291" t="str">
            <v>SN0648-S</v>
          </cell>
          <cell r="B4291" t="str">
            <v>JN648</v>
          </cell>
          <cell r="C4291" t="str">
            <v>ซาติน แขนสั้นขาสั้น Happy Time Cat ชมพู S (กปก) ตัวโชว์</v>
          </cell>
        </row>
        <row r="4292">
          <cell r="A4292" t="str">
            <v>SN0649-L</v>
          </cell>
          <cell r="B4292" t="str">
            <v>N649</v>
          </cell>
          <cell r="C4292" t="str">
            <v>ซาติน แขนสั้นขาสั้น น้องเหมียว ชมพู ระบาย L</v>
          </cell>
        </row>
        <row r="4293">
          <cell r="A4293" t="str">
            <v>SN0649-M</v>
          </cell>
          <cell r="B4293" t="str">
            <v>N649</v>
          </cell>
          <cell r="C4293" t="str">
            <v>ซาติน แขนสั้นขาสั้น น้องเหมียว ชมพู ระบาย M</v>
          </cell>
        </row>
        <row r="4294">
          <cell r="A4294" t="str">
            <v>SN0649-S</v>
          </cell>
          <cell r="B4294" t="str">
            <v>N649</v>
          </cell>
          <cell r="C4294" t="str">
            <v>ซาติน แขนสั้นขาสั้น น้องเหมียว ชมพู ระบาย S</v>
          </cell>
        </row>
        <row r="4295">
          <cell r="A4295" t="str">
            <v>SN0650-L</v>
          </cell>
          <cell r="B4295" t="str">
            <v>N650</v>
          </cell>
          <cell r="C4295" t="str">
            <v>ซาติน แขนสั้นขาสั้น น้องเหมียว ฟ้าเขียว ระบาย L</v>
          </cell>
        </row>
        <row r="4296">
          <cell r="A4296" t="str">
            <v>SN0650-M</v>
          </cell>
          <cell r="B4296" t="str">
            <v>N650</v>
          </cell>
          <cell r="C4296" t="str">
            <v>ซาติน แขนสั้นขาสั้น น้องเหมียว ฟ้าเขียว ระบาย M</v>
          </cell>
        </row>
        <row r="4297">
          <cell r="A4297" t="str">
            <v>SN0650-S</v>
          </cell>
          <cell r="B4297" t="str">
            <v>N650</v>
          </cell>
          <cell r="C4297" t="str">
            <v>ซาติน แขนสั้นขาสั้น น้องเหมียว ฟ้าเขียว ระบาย S</v>
          </cell>
        </row>
        <row r="4298">
          <cell r="A4298" t="str">
            <v>SN0651-M</v>
          </cell>
          <cell r="B4298" t="str">
            <v>N651</v>
          </cell>
          <cell r="C4298" t="str">
            <v>ซาติน แขนสั้นขาสั้น พื้นเขียว กระเป๋าเสือดาวขาว M</v>
          </cell>
        </row>
        <row r="4299">
          <cell r="A4299" t="str">
            <v>SN0652-L</v>
          </cell>
          <cell r="B4299" t="str">
            <v>N652</v>
          </cell>
          <cell r="C4299" t="str">
            <v>ซาติน แขนสั้นขาสั้น ชิโนริเขียว กระเป๋าหมา L</v>
          </cell>
        </row>
        <row r="4300">
          <cell r="A4300" t="str">
            <v>SN0652-M</v>
          </cell>
          <cell r="B4300" t="str">
            <v>JN652</v>
          </cell>
          <cell r="C4300" t="str">
            <v>ซาติน แขนสั้นขาสั้น ชิโนริเขียว กระเป๋าหมา M ตัวโชว์</v>
          </cell>
        </row>
        <row r="4301">
          <cell r="A4301" t="str">
            <v>SN0661-L</v>
          </cell>
          <cell r="B4301" t="str">
            <v>N661</v>
          </cell>
          <cell r="C4301" t="str">
            <v>ซาติน แขนสั้นขาสั้น ชิโนริ ชมพู L</v>
          </cell>
        </row>
        <row r="4302">
          <cell r="A4302" t="str">
            <v>SN0661-M</v>
          </cell>
          <cell r="B4302" t="str">
            <v>N661</v>
          </cell>
          <cell r="C4302" t="str">
            <v>ซาติน แขนสั้นขาสั้น ชิโนริ ชมพู M</v>
          </cell>
        </row>
        <row r="4303">
          <cell r="A4303" t="str">
            <v>SN0661-S</v>
          </cell>
          <cell r="B4303" t="str">
            <v>N661</v>
          </cell>
          <cell r="C4303" t="str">
            <v>ซาติน แขนสั้นขาสั้น ชิโนริ ชมพู S</v>
          </cell>
        </row>
        <row r="4304">
          <cell r="A4304" t="str">
            <v>SN0662-L</v>
          </cell>
          <cell r="B4304" t="str">
            <v>N662</v>
          </cell>
          <cell r="C4304" t="str">
            <v>ซาติน แขนสั้นขาสั้น ชิโนริ ดำ L</v>
          </cell>
        </row>
        <row r="4305">
          <cell r="A4305" t="str">
            <v>SN0662-M</v>
          </cell>
          <cell r="B4305" t="str">
            <v>N662</v>
          </cell>
          <cell r="C4305" t="str">
            <v>ซาติน แขนสั้นขาสั้น ชิโนริ ดำ M</v>
          </cell>
        </row>
        <row r="4306">
          <cell r="A4306" t="str">
            <v>SN0662-S</v>
          </cell>
          <cell r="B4306" t="str">
            <v>N662</v>
          </cell>
          <cell r="C4306" t="str">
            <v>ซาติน แขนสั้นขาสั้น ชิโนริ ดำ S</v>
          </cell>
        </row>
        <row r="4307">
          <cell r="A4307" t="str">
            <v>SN0663-2XL</v>
          </cell>
          <cell r="B4307" t="str">
            <v>N663</v>
          </cell>
          <cell r="C4307" t="str">
            <v>ซาติน แขนสั้นขาสั้น Black Rose 2XL</v>
          </cell>
        </row>
        <row r="4308">
          <cell r="A4308" t="str">
            <v>SN0663-L</v>
          </cell>
          <cell r="B4308" t="str">
            <v>N663</v>
          </cell>
          <cell r="C4308" t="str">
            <v>ซาติน แขนสั้นขาสั้น Black Rose L</v>
          </cell>
        </row>
        <row r="4309">
          <cell r="A4309" t="str">
            <v>SN0663-M</v>
          </cell>
          <cell r="B4309" t="str">
            <v>N663</v>
          </cell>
          <cell r="C4309" t="str">
            <v>ซาติน แขนสั้นขาสั้น Black Rose M</v>
          </cell>
        </row>
        <row r="4310">
          <cell r="A4310" t="str">
            <v>SN0663-XL</v>
          </cell>
          <cell r="B4310" t="str">
            <v>N663</v>
          </cell>
          <cell r="C4310" t="str">
            <v>ซาติน แขนสั้นขาสั้น Black Rose XL</v>
          </cell>
        </row>
        <row r="4311">
          <cell r="A4311" t="str">
            <v>SN0665-L</v>
          </cell>
          <cell r="B4311" t="str">
            <v>N665</v>
          </cell>
          <cell r="C4311" t="str">
            <v>ซาติน แขนสั้นขาสั้น เสือเขียว พื้นครีม L</v>
          </cell>
        </row>
        <row r="4312">
          <cell r="A4312" t="str">
            <v>SN0665-M</v>
          </cell>
          <cell r="B4312" t="str">
            <v>N665</v>
          </cell>
          <cell r="C4312" t="str">
            <v>ซาติน แขนสั้นขาสั้น เสือเขียว พื้นครีม M</v>
          </cell>
        </row>
        <row r="4313">
          <cell r="A4313" t="str">
            <v>SN0665-S</v>
          </cell>
          <cell r="B4313" t="str">
            <v>N665</v>
          </cell>
          <cell r="C4313" t="str">
            <v>ซาติน แขนสั้นขาสั้น เสือเขียว พื้นครีม S</v>
          </cell>
        </row>
        <row r="4314">
          <cell r="A4314" t="str">
            <v>SN0667-2XL</v>
          </cell>
          <cell r="B4314" t="str">
            <v>JN667</v>
          </cell>
          <cell r="C4314" t="str">
            <v>ซาติน แขนสั้นขาสั้น art พื้นส้ม 2XL ตัวโชว์</v>
          </cell>
        </row>
        <row r="4315">
          <cell r="A4315" t="str">
            <v>SN0667-L</v>
          </cell>
          <cell r="B4315" t="str">
            <v>JN667</v>
          </cell>
          <cell r="C4315" t="str">
            <v>ซาติน แขนสั้นขาสั้น art พื้นส้ม L ตัวโชว์</v>
          </cell>
        </row>
        <row r="4316">
          <cell r="A4316" t="str">
            <v>SN0667-M</v>
          </cell>
          <cell r="B4316" t="str">
            <v>JN667</v>
          </cell>
          <cell r="C4316" t="str">
            <v>ซาติน แขนสั้นขาสั้น art พื้นส้ม M ตัวโชว์</v>
          </cell>
        </row>
        <row r="4317">
          <cell r="A4317" t="str">
            <v>SN0667-XL</v>
          </cell>
          <cell r="B4317" t="str">
            <v>JN667</v>
          </cell>
          <cell r="C4317" t="str">
            <v>ซาติน แขนสั้นขาสั้น art พื้นส้ม XL ตัวโชว์</v>
          </cell>
        </row>
        <row r="4318">
          <cell r="A4318" t="str">
            <v>SN0668-2XL</v>
          </cell>
          <cell r="B4318" t="str">
            <v>N668</v>
          </cell>
          <cell r="C4318" t="str">
            <v>ซาติน แขนสั้นขาสั้นดอกลีลาวดี พื้นเขียว ปกเขียว 2XL</v>
          </cell>
        </row>
        <row r="4319">
          <cell r="A4319" t="str">
            <v>SN0668-L</v>
          </cell>
          <cell r="B4319" t="str">
            <v>N668</v>
          </cell>
          <cell r="C4319" t="str">
            <v>ซาติน แขนสั้นขาสั้นดอกลีลาวดี พื้นเขียว ปกเขียว L</v>
          </cell>
        </row>
        <row r="4320">
          <cell r="A4320" t="str">
            <v>SN0668-M</v>
          </cell>
          <cell r="B4320" t="str">
            <v>N668</v>
          </cell>
          <cell r="C4320" t="str">
            <v>ซาติน แขนสั้นขาสั้นดอกลีลาวดี พื้นเขียว ปกเขียว M</v>
          </cell>
        </row>
        <row r="4321">
          <cell r="A4321" t="str">
            <v>SN0668-XL</v>
          </cell>
          <cell r="B4321" t="str">
            <v>N668</v>
          </cell>
          <cell r="C4321" t="str">
            <v>ซาติน แขนสั้นขาสั้นดอกลีลาวดี พื้นเขียว ปกเขียว XL</v>
          </cell>
        </row>
        <row r="4322">
          <cell r="A4322" t="str">
            <v>SN0669-F</v>
          </cell>
          <cell r="B4322" t="str">
            <v>N669</v>
          </cell>
          <cell r="C4322" t="str">
            <v>ซิลค์แจ็คการ์ด แขนสั้นขาสั้น ดอกทานตะวัน ม่วง F</v>
          </cell>
        </row>
        <row r="4323">
          <cell r="A4323" t="str">
            <v>SN0674-L</v>
          </cell>
          <cell r="B4323" t="str">
            <v>N674</v>
          </cell>
          <cell r="C4323" t="str">
            <v>ซาติน แขนสั้นขาสั้น ดอกไม้ แดงน้ำเงิน พื้นครีม L (กปก)</v>
          </cell>
        </row>
        <row r="4324">
          <cell r="A4324" t="str">
            <v>SN0674-M</v>
          </cell>
          <cell r="B4324" t="str">
            <v>N674</v>
          </cell>
          <cell r="C4324" t="str">
            <v>ซาติน แขนสั้นขาสั้น ดอกไม้ แดงน้ำเงิน พื้นครีม M (กปก)</v>
          </cell>
        </row>
        <row r="4325">
          <cell r="A4325" t="str">
            <v>SN0674-XL</v>
          </cell>
          <cell r="B4325" t="str">
            <v>N674</v>
          </cell>
          <cell r="C4325" t="str">
            <v>ซาติน แขนสั้นขาสั้น ดอกไม้ แดงน้ำเงิน พื้นครีม XL (กปก)</v>
          </cell>
        </row>
        <row r="4326">
          <cell r="A4326" t="str">
            <v>SN0675-L</v>
          </cell>
          <cell r="B4326" t="str">
            <v>N675</v>
          </cell>
          <cell r="C4326" t="str">
            <v>ซาติน แขนสั้นขาสั้น Blue Sky L</v>
          </cell>
        </row>
        <row r="4327">
          <cell r="A4327" t="str">
            <v>SN0675-M</v>
          </cell>
          <cell r="B4327" t="str">
            <v>N675</v>
          </cell>
          <cell r="C4327" t="str">
            <v>ซาติน แขนสั้นขาสั้น Blue Sky M</v>
          </cell>
        </row>
        <row r="4328">
          <cell r="A4328" t="str">
            <v>SN0675-XL</v>
          </cell>
          <cell r="B4328" t="str">
            <v>N675</v>
          </cell>
          <cell r="C4328" t="str">
            <v>ซาติน แขนสั้นขาสั้น Blue Sky XL</v>
          </cell>
        </row>
        <row r="4329">
          <cell r="A4329" t="str">
            <v>SN0676-L</v>
          </cell>
          <cell r="B4329" t="str">
            <v>N676</v>
          </cell>
          <cell r="C4329" t="str">
            <v>ซาติน แขนสั้นขาสั้น Pink Sky L (กปก)</v>
          </cell>
        </row>
        <row r="4330">
          <cell r="A4330" t="str">
            <v>SN0676-M</v>
          </cell>
          <cell r="B4330" t="str">
            <v>N676</v>
          </cell>
          <cell r="C4330" t="str">
            <v>ซาติน แขนสั้นขาสั้น Pink Sky M (กปก)</v>
          </cell>
        </row>
        <row r="4331">
          <cell r="A4331" t="str">
            <v>SN0676-XL</v>
          </cell>
          <cell r="B4331" t="str">
            <v>N676</v>
          </cell>
          <cell r="C4331" t="str">
            <v>ซาติน แขนสั้นขาสั้น Pink Sky XL</v>
          </cell>
        </row>
        <row r="4332">
          <cell r="A4332" t="str">
            <v>SN0677-L</v>
          </cell>
          <cell r="B4332" t="str">
            <v>N677</v>
          </cell>
          <cell r="C4332" t="str">
            <v>ซาติน แขนสั้นขาสั้น Golden Leaf พื้นกรม L</v>
          </cell>
        </row>
        <row r="4333">
          <cell r="A4333" t="str">
            <v>SN0677-M</v>
          </cell>
          <cell r="B4333" t="str">
            <v>N677</v>
          </cell>
          <cell r="C4333" t="str">
            <v>ซาติน แขนสั้นขาสั้น Golden Leaf พื้นกรม M</v>
          </cell>
        </row>
        <row r="4334">
          <cell r="A4334" t="str">
            <v>SN0677-XL</v>
          </cell>
          <cell r="B4334" t="str">
            <v>N677</v>
          </cell>
          <cell r="C4334" t="str">
            <v>ซาติน แขนสั้นขาสั้น Golden Leaf พื้นกรม XL</v>
          </cell>
        </row>
        <row r="4335">
          <cell r="A4335" t="str">
            <v>SN0678-L</v>
          </cell>
          <cell r="B4335" t="str">
            <v>N678</v>
          </cell>
          <cell r="C4335" t="str">
            <v>ซาติน แขนสั้นขาสั้น ดอกไม้น้ำตาล พื้นฟ้า คอวี L</v>
          </cell>
        </row>
        <row r="4336">
          <cell r="A4336" t="str">
            <v>SN0678-M</v>
          </cell>
          <cell r="B4336" t="str">
            <v>N678</v>
          </cell>
          <cell r="C4336" t="str">
            <v>ซาติน แขนสั้นขาสั้น ดอกไม้น้ำตาล พื้นฟ้า คอวี M</v>
          </cell>
        </row>
        <row r="4337">
          <cell r="A4337" t="str">
            <v>SN0678-XL</v>
          </cell>
          <cell r="B4337" t="str">
            <v>N678</v>
          </cell>
          <cell r="C4337" t="str">
            <v>ซาติน แขนสั้นขาสั้น ดอกไม้น้ำตาล พื้นฟ้า คอวี XL</v>
          </cell>
        </row>
        <row r="4338">
          <cell r="A4338" t="str">
            <v>SN0679-L</v>
          </cell>
          <cell r="B4338" t="str">
            <v>N679</v>
          </cell>
          <cell r="C4338" t="str">
            <v>ซาติน แขนสั้นขาสั้น กุหลาบ พื้นครีม L</v>
          </cell>
        </row>
        <row r="4339">
          <cell r="A4339" t="str">
            <v>SN0679-M</v>
          </cell>
          <cell r="B4339" t="str">
            <v>N679</v>
          </cell>
          <cell r="C4339" t="str">
            <v>ซาติน แขนสั้นขาสั้น กุหลาบ พื้นครีม M</v>
          </cell>
        </row>
        <row r="4340">
          <cell r="A4340" t="str">
            <v>SN0679-XL</v>
          </cell>
          <cell r="B4340" t="str">
            <v>N679</v>
          </cell>
          <cell r="C4340" t="str">
            <v>ซาติน แขนสั้นขาสั้น กุหลาบ พื้นครีม XL</v>
          </cell>
        </row>
        <row r="4341">
          <cell r="A4341" t="str">
            <v>SN0680-L</v>
          </cell>
          <cell r="B4341" t="str">
            <v>N680</v>
          </cell>
          <cell r="C4341" t="str">
            <v>ซาติน แขนสั้นขาสั้น ตาราง หมี ฟ้า L (กปก)</v>
          </cell>
        </row>
        <row r="4342">
          <cell r="A4342" t="str">
            <v>SN0680-M</v>
          </cell>
          <cell r="B4342" t="str">
            <v>N680</v>
          </cell>
          <cell r="C4342" t="str">
            <v>ซาติน แขนสั้นขาสั้น ตาราง หมี ฟ้า M</v>
          </cell>
        </row>
        <row r="4343">
          <cell r="A4343" t="str">
            <v>SN0680-XL</v>
          </cell>
          <cell r="B4343" t="str">
            <v>N680</v>
          </cell>
          <cell r="C4343" t="str">
            <v>ซาติน แขนสั้นขาสั้น ตาราง หมี ฟ้า XL</v>
          </cell>
        </row>
        <row r="4344">
          <cell r="A4344" t="str">
            <v>SN0681-L</v>
          </cell>
          <cell r="B4344" t="str">
            <v>N681</v>
          </cell>
          <cell r="C4344" t="str">
            <v>ซาติน แขนสั้นขาสั้น ตาราง หมี ชมพู L (กปก)</v>
          </cell>
        </row>
        <row r="4345">
          <cell r="A4345" t="str">
            <v>SN0681-M</v>
          </cell>
          <cell r="B4345" t="str">
            <v>N681</v>
          </cell>
          <cell r="C4345" t="str">
            <v>ซาติน แขนสั้นขาสั้น ตาราง หมี ชมพู M (กปก)</v>
          </cell>
        </row>
        <row r="4346">
          <cell r="A4346" t="str">
            <v>SN0681-XL</v>
          </cell>
          <cell r="B4346" t="str">
            <v>N681</v>
          </cell>
          <cell r="C4346" t="str">
            <v>ซาติน แขนสั้นขาสั้น ตาราง หมี ชมพู XL</v>
          </cell>
        </row>
        <row r="4347">
          <cell r="A4347" t="str">
            <v>SN0682-L</v>
          </cell>
          <cell r="B4347" t="str">
            <v>N682</v>
          </cell>
          <cell r="C4347" t="str">
            <v>ซาติน แขนสั้นขาสั้น หมีคู่ พื้นกรม L</v>
          </cell>
        </row>
        <row r="4348">
          <cell r="A4348" t="str">
            <v>SN0682-M</v>
          </cell>
          <cell r="B4348" t="str">
            <v>N682</v>
          </cell>
          <cell r="C4348" t="str">
            <v>ซาติน แขนสั้นขาสั้น หมีคู่ พื้นกรม M</v>
          </cell>
        </row>
        <row r="4349">
          <cell r="A4349" t="str">
            <v>SN0683-L</v>
          </cell>
          <cell r="B4349" t="str">
            <v>N683</v>
          </cell>
          <cell r="C4349" t="str">
            <v>ซาติน แขนสั้นขาสั้น หมีคู่ พื้นครีม L</v>
          </cell>
        </row>
        <row r="4350">
          <cell r="A4350" t="str">
            <v>SN0683-M</v>
          </cell>
          <cell r="B4350" t="str">
            <v>JN683</v>
          </cell>
          <cell r="C4350" t="str">
            <v>ซาติน แขนสั้นขาสั้น หมีคู่ พื้นครีม M ตัวโชว์</v>
          </cell>
        </row>
        <row r="4351">
          <cell r="A4351" t="str">
            <v>SN0697-L</v>
          </cell>
          <cell r="B4351" t="str">
            <v>N697</v>
          </cell>
          <cell r="C4351" t="str">
            <v>ซาติน แขนสั้นขาสั้น ชิโนริ เขียว กระเป๋าหมี L (กปก)</v>
          </cell>
        </row>
        <row r="4352">
          <cell r="A4352" t="str">
            <v>SN0697-M</v>
          </cell>
          <cell r="B4352" t="str">
            <v>N697</v>
          </cell>
          <cell r="C4352" t="str">
            <v>ซาติน แขนสั้นขาสั้น ชิโนริ เขียว กระเป๋าหมี M (กปก)</v>
          </cell>
        </row>
        <row r="4353">
          <cell r="A4353" t="str">
            <v>SN0697-XL</v>
          </cell>
          <cell r="B4353" t="str">
            <v>N697</v>
          </cell>
          <cell r="C4353" t="str">
            <v>ซาติน แขนสั้นขาสั้น ชิโนริ เขียว กระเป๋าหมี XL</v>
          </cell>
        </row>
        <row r="4354">
          <cell r="A4354" t="str">
            <v>SN0698-L</v>
          </cell>
          <cell r="B4354" t="str">
            <v>N698</v>
          </cell>
          <cell r="C4354" t="str">
            <v>ซาติน แขนสั้นขาสั้น ชิโนริ ชมพู กระเป๋าหมี L (กปก)</v>
          </cell>
        </row>
        <row r="4355">
          <cell r="A4355" t="str">
            <v>SN0698-M</v>
          </cell>
          <cell r="B4355" t="str">
            <v>N698</v>
          </cell>
          <cell r="C4355" t="str">
            <v>ซาติน แขนสั้นขาสั้น ชิโนริ ชมพู กระเป๋าหมี M (กปก)</v>
          </cell>
        </row>
        <row r="4356">
          <cell r="A4356" t="str">
            <v>SN0698-XL</v>
          </cell>
          <cell r="B4356" t="str">
            <v>JN698</v>
          </cell>
          <cell r="C4356" t="str">
            <v>ซาติน แขนสั้นขาสั้น ชิโนริ ชมพู กระเป๋าหมี XL (กปก) ตัวโชว์</v>
          </cell>
        </row>
        <row r="4357">
          <cell r="A4357" t="str">
            <v>SN0699-L</v>
          </cell>
          <cell r="B4357" t="str">
            <v>N699</v>
          </cell>
          <cell r="C4357" t="str">
            <v>ซาติน แขนสั้นขาสั้น ชิโนริ ดำ กระเป๋าหมี L (กปก)</v>
          </cell>
        </row>
        <row r="4358">
          <cell r="A4358" t="str">
            <v>SN0699-M</v>
          </cell>
          <cell r="B4358" t="str">
            <v>N699</v>
          </cell>
          <cell r="C4358" t="str">
            <v>ซาติน แขนสั้นขาสั้น ชิโนริ ดำ กระเป๋าหมี M (กปก)</v>
          </cell>
        </row>
        <row r="4359">
          <cell r="A4359" t="str">
            <v>SN0699-XL</v>
          </cell>
          <cell r="B4359" t="str">
            <v>N699</v>
          </cell>
          <cell r="C4359" t="str">
            <v>ซาติน แขนสั้นขาสั้น ชิโนริ ดำ กระเป๋าหมี XL (กปก)</v>
          </cell>
        </row>
        <row r="4360">
          <cell r="A4360" t="str">
            <v>SN0700-2XL</v>
          </cell>
          <cell r="B4360" t="str">
            <v>N700</v>
          </cell>
          <cell r="C4360" t="str">
            <v>ซาติน แขนสั้นขาสั้น Royal Rabbit 2XL</v>
          </cell>
        </row>
        <row r="4361">
          <cell r="A4361" t="str">
            <v>SN0700-L</v>
          </cell>
          <cell r="B4361" t="str">
            <v>N700</v>
          </cell>
          <cell r="C4361" t="str">
            <v>ซาติน แขนสั้นขาสั้น Royal Rabbit L</v>
          </cell>
        </row>
        <row r="4362">
          <cell r="A4362" t="str">
            <v>SN0700-M</v>
          </cell>
          <cell r="B4362" t="str">
            <v>N700</v>
          </cell>
          <cell r="C4362" t="str">
            <v>ซาติน แขนสั้นขาสั้น Royal Rabbit M</v>
          </cell>
        </row>
        <row r="4363">
          <cell r="A4363" t="str">
            <v>SN0700-XL</v>
          </cell>
          <cell r="B4363" t="str">
            <v>N700</v>
          </cell>
          <cell r="C4363" t="str">
            <v>ซาติน แขนสั้นขาสั้น Royal Rabbit XL</v>
          </cell>
        </row>
        <row r="4364">
          <cell r="A4364" t="str">
            <v>SN0701-2XL</v>
          </cell>
          <cell r="B4364" t="str">
            <v>N701</v>
          </cell>
          <cell r="C4364" t="str">
            <v>ซาติน แขนสั้นขาสั้น คณะแมว 2XL</v>
          </cell>
        </row>
        <row r="4365">
          <cell r="A4365" t="str">
            <v>SN0701-L</v>
          </cell>
          <cell r="B4365" t="str">
            <v>N701</v>
          </cell>
          <cell r="C4365" t="str">
            <v>ซาติน แขนสั้นขาสั้น คณะแมว L</v>
          </cell>
        </row>
        <row r="4366">
          <cell r="A4366" t="str">
            <v>SN0701-M</v>
          </cell>
          <cell r="B4366" t="str">
            <v>N701</v>
          </cell>
          <cell r="C4366" t="str">
            <v>ซาติน แขนสั้นขาสั้น คณะแมว M</v>
          </cell>
        </row>
        <row r="4367">
          <cell r="A4367" t="str">
            <v>SN0701-XL</v>
          </cell>
          <cell r="B4367" t="str">
            <v>N701</v>
          </cell>
          <cell r="C4367" t="str">
            <v>ซาติน แขนสั้นขาสั้น คณะแมว XL</v>
          </cell>
        </row>
        <row r="4368">
          <cell r="A4368" t="str">
            <v>SN0702-L</v>
          </cell>
          <cell r="B4368" t="str">
            <v>N702</v>
          </cell>
          <cell r="C4368" t="str">
            <v>ซาติน แขนสั้นขาสั้น น้องหมา จิ๊กซอว์ ฟ้า L</v>
          </cell>
        </row>
        <row r="4369">
          <cell r="A4369" t="str">
            <v>SN0702-M</v>
          </cell>
          <cell r="B4369" t="str">
            <v>N702</v>
          </cell>
          <cell r="C4369" t="str">
            <v>ซาติน แขนสั้นขาสั้น น้องหมา จิ๊กซอว์ ฟ้า M</v>
          </cell>
        </row>
        <row r="4370">
          <cell r="A4370" t="str">
            <v>SN0716-L</v>
          </cell>
          <cell r="B4370" t="str">
            <v>N716</v>
          </cell>
          <cell r="C4370" t="str">
            <v>ซาติน แขนสั้นขาสั้น พื้นดำ หัวใจหลากสี L (กปก)</v>
          </cell>
        </row>
        <row r="4371">
          <cell r="A4371" t="str">
            <v>SN0716-M</v>
          </cell>
          <cell r="B4371" t="str">
            <v>N716</v>
          </cell>
          <cell r="C4371" t="str">
            <v>ซาติน แขนสั้นขาสั้น พื้นดำ หัวใจหลากสี M (กปก)</v>
          </cell>
        </row>
        <row r="4372">
          <cell r="A4372" t="str">
            <v>SN0716-XL</v>
          </cell>
          <cell r="B4372" t="str">
            <v>N716</v>
          </cell>
          <cell r="C4372" t="str">
            <v>ซาติน แขนสั้นขาสั้น พื้นดำ หัวใจหลากสี XL</v>
          </cell>
        </row>
        <row r="4373">
          <cell r="A4373" t="str">
            <v>SN0717-L</v>
          </cell>
          <cell r="B4373" t="str">
            <v>JN717</v>
          </cell>
          <cell r="C4373" t="str">
            <v>ซาติน แขนสั้นขาสั้น Lovely Cat พื้นชมพู L (กปก) ตัวโชว์</v>
          </cell>
        </row>
        <row r="4374">
          <cell r="A4374" t="str">
            <v>SN0717-M</v>
          </cell>
          <cell r="B4374" t="str">
            <v>JN717</v>
          </cell>
          <cell r="C4374" t="str">
            <v>ซาติน แขนสั้นขาสั้น Lovely Cat พื้นชมพู M (กปก) ตัวโชว์</v>
          </cell>
        </row>
        <row r="4375">
          <cell r="A4375" t="str">
            <v>SN0718-M</v>
          </cell>
          <cell r="B4375" t="str">
            <v>JN718</v>
          </cell>
          <cell r="C4375" t="str">
            <v>ซาติน แขนสั้นขาสั้น Lovely Cat พื้นขาว M (กปก) ตัวโชว์</v>
          </cell>
        </row>
        <row r="4376">
          <cell r="A4376" t="str">
            <v>SN0719-L</v>
          </cell>
          <cell r="B4376" t="str">
            <v>N719</v>
          </cell>
          <cell r="C4376" t="str">
            <v>ซาติน แขนสั้นขาสั้น เสือ ชมพู ลูกไม้ L</v>
          </cell>
        </row>
        <row r="4377">
          <cell r="A4377" t="str">
            <v>SN0719-M</v>
          </cell>
          <cell r="B4377" t="str">
            <v>N719</v>
          </cell>
          <cell r="C4377" t="str">
            <v>ซาติน แขนสั้นขาสั้น เสือ ชมพู ลูกไม้ M</v>
          </cell>
        </row>
        <row r="4378">
          <cell r="A4378" t="str">
            <v>SN0720-L</v>
          </cell>
          <cell r="B4378" t="str">
            <v>N720</v>
          </cell>
          <cell r="C4378" t="str">
            <v>ซาติน แขนสั้นขาสั้น เสือ ขาว ลูกไม้ L</v>
          </cell>
        </row>
        <row r="4379">
          <cell r="A4379" t="str">
            <v>SN0720-M</v>
          </cell>
          <cell r="B4379" t="str">
            <v>N720</v>
          </cell>
          <cell r="C4379" t="str">
            <v>ซาติน แขนสั้นขาสั้น เสือ ขาว ลูกไม้ M</v>
          </cell>
        </row>
        <row r="4380">
          <cell r="A4380" t="str">
            <v>SN0721-L</v>
          </cell>
          <cell r="B4380" t="str">
            <v>N721</v>
          </cell>
          <cell r="C4380" t="str">
            <v>ซาติน แขนสั้นขาสั้น ยูนิคอร์น ขาวดำ L</v>
          </cell>
        </row>
        <row r="4381">
          <cell r="A4381" t="str">
            <v>SN0721-M</v>
          </cell>
          <cell r="B4381" t="str">
            <v>N721</v>
          </cell>
          <cell r="C4381" t="str">
            <v>ซาติน แขนสั้นขาสั้น ยูนิคอร์น ขาวดำ M</v>
          </cell>
        </row>
        <row r="4382">
          <cell r="A4382" t="str">
            <v>SN0721-XL</v>
          </cell>
          <cell r="B4382" t="str">
            <v>N721</v>
          </cell>
          <cell r="C4382" t="str">
            <v>ซาติน แขนสั้นขาสั้น ยูนิคอร์น ขาวดำ XL</v>
          </cell>
        </row>
        <row r="4383">
          <cell r="A4383" t="str">
            <v>SN0742-L</v>
          </cell>
          <cell r="B4383" t="str">
            <v>N742</v>
          </cell>
          <cell r="C4383" t="str">
            <v>ซาติน แขนสั้นขาสั้น พื้นม่วงล้วน ขอบขาว L</v>
          </cell>
        </row>
        <row r="4384">
          <cell r="A4384" t="str">
            <v>SN0742-M</v>
          </cell>
          <cell r="B4384" t="str">
            <v>N742</v>
          </cell>
          <cell r="C4384" t="str">
            <v>ซาติน แขนสั้นขาสั้น พื้นม่วงล้วน ขอบขาว M</v>
          </cell>
        </row>
        <row r="4385">
          <cell r="A4385" t="str">
            <v>SN0742-S</v>
          </cell>
          <cell r="B4385" t="str">
            <v>N742</v>
          </cell>
          <cell r="C4385" t="str">
            <v>ซาติน แขนสั้นขาสั้น พื้นม่วงล้วน ขอบขาว S</v>
          </cell>
        </row>
        <row r="4386">
          <cell r="A4386" t="str">
            <v>SN0743-L</v>
          </cell>
          <cell r="B4386" t="str">
            <v>N743</v>
          </cell>
          <cell r="C4386" t="str">
            <v>ซาติน แขนสั้นขาสั้น พื้นขาวล้วน ขอบดำ L</v>
          </cell>
        </row>
        <row r="4387">
          <cell r="A4387" t="str">
            <v>SN0743-M</v>
          </cell>
          <cell r="B4387" t="str">
            <v>N743</v>
          </cell>
          <cell r="C4387" t="str">
            <v>ซาติน แขนสั้นขาสั้น พื้นขาวล้วน ขอบดำ M</v>
          </cell>
        </row>
        <row r="4388">
          <cell r="A4388" t="str">
            <v>SN0743-S</v>
          </cell>
          <cell r="B4388" t="str">
            <v>N743</v>
          </cell>
          <cell r="C4388" t="str">
            <v>ซาติน แขนสั้นขาสั้น พื้นขาวล้วน ขอบดำ S</v>
          </cell>
        </row>
        <row r="4389">
          <cell r="A4389" t="str">
            <v>SN0744-L</v>
          </cell>
          <cell r="B4389" t="str">
            <v>N744</v>
          </cell>
          <cell r="C4389" t="str">
            <v>ซาติน แขนสั้นขาสั้น Black Flower tropical พื้นครีม L</v>
          </cell>
        </row>
        <row r="4390">
          <cell r="A4390" t="str">
            <v>SN0744-M</v>
          </cell>
          <cell r="B4390" t="str">
            <v>N744</v>
          </cell>
          <cell r="C4390" t="str">
            <v>ซาติน แขนสั้นขาสั้น Black Flower tropical พื้นครีม M</v>
          </cell>
        </row>
        <row r="4391">
          <cell r="A4391" t="str">
            <v>SN0745-L</v>
          </cell>
          <cell r="B4391" t="str">
            <v>N745</v>
          </cell>
          <cell r="C4391" t="str">
            <v>ซาติน แขนสั้นขาสั้น Cow พื้นดำ (กปก) L</v>
          </cell>
        </row>
        <row r="4392">
          <cell r="A4392" t="str">
            <v>SN0745-M</v>
          </cell>
          <cell r="B4392" t="str">
            <v>JN745</v>
          </cell>
          <cell r="C4392" t="str">
            <v>ซาติน แขนสั้นขาสั้น Cow พื้นดำ (กปก) M ตัวโชว์</v>
          </cell>
        </row>
        <row r="4393">
          <cell r="A4393" t="str">
            <v>SN0746-L</v>
          </cell>
          <cell r="B4393" t="str">
            <v>N746</v>
          </cell>
          <cell r="C4393" t="str">
            <v>ซาติน แขนสั้นขาสั้น Cow พื้นชมพู (กปก) L</v>
          </cell>
        </row>
        <row r="4394">
          <cell r="A4394" t="str">
            <v>SN0746-M</v>
          </cell>
          <cell r="B4394" t="str">
            <v>N746</v>
          </cell>
          <cell r="C4394" t="str">
            <v>ซาติน แขนสั้นขาสั้น Cow พื้นชมพู (กปก) M</v>
          </cell>
        </row>
        <row r="4395">
          <cell r="A4395" t="str">
            <v>SN0751-L</v>
          </cell>
          <cell r="B4395" t="str">
            <v>N751</v>
          </cell>
          <cell r="C4395" t="str">
            <v>ซาติน แขนสั้นขาสั้น กุหลาบจิ๋ว พื้นครีม L</v>
          </cell>
        </row>
        <row r="4396">
          <cell r="A4396" t="str">
            <v>SN0751-M</v>
          </cell>
          <cell r="B4396" t="str">
            <v>N751</v>
          </cell>
          <cell r="C4396" t="str">
            <v>ซาติน แขนสั้นขาสั้น กุหลาบจิ๋ว พื้นครีม M</v>
          </cell>
        </row>
        <row r="4397">
          <cell r="A4397" t="str">
            <v>SN0755-2XL</v>
          </cell>
          <cell r="B4397" t="str">
            <v>N755</v>
          </cell>
          <cell r="C4397" t="str">
            <v>ซิลค์แจ็คการ์ด แขนสั้นขาสั้น เสือ พืนชมพู ปกส้มฟ้า 2XL</v>
          </cell>
        </row>
        <row r="4398">
          <cell r="A4398" t="str">
            <v>SN0755-L</v>
          </cell>
          <cell r="B4398" t="str">
            <v>N755</v>
          </cell>
          <cell r="C4398" t="str">
            <v>ซิลค์แจ็คการ์ด แขนสั้นขาสั้น เสือ พืนชมพู ปกส้มฟ้า L</v>
          </cell>
        </row>
        <row r="4399">
          <cell r="A4399" t="str">
            <v>SN0755-M</v>
          </cell>
          <cell r="B4399" t="str">
            <v>N755</v>
          </cell>
          <cell r="C4399" t="str">
            <v>ซิลค์แจ็คการ์ด แขนสั้นขาสั้น เสือ พืนชมพู ปกส้มฟ้า M</v>
          </cell>
        </row>
        <row r="4400">
          <cell r="A4400" t="str">
            <v>SN0755-XL</v>
          </cell>
          <cell r="B4400" t="str">
            <v>N755</v>
          </cell>
          <cell r="C4400" t="str">
            <v>ซิลค์แจ็คการ์ด แขนสั้นขาสั้น เสือ พืนชมพู ปกส้มฟ้า XL</v>
          </cell>
        </row>
        <row r="4401">
          <cell r="A4401" t="str">
            <v>SN0761-L</v>
          </cell>
          <cell r="B4401" t="str">
            <v>N761</v>
          </cell>
          <cell r="C4401" t="str">
            <v>ซาติน แขนสั้นขาสั้น Happy พื้นชมพู L</v>
          </cell>
        </row>
        <row r="4402">
          <cell r="A4402" t="str">
            <v>SN0761-M</v>
          </cell>
          <cell r="B4402" t="str">
            <v>N761</v>
          </cell>
          <cell r="C4402" t="str">
            <v>ซาติน แขนสั้นขาสั้น Happy พื้นชมพู M</v>
          </cell>
        </row>
        <row r="4403">
          <cell r="A4403" t="str">
            <v>SN0762-L</v>
          </cell>
          <cell r="B4403" t="str">
            <v>N762</v>
          </cell>
          <cell r="C4403" t="str">
            <v>ซาติน แขนสั้นขาสั้น ลูกพีช คอระบาย L</v>
          </cell>
        </row>
        <row r="4404">
          <cell r="A4404" t="str">
            <v>SN0762-M</v>
          </cell>
          <cell r="B4404" t="str">
            <v>N762</v>
          </cell>
          <cell r="C4404" t="str">
            <v>ซาติน แขนสั้นขาสั้น ลูกพีช คอระบาย M</v>
          </cell>
        </row>
        <row r="4405">
          <cell r="A4405" t="str">
            <v>SN0763-L</v>
          </cell>
          <cell r="B4405" t="str">
            <v>N763</v>
          </cell>
          <cell r="C4405" t="str">
            <v>ซาติน แขนสั้นขาสั้น ก้อนเมฆ ลายพราง พื้นฟ้า L</v>
          </cell>
        </row>
        <row r="4406">
          <cell r="A4406" t="str">
            <v>SN0763-M</v>
          </cell>
          <cell r="B4406" t="str">
            <v>N763</v>
          </cell>
          <cell r="C4406" t="str">
            <v>ซาติน แขนสั้นขาสั้น ก้อนเมฆ ลายพราง พื้นฟ้า M</v>
          </cell>
        </row>
        <row r="4407">
          <cell r="A4407" t="str">
            <v>SN0764-L</v>
          </cell>
          <cell r="B4407" t="str">
            <v>N764</v>
          </cell>
          <cell r="C4407" t="str">
            <v>ซาติน แขนสั้นขาสั้น ก้อนเมฆ ลายพราง พื้นเหลือง L</v>
          </cell>
        </row>
        <row r="4408">
          <cell r="A4408" t="str">
            <v>SN0764-M</v>
          </cell>
          <cell r="B4408" t="str">
            <v>N764</v>
          </cell>
          <cell r="C4408" t="str">
            <v>ซาติน แขนสั้นขาสั้น ก้อนเมฆ ลายพราง พื้นเหลือง M</v>
          </cell>
        </row>
        <row r="4409">
          <cell r="A4409" t="str">
            <v>SN0765-L</v>
          </cell>
          <cell r="B4409" t="str">
            <v>N765</v>
          </cell>
          <cell r="C4409" t="str">
            <v>ซาติน แขนสั้นขาสั้น โซ่ พื้นดำ L</v>
          </cell>
        </row>
        <row r="4410">
          <cell r="A4410" t="str">
            <v>SN0765-M</v>
          </cell>
          <cell r="B4410" t="str">
            <v>N765</v>
          </cell>
          <cell r="C4410" t="str">
            <v>ซาติน แขนสั้นขาสั้น โซ่ พื้นดำ M</v>
          </cell>
        </row>
        <row r="4411">
          <cell r="A4411" t="str">
            <v>SN0765-XL</v>
          </cell>
          <cell r="B4411" t="str">
            <v>N765</v>
          </cell>
          <cell r="C4411" t="str">
            <v>ซาติน แขนสั้นขาสั้น โซ่ พื้นดำ XL</v>
          </cell>
        </row>
        <row r="4412">
          <cell r="A4412" t="str">
            <v>SN0766-L</v>
          </cell>
          <cell r="B4412" t="str">
            <v>N766</v>
          </cell>
          <cell r="C4412" t="str">
            <v>ซาติน แขนสั้นขาสั้น Pinky Rose พื้นครีม L</v>
          </cell>
        </row>
        <row r="4413">
          <cell r="A4413" t="str">
            <v>SN0766-M</v>
          </cell>
          <cell r="B4413" t="str">
            <v>N766</v>
          </cell>
          <cell r="C4413" t="str">
            <v>ซาติน แขนสั้นขาสั้น Pinky Rose พื้นครีม M</v>
          </cell>
        </row>
        <row r="4414">
          <cell r="A4414" t="str">
            <v>SN0766-XL</v>
          </cell>
          <cell r="B4414" t="str">
            <v>N766</v>
          </cell>
          <cell r="C4414" t="str">
            <v>ซาติน แขนสั้นขาสั้น Pinky Rose พื้นครีม XL</v>
          </cell>
        </row>
        <row r="4415">
          <cell r="A4415" t="str">
            <v>SN0767-L</v>
          </cell>
          <cell r="B4415" t="str">
            <v>N767</v>
          </cell>
          <cell r="C4415" t="str">
            <v>ซาติน แขนสั้นขาสั้น Blue Flower L</v>
          </cell>
        </row>
        <row r="4416">
          <cell r="A4416" t="str">
            <v>SN0767-M</v>
          </cell>
          <cell r="B4416" t="str">
            <v>N767</v>
          </cell>
          <cell r="C4416" t="str">
            <v>ซาติน แขนสั้นขาสั้น Blue Flower M</v>
          </cell>
        </row>
        <row r="4417">
          <cell r="A4417" t="str">
            <v>SN0767-XL</v>
          </cell>
          <cell r="B4417" t="str">
            <v>N767</v>
          </cell>
          <cell r="C4417" t="str">
            <v>ซาติน แขนสั้นขาสั้น Blue Flower XL</v>
          </cell>
        </row>
        <row r="4418">
          <cell r="A4418" t="str">
            <v>SN0768-L</v>
          </cell>
          <cell r="B4418" t="str">
            <v>N768</v>
          </cell>
          <cell r="C4418" t="str">
            <v>ซาติน แขนสั้นขาสั้น ใบไม้ เส้นฟ้า L</v>
          </cell>
        </row>
        <row r="4419">
          <cell r="A4419" t="str">
            <v>SN0768-M</v>
          </cell>
          <cell r="B4419" t="str">
            <v>N768</v>
          </cell>
          <cell r="C4419" t="str">
            <v>ซาติน แขนสั้นขาสั้น ใบไม้ เส้นฟ้า M</v>
          </cell>
        </row>
        <row r="4420">
          <cell r="A4420" t="str">
            <v>SN0768-XL</v>
          </cell>
          <cell r="B4420" t="str">
            <v>N768</v>
          </cell>
          <cell r="C4420" t="str">
            <v>ซาติน แขนสั้นขาสั้น ใบไม้ เส้นฟ้า XL</v>
          </cell>
        </row>
        <row r="4421">
          <cell r="A4421" t="str">
            <v>SN0769-L</v>
          </cell>
          <cell r="B4421" t="str">
            <v>N769</v>
          </cell>
          <cell r="C4421" t="str">
            <v>ซาติน แขนสั้นขาสั้น พื้นเขียว จุดขาว L</v>
          </cell>
        </row>
        <row r="4422">
          <cell r="A4422" t="str">
            <v>SN0769-M</v>
          </cell>
          <cell r="B4422" t="str">
            <v>N769</v>
          </cell>
          <cell r="C4422" t="str">
            <v>ซาติน แขนสั้นขาสั้น พื้นเขียว จุดขาว M</v>
          </cell>
        </row>
        <row r="4423">
          <cell r="A4423" t="str">
            <v>SN0769-XL</v>
          </cell>
          <cell r="B4423" t="str">
            <v>N769</v>
          </cell>
          <cell r="C4423" t="str">
            <v>ซาติน แขนสั้นขาสั้น พื้นเขียว จุดขาว XL</v>
          </cell>
        </row>
        <row r="4424">
          <cell r="A4424" t="str">
            <v>SN0770-L</v>
          </cell>
          <cell r="B4424" t="str">
            <v>N770</v>
          </cell>
          <cell r="C4424" t="str">
            <v>ซาติน แขนสั้นขาสั้น พื้นเขียว หมีมุก L</v>
          </cell>
        </row>
        <row r="4425">
          <cell r="A4425" t="str">
            <v>SN0770-M</v>
          </cell>
          <cell r="B4425" t="str">
            <v>N770</v>
          </cell>
          <cell r="C4425" t="str">
            <v>ซาติน แขนสั้นขาสั้น พื้นเขียว หมีมุก M</v>
          </cell>
        </row>
        <row r="4426">
          <cell r="A4426" t="str">
            <v>SN0771-L</v>
          </cell>
          <cell r="B4426" t="str">
            <v>N771</v>
          </cell>
          <cell r="C4426" t="str">
            <v>ซาติน แขนสั้นขาสั้น ตาราง หัวใจ เขียว L</v>
          </cell>
        </row>
        <row r="4427">
          <cell r="A4427" t="str">
            <v>SN0771-M</v>
          </cell>
          <cell r="B4427" t="str">
            <v>N771</v>
          </cell>
          <cell r="C4427" t="str">
            <v>ซาติน แขนสั้นขาสั้น ตาราง หัวใจ เขียว M</v>
          </cell>
        </row>
        <row r="4428">
          <cell r="A4428" t="str">
            <v>SN0772-L</v>
          </cell>
          <cell r="B4428" t="str">
            <v>N772</v>
          </cell>
          <cell r="C4428" t="str">
            <v>ซาติน แขนสั้นขาสั้น พื้นชมพู strawberry summer L</v>
          </cell>
        </row>
        <row r="4429">
          <cell r="A4429" t="str">
            <v>SN0772-M</v>
          </cell>
          <cell r="B4429" t="str">
            <v>N772</v>
          </cell>
          <cell r="C4429" t="str">
            <v>ซาติน แขนสั้นขาสั้น พื้นชมพู strawberry summer M</v>
          </cell>
        </row>
        <row r="4430">
          <cell r="A4430" t="str">
            <v>SN0776-L</v>
          </cell>
          <cell r="B4430" t="str">
            <v>JN776</v>
          </cell>
          <cell r="C4430" t="str">
            <v>ซาติน แขนสั้นขาสั้น Cloundy Moon L ตัวโชว์</v>
          </cell>
        </row>
        <row r="4431">
          <cell r="A4431" t="str">
            <v>SN0776-M</v>
          </cell>
          <cell r="B4431" t="str">
            <v>N776</v>
          </cell>
          <cell r="C4431" t="str">
            <v>ซาติน แขนสั้นขาสั้น Cloundy Moon M</v>
          </cell>
        </row>
        <row r="4432">
          <cell r="A4432" t="str">
            <v>SN0780-L</v>
          </cell>
          <cell r="B4432" t="str">
            <v>N780</v>
          </cell>
          <cell r="C4432" t="str">
            <v>ซาติน แขนสั้นขาสั้น พื้นฟ้า เถาวัลย์ฟ้า L</v>
          </cell>
        </row>
        <row r="4433">
          <cell r="A4433" t="str">
            <v>SN0780-M</v>
          </cell>
          <cell r="B4433" t="str">
            <v>JN780</v>
          </cell>
          <cell r="C4433" t="str">
            <v>ซาติน แขนสั้นขาสั้น พื้นฟ้า เถาวัลย์ฟ้า M ตัวโชว์</v>
          </cell>
        </row>
        <row r="4434">
          <cell r="A4434" t="str">
            <v>SN0780-XL</v>
          </cell>
          <cell r="B4434" t="str">
            <v>N780</v>
          </cell>
          <cell r="C4434" t="str">
            <v>ซาติน แขนสั้นขาสั้น พื้นฟ้า เถาวัลย์ฟ้า XL</v>
          </cell>
        </row>
        <row r="4435">
          <cell r="A4435" t="str">
            <v>SN0781-2XL</v>
          </cell>
          <cell r="B4435" t="str">
            <v>N781</v>
          </cell>
          <cell r="C4435" t="str">
            <v>ซาติน แขนสั้นขาสั้น ดอกท้อ พื้นเขียว 2XL</v>
          </cell>
        </row>
        <row r="4436">
          <cell r="A4436" t="str">
            <v>SN0781-3XL</v>
          </cell>
          <cell r="B4436" t="str">
            <v>N781</v>
          </cell>
          <cell r="C4436" t="str">
            <v>ซาติน แขนสั้นขาสั้น ดอกท้อ พื้นเขียว 3XL</v>
          </cell>
        </row>
        <row r="4437">
          <cell r="A4437" t="str">
            <v>SN0781-L</v>
          </cell>
          <cell r="B4437" t="str">
            <v>N781</v>
          </cell>
          <cell r="C4437" t="str">
            <v>ซาติน แขนสั้นขาสั้น ดอกท้อ พื้นเขียว L</v>
          </cell>
        </row>
        <row r="4438">
          <cell r="A4438" t="str">
            <v>SN0781-M</v>
          </cell>
          <cell r="B4438" t="str">
            <v>N781</v>
          </cell>
          <cell r="C4438" t="str">
            <v>ซาติน แขนสั้นขาสั้น ดอกท้อ พื้นเขียว M</v>
          </cell>
        </row>
        <row r="4439">
          <cell r="A4439" t="str">
            <v>SN0781-XL</v>
          </cell>
          <cell r="B4439" t="str">
            <v>N781</v>
          </cell>
          <cell r="C4439" t="str">
            <v>ซาติน แขนสั้นขาสั้น ดอกท้อ พื้นเขียว XL</v>
          </cell>
        </row>
        <row r="4440">
          <cell r="A4440" t="str">
            <v>SN0782-L</v>
          </cell>
          <cell r="B4440" t="str">
            <v>N782</v>
          </cell>
          <cell r="C4440" t="str">
            <v>ซาติน แขนสั้นขาสั้น Wild Animal พื้นเขียว L</v>
          </cell>
        </row>
        <row r="4441">
          <cell r="A4441" t="str">
            <v>SN0782-M</v>
          </cell>
          <cell r="B4441" t="str">
            <v>N782</v>
          </cell>
          <cell r="C4441" t="str">
            <v>ซาติน แขนสั้นขาสั้น Wild Animal พื้นเขียว M</v>
          </cell>
        </row>
        <row r="4442">
          <cell r="A4442" t="str">
            <v>SN0782-XL</v>
          </cell>
          <cell r="B4442" t="str">
            <v>N782</v>
          </cell>
          <cell r="C4442" t="str">
            <v>ซาติน แขนสั้นขาสั้น Wild Animal พื้นเขียว XL</v>
          </cell>
        </row>
        <row r="4443">
          <cell r="A4443" t="str">
            <v>SN0783-L</v>
          </cell>
          <cell r="B4443" t="str">
            <v>BN783</v>
          </cell>
          <cell r="C4443" t="str">
            <v>ซาติน แขนสั้นขาสั้น พื้นครีม แขนระบาย L</v>
          </cell>
        </row>
        <row r="4444">
          <cell r="A4444" t="str">
            <v>SN0783-M</v>
          </cell>
          <cell r="B4444" t="str">
            <v>N783</v>
          </cell>
          <cell r="C4444" t="str">
            <v>ซาติน แขนสั้นขาสั้น พื้นครีม แขนระบาย M</v>
          </cell>
        </row>
        <row r="4445">
          <cell r="A4445" t="str">
            <v>SN0783-S</v>
          </cell>
          <cell r="B4445" t="str">
            <v>N783</v>
          </cell>
          <cell r="C4445" t="str">
            <v>ซาติน แขนสั้นขาสั้น พื้นครีม แขนระบาย S</v>
          </cell>
        </row>
        <row r="4446">
          <cell r="A4446" t="str">
            <v>SN0784-L</v>
          </cell>
          <cell r="B4446" t="str">
            <v>N784</v>
          </cell>
          <cell r="C4446" t="str">
            <v>ซาติน แขนสั้นขาสั้น แดง ขอบขาว ผ้าปิดตา L</v>
          </cell>
        </row>
        <row r="4447">
          <cell r="A4447" t="str">
            <v>SN0784-M</v>
          </cell>
          <cell r="B4447" t="str">
            <v>N784</v>
          </cell>
          <cell r="C4447" t="str">
            <v>ซาติน แขนสั้นขาสั้น แดง ขอบขาว ผ้าปิดตา M</v>
          </cell>
        </row>
        <row r="4448">
          <cell r="A4448" t="str">
            <v>SN0784-S</v>
          </cell>
          <cell r="B4448" t="str">
            <v>N784</v>
          </cell>
          <cell r="C4448" t="str">
            <v>ซาติน แขนสั้นขาสั้น แดง ขอบขาว ผ้าปิดตา S</v>
          </cell>
        </row>
        <row r="4449">
          <cell r="A4449" t="str">
            <v>SN0788-L</v>
          </cell>
          <cell r="B4449" t="str">
            <v>N788</v>
          </cell>
          <cell r="C4449" t="str">
            <v>ซาติน แขนสั้นขาสั้น ดอกกุหลาบ ปกชมพู L</v>
          </cell>
        </row>
        <row r="4450">
          <cell r="A4450" t="str">
            <v>SN0788-M</v>
          </cell>
          <cell r="B4450" t="str">
            <v>N788</v>
          </cell>
          <cell r="C4450" t="str">
            <v>ซาติน แขนสั้นขาสั้น ดอกกุหลาบ ปกชมพู M</v>
          </cell>
        </row>
        <row r="4451">
          <cell r="A4451" t="str">
            <v>SN0788-XL</v>
          </cell>
          <cell r="B4451" t="str">
            <v>N788</v>
          </cell>
          <cell r="C4451" t="str">
            <v>ซาติน แขนสั้นขาสั้น ดอกกุหลาบ ปกชมพู XL</v>
          </cell>
        </row>
        <row r="4452">
          <cell r="A4452" t="str">
            <v>SN0790-2XL</v>
          </cell>
          <cell r="B4452" t="str">
            <v>N790</v>
          </cell>
          <cell r="C4452" t="str">
            <v>ซาติน แขนสั้นขาสั้น แฟนซี่ พิ้งค์ 2XL</v>
          </cell>
        </row>
        <row r="4453">
          <cell r="A4453" t="str">
            <v>SN0790-L</v>
          </cell>
          <cell r="B4453" t="str">
            <v>N790</v>
          </cell>
          <cell r="C4453" t="str">
            <v>ซาติน แขนสั้นขาสั้น แฟนซี่ พิ้งค์ L</v>
          </cell>
        </row>
        <row r="4454">
          <cell r="A4454" t="str">
            <v>SN0790-M</v>
          </cell>
          <cell r="B4454" t="str">
            <v>N790</v>
          </cell>
          <cell r="C4454" t="str">
            <v>ซาติน แขนสั้นขาสั้น แฟนซี่ พิ้งค์ M</v>
          </cell>
        </row>
        <row r="4455">
          <cell r="A4455" t="str">
            <v>SN0790-XL</v>
          </cell>
          <cell r="B4455" t="str">
            <v>N790</v>
          </cell>
          <cell r="C4455" t="str">
            <v>ซาติน แขนสั้นขาสั้น แฟนซี่ พิ้งค์ XL</v>
          </cell>
        </row>
        <row r="4456">
          <cell r="A4456" t="str">
            <v>SN0797-2XL</v>
          </cell>
          <cell r="B4456" t="str">
            <v>N797</v>
          </cell>
          <cell r="C4456" t="str">
            <v>ซาติน แขนสั้นขาสั้น Green Village 2XL</v>
          </cell>
        </row>
        <row r="4457">
          <cell r="A4457" t="str">
            <v>SN0797-3XL</v>
          </cell>
          <cell r="B4457" t="str">
            <v>N797</v>
          </cell>
          <cell r="C4457" t="str">
            <v>ซาติน แขนสั้นขาสั้น Green Village 3XL</v>
          </cell>
        </row>
        <row r="4458">
          <cell r="A4458" t="str">
            <v>SN0797-L</v>
          </cell>
          <cell r="B4458" t="str">
            <v>N797</v>
          </cell>
          <cell r="C4458" t="str">
            <v>ซาติน แขนสั้นขาสั้น Green Village L</v>
          </cell>
        </row>
        <row r="4459">
          <cell r="A4459" t="str">
            <v>SN0797-M</v>
          </cell>
          <cell r="B4459" t="str">
            <v>N797</v>
          </cell>
          <cell r="C4459" t="str">
            <v>ซาติน แขนสั้นขาสั้น Green Village M</v>
          </cell>
        </row>
        <row r="4460">
          <cell r="A4460" t="str">
            <v>SN0797-XL</v>
          </cell>
          <cell r="B4460" t="str">
            <v>N797</v>
          </cell>
          <cell r="C4460" t="str">
            <v>ซาติน แขนสั้นขาสั้น Green Village XL</v>
          </cell>
        </row>
        <row r="4461">
          <cell r="A4461" t="str">
            <v>SN0798-2XL</v>
          </cell>
          <cell r="B4461" t="str">
            <v>N798</v>
          </cell>
          <cell r="C4461" t="str">
            <v>ซาติน แขนสั้นขาสั้น Red Village 2XL</v>
          </cell>
        </row>
        <row r="4462">
          <cell r="A4462" t="str">
            <v>SN0798-3XL</v>
          </cell>
          <cell r="B4462" t="str">
            <v>N798</v>
          </cell>
          <cell r="C4462" t="str">
            <v>ซาติน แขนสั้นขาสั้น Red Village 3XL</v>
          </cell>
        </row>
        <row r="4463">
          <cell r="A4463" t="str">
            <v>SN0798-L</v>
          </cell>
          <cell r="B4463" t="str">
            <v>N798</v>
          </cell>
          <cell r="C4463" t="str">
            <v>ซาติน แขนสั้นขาสั้น Red Village L</v>
          </cell>
        </row>
        <row r="4464">
          <cell r="A4464" t="str">
            <v>SN0798-M</v>
          </cell>
          <cell r="B4464" t="str">
            <v>N798</v>
          </cell>
          <cell r="C4464" t="str">
            <v>ซาติน แขนสั้นขาสั้น Red Village M</v>
          </cell>
        </row>
        <row r="4465">
          <cell r="A4465" t="str">
            <v>SN0798-XL</v>
          </cell>
          <cell r="B4465" t="str">
            <v>N798</v>
          </cell>
          <cell r="C4465" t="str">
            <v>ซาติน แขนสั้นขาสั้น Red Village XL</v>
          </cell>
        </row>
        <row r="4466">
          <cell r="A4466" t="str">
            <v>SN0800-2XL</v>
          </cell>
          <cell r="B4466" t="str">
            <v>N800</v>
          </cell>
          <cell r="C4466" t="str">
            <v>ซาติน แขนสั้นขาขาสั้น กุหลาบ พื้นขาว ปกชมพู 2XL</v>
          </cell>
        </row>
        <row r="4467">
          <cell r="A4467" t="str">
            <v>SN0800-3XL</v>
          </cell>
          <cell r="B4467" t="str">
            <v>N800</v>
          </cell>
          <cell r="C4467" t="str">
            <v>ซาติน แขนสั้นขาขาสั้น กุหลาบ พื้นขาว ปกชมพู 3XL</v>
          </cell>
        </row>
        <row r="4468">
          <cell r="A4468" t="str">
            <v>SN0800-L</v>
          </cell>
          <cell r="B4468" t="str">
            <v>N800</v>
          </cell>
          <cell r="C4468" t="str">
            <v>ซิลค์แจ็คการ์ด แขนสั้นขาสั้น กุหลาบ พื้นขาว ปกชมพู L</v>
          </cell>
        </row>
        <row r="4469">
          <cell r="A4469" t="str">
            <v>SN0800-M</v>
          </cell>
          <cell r="B4469" t="str">
            <v>N800</v>
          </cell>
          <cell r="C4469" t="str">
            <v>ซิลค์แจ็คการ์ด แขนสั้นขาสั้น กุหลาบ พื้นขาว ปกชมพู M</v>
          </cell>
        </row>
        <row r="4470">
          <cell r="A4470" t="str">
            <v>SN0800-XL</v>
          </cell>
          <cell r="B4470" t="str">
            <v>N800</v>
          </cell>
          <cell r="C4470" t="str">
            <v>ซิลค์แจ็คการ์ด แขนสั้นขาสั้น กุหลาบ พื้นขาว ปกชมพู XL</v>
          </cell>
        </row>
        <row r="4471">
          <cell r="A4471" t="str">
            <v>SN0801-L</v>
          </cell>
          <cell r="B4471" t="str">
            <v>JN801</v>
          </cell>
          <cell r="C4471" t="str">
            <v>ซาติน แขนสั้นขาสั้น พื้นฟ้าคราม สีครีม L ตัวโชว์</v>
          </cell>
        </row>
        <row r="4472">
          <cell r="A4472" t="str">
            <v>SN0801-M</v>
          </cell>
          <cell r="B4472" t="str">
            <v>JN801</v>
          </cell>
          <cell r="C4472" t="str">
            <v>ซาติน แขนสั้นขาสั้น พื้นฟ้าคราม สีครีม M ตัวโชว์</v>
          </cell>
        </row>
        <row r="4473">
          <cell r="A4473" t="str">
            <v>SN0801-XL</v>
          </cell>
          <cell r="B4473" t="str">
            <v>JN801</v>
          </cell>
          <cell r="C4473" t="str">
            <v>ซาติน แขนสั้นขาสั้น พื้นฟ้าคราม สีครีม XL ตัวโชว์</v>
          </cell>
        </row>
        <row r="4474">
          <cell r="A4474" t="str">
            <v>SN0802-L</v>
          </cell>
          <cell r="B4474" t="str">
            <v>N802</v>
          </cell>
          <cell r="C4474" t="str">
            <v>ซิลค์แจ็คการ์ด แขนสั้นขาสั้น พื้นเขียว ดอกไม้ฟ้าขาว L</v>
          </cell>
        </row>
        <row r="4475">
          <cell r="A4475" t="str">
            <v>SN0802-M</v>
          </cell>
          <cell r="B4475" t="str">
            <v>N802</v>
          </cell>
          <cell r="C4475" t="str">
            <v>ซิลค์แจ็คการ์ด แขนสั้นขาสั้น พื้นเขียว ดอกไม้ฟ้าขาว M</v>
          </cell>
        </row>
        <row r="4476">
          <cell r="A4476" t="str">
            <v>SN0802-XL</v>
          </cell>
          <cell r="B4476" t="str">
            <v>N802</v>
          </cell>
          <cell r="C4476" t="str">
            <v>ซิลค์แจ็คการ์ด แขนสั้นขาสั้น พื้นเขียว ดอกไม้ฟ้าขาว XL</v>
          </cell>
        </row>
        <row r="4477">
          <cell r="A4477" t="str">
            <v>SN0803-2XL</v>
          </cell>
          <cell r="B4477" t="str">
            <v>JN803</v>
          </cell>
          <cell r="C4477" t="str">
            <v>ซาติน แขนสั้นขาสั้น Mini Black Heart 2XL ตัวโชว์</v>
          </cell>
        </row>
        <row r="4478">
          <cell r="A4478" t="str">
            <v>SN0803-L</v>
          </cell>
          <cell r="B4478" t="str">
            <v>JN803</v>
          </cell>
          <cell r="C4478" t="str">
            <v>ซาติน แขนสั้นขาสั้น Mini Black Heart L ตัวโชว์</v>
          </cell>
        </row>
        <row r="4479">
          <cell r="A4479" t="str">
            <v>SN0803-M</v>
          </cell>
          <cell r="B4479" t="str">
            <v>N803</v>
          </cell>
          <cell r="C4479" t="str">
            <v>ซาติน แขนสั้นขาสั้น Mini Black Heart M</v>
          </cell>
        </row>
        <row r="4480">
          <cell r="A4480" t="str">
            <v>SN0803-XL</v>
          </cell>
          <cell r="B4480" t="str">
            <v>JN803</v>
          </cell>
          <cell r="C4480" t="str">
            <v>ซาติน แขนสั้นขาสั้น Mini Black Heart XL ตัวโชว์</v>
          </cell>
        </row>
        <row r="4481">
          <cell r="A4481" t="str">
            <v>SN0804-L</v>
          </cell>
          <cell r="B4481" t="str">
            <v>N804</v>
          </cell>
          <cell r="C4481" t="str">
            <v>ซาติน แขนสั้นขาสั้น พื้นชมพูคราม สีครีม L</v>
          </cell>
        </row>
        <row r="4482">
          <cell r="A4482" t="str">
            <v>SN0804-M</v>
          </cell>
          <cell r="B4482" t="str">
            <v>N804</v>
          </cell>
          <cell r="C4482" t="str">
            <v>ซาติน แขนสั้นขาสั้น พื้นชมพูคราม สีครีม M</v>
          </cell>
        </row>
        <row r="4483">
          <cell r="A4483" t="str">
            <v>SN0804-XL</v>
          </cell>
          <cell r="B4483" t="str">
            <v>N804</v>
          </cell>
          <cell r="C4483" t="str">
            <v>ซาติน แขนสั้นขาสั้น พื้นชมพูคราม สีครีม XL</v>
          </cell>
        </row>
        <row r="4484">
          <cell r="A4484" t="str">
            <v>SN0813-2XL</v>
          </cell>
          <cell r="B4484" t="str">
            <v>N813</v>
          </cell>
          <cell r="C4484" t="str">
            <v>ซาติน แขนสั้นขาสั้น ดอกโสน พื้นฟ้า 2XL</v>
          </cell>
        </row>
        <row r="4485">
          <cell r="A4485" t="str">
            <v>SN0813-3XL</v>
          </cell>
          <cell r="B4485" t="str">
            <v>N813</v>
          </cell>
          <cell r="C4485" t="str">
            <v>ซาติน แขนสั้นขาสั้น ดอกโสน พื้นฟ้า 3XL</v>
          </cell>
        </row>
        <row r="4486">
          <cell r="A4486" t="str">
            <v>SN0813-L</v>
          </cell>
          <cell r="B4486" t="str">
            <v>N813</v>
          </cell>
          <cell r="C4486" t="str">
            <v>ซาติน แขนสั้นขาสั้น ดอกโสน พื้นฟ้า L</v>
          </cell>
        </row>
        <row r="4487">
          <cell r="A4487" t="str">
            <v>SN0813-M</v>
          </cell>
          <cell r="B4487" t="str">
            <v>N813</v>
          </cell>
          <cell r="C4487" t="str">
            <v>ซาติน แขนสั้นขาสั้น ดอกโสน พื้นฟ้า M</v>
          </cell>
        </row>
        <row r="4488">
          <cell r="A4488" t="str">
            <v>SN0813-XL</v>
          </cell>
          <cell r="B4488" t="str">
            <v>N813</v>
          </cell>
          <cell r="C4488" t="str">
            <v>ซาติน แขนสั้นขาสั้น ดอกโสน พื้นฟ้า XL</v>
          </cell>
        </row>
        <row r="4489">
          <cell r="A4489" t="str">
            <v>SN0818-2XL</v>
          </cell>
          <cell r="B4489" t="str">
            <v>N818</v>
          </cell>
          <cell r="C4489" t="str">
            <v>ซาติน แขนสั้นขาสั้น Royal Green Art 2XL</v>
          </cell>
        </row>
        <row r="4490">
          <cell r="A4490" t="str">
            <v>SN0818-3XL</v>
          </cell>
          <cell r="B4490" t="str">
            <v>N818</v>
          </cell>
          <cell r="C4490" t="str">
            <v>ซาติน แขนสั้นขาสั้น Royal Green Art 3XL</v>
          </cell>
        </row>
        <row r="4491">
          <cell r="A4491" t="str">
            <v>SN0818-L</v>
          </cell>
          <cell r="B4491" t="str">
            <v>N818</v>
          </cell>
          <cell r="C4491" t="str">
            <v>ซาติน แขนสั้นขาสั้น Royal Green Art L</v>
          </cell>
        </row>
        <row r="4492">
          <cell r="A4492" t="str">
            <v>SN0818-M</v>
          </cell>
          <cell r="B4492" t="str">
            <v>N818</v>
          </cell>
          <cell r="C4492" t="str">
            <v>ซาติน แขนสั้นขาสั้น Royal Green Art M</v>
          </cell>
        </row>
        <row r="4493">
          <cell r="A4493" t="str">
            <v>SN0818-S</v>
          </cell>
          <cell r="B4493" t="str">
            <v>N818</v>
          </cell>
          <cell r="C4493" t="str">
            <v>ซาติน แขนสั้นขาสั้น Royal Green Art S</v>
          </cell>
        </row>
        <row r="4494">
          <cell r="A4494" t="str">
            <v>SN0818-XL</v>
          </cell>
          <cell r="B4494" t="str">
            <v>N818</v>
          </cell>
          <cell r="C4494" t="str">
            <v>ซาติน แขนสั้นขาสั้น Royal Green Art XL</v>
          </cell>
        </row>
        <row r="4495">
          <cell r="A4495" t="str">
            <v>SN0819-2XL</v>
          </cell>
          <cell r="B4495" t="str">
            <v>N819</v>
          </cell>
          <cell r="C4495" t="str">
            <v>ซาติน แขนสั้นขาสั้น ดอกมะลิ พื้นฟ้า 2XL</v>
          </cell>
        </row>
        <row r="4496">
          <cell r="A4496" t="str">
            <v>SN0819-L</v>
          </cell>
          <cell r="B4496" t="str">
            <v>N819</v>
          </cell>
          <cell r="C4496" t="str">
            <v>ซาติน แขนสั้นขาสั้น ดอกมะลิ พื้นฟ้า L</v>
          </cell>
        </row>
        <row r="4497">
          <cell r="A4497" t="str">
            <v>SN0819-M</v>
          </cell>
          <cell r="B4497" t="str">
            <v>N819</v>
          </cell>
          <cell r="C4497" t="str">
            <v>ซาติน แขนสั้นขาสั้น ดอกมะลิ พื้นฟ้า M</v>
          </cell>
        </row>
        <row r="4498">
          <cell r="A4498" t="str">
            <v>SN0819-XL</v>
          </cell>
          <cell r="B4498" t="str">
            <v>N819</v>
          </cell>
          <cell r="C4498" t="str">
            <v>ซาติน แขนสั้นขาสั้น ดอกมะลิ พื้นฟ้า XL</v>
          </cell>
        </row>
        <row r="4499">
          <cell r="A4499" t="str">
            <v>SN0836-2XL</v>
          </cell>
          <cell r="B4499" t="str">
            <v>N836</v>
          </cell>
          <cell r="C4499" t="str">
            <v>ซาติน แขนสั้นขาสั้น  เสือดาว พื้นเขียว 2XL</v>
          </cell>
        </row>
        <row r="4500">
          <cell r="A4500" t="str">
            <v>SN0836-3XL</v>
          </cell>
          <cell r="B4500" t="str">
            <v>N836</v>
          </cell>
          <cell r="C4500" t="str">
            <v>ซาติน แขนสั้นขาสั้น  เสือดาว พื้นเขียว 3XL</v>
          </cell>
        </row>
        <row r="4501">
          <cell r="A4501" t="str">
            <v>SN0836-L</v>
          </cell>
          <cell r="B4501" t="str">
            <v>N836</v>
          </cell>
          <cell r="C4501" t="str">
            <v>ซาติน แขนสั้นขาสั้น  เสือดาว พื้นเขียว L</v>
          </cell>
        </row>
        <row r="4502">
          <cell r="A4502" t="str">
            <v>SN0836-M</v>
          </cell>
          <cell r="B4502" t="str">
            <v>N836</v>
          </cell>
          <cell r="C4502" t="str">
            <v>ซาติน แขนสั้นขาสั้น  เสือดาว พื้นเขียว M</v>
          </cell>
        </row>
        <row r="4503">
          <cell r="A4503" t="str">
            <v>SN0836-XL</v>
          </cell>
          <cell r="B4503" t="str">
            <v>N836</v>
          </cell>
          <cell r="C4503" t="str">
            <v>ซาติน แขนสั้นขาสั้น  เสือดาว พื้นเขียว XL</v>
          </cell>
        </row>
        <row r="4504">
          <cell r="A4504" t="str">
            <v>SN0837-2XL</v>
          </cell>
          <cell r="B4504" t="str">
            <v>N837</v>
          </cell>
          <cell r="C4504" t="str">
            <v>ซาติน แขนสั้นขาสั้น ซากุระ ไทเกอร์ พื้นชมพู 2XL</v>
          </cell>
        </row>
        <row r="4505">
          <cell r="A4505" t="str">
            <v>SN0837-3XL</v>
          </cell>
          <cell r="B4505" t="str">
            <v>N837</v>
          </cell>
          <cell r="C4505" t="str">
            <v>ซาติน แขนสั้นขาสั้น ซากุระ ไทเกอร์ พื้นชมพู 3XL</v>
          </cell>
        </row>
        <row r="4506">
          <cell r="A4506" t="str">
            <v>SN0837-L</v>
          </cell>
          <cell r="B4506" t="str">
            <v>N837</v>
          </cell>
          <cell r="C4506" t="str">
            <v>ซาติน แขนสั้นขาสั้น ซากุระ ไทเกอร์ พื้นชมพู L</v>
          </cell>
        </row>
        <row r="4507">
          <cell r="A4507" t="str">
            <v>SN0837-M</v>
          </cell>
          <cell r="B4507" t="str">
            <v>N837</v>
          </cell>
          <cell r="C4507" t="str">
            <v>ซาติน แขนสั้นขาสั้น ซากุระ ไทเกอร์ พื้นชมพู M</v>
          </cell>
        </row>
        <row r="4508">
          <cell r="A4508" t="str">
            <v>SN0837-XL</v>
          </cell>
          <cell r="B4508" t="str">
            <v>N837</v>
          </cell>
          <cell r="C4508" t="str">
            <v>ซาติน แขนสั้นขาสั้น ซากุระ ไทเกอร์ พื้นชมพู XL</v>
          </cell>
        </row>
        <row r="4509">
          <cell r="A4509" t="str">
            <v>SN0838-2XL</v>
          </cell>
          <cell r="B4509" t="str">
            <v>N838</v>
          </cell>
          <cell r="C4509" t="str">
            <v>ซาติน แขนสั้นขาสั้น  ซากุระ ไทเกอร์ พื้นกรม 2XL</v>
          </cell>
        </row>
        <row r="4510">
          <cell r="A4510" t="str">
            <v>SN0838-3XL</v>
          </cell>
          <cell r="B4510" t="str">
            <v>N838</v>
          </cell>
          <cell r="C4510" t="str">
            <v>ซาติน แขนสั้นขาสั้น  ซากุระ ไทเกอร์ พื้นกรม 3XL</v>
          </cell>
        </row>
        <row r="4511">
          <cell r="A4511" t="str">
            <v>SN0838-L</v>
          </cell>
          <cell r="B4511" t="str">
            <v>N838</v>
          </cell>
          <cell r="C4511" t="str">
            <v>ซาติน แขนสั้นขาสั้น  ซากุระ ไทเกอร์ พื้นกรม L</v>
          </cell>
        </row>
        <row r="4512">
          <cell r="A4512" t="str">
            <v>SN0838-M</v>
          </cell>
          <cell r="B4512" t="str">
            <v>N838</v>
          </cell>
          <cell r="C4512" t="str">
            <v>ซาติน แขนสั้นขาสั้น  ซากุระ ไทเกอร์ พื้นกรม M</v>
          </cell>
        </row>
        <row r="4513">
          <cell r="A4513" t="str">
            <v>SN0838-XL</v>
          </cell>
          <cell r="B4513" t="str">
            <v>N838</v>
          </cell>
          <cell r="C4513" t="str">
            <v>ซาติน แขนสั้นขาสั้น  ซากุระ ไทเกอร์ พื้นกรม XL</v>
          </cell>
        </row>
        <row r="4514">
          <cell r="A4514" t="str">
            <v>SN0844-2XL</v>
          </cell>
          <cell r="B4514" t="str">
            <v>N844</v>
          </cell>
          <cell r="C4514" t="str">
            <v>ซาติน แขนสั้นขาสั้น ดอกไม้แมงกระพรุน ขอบม่วง 2XL</v>
          </cell>
        </row>
        <row r="4515">
          <cell r="A4515" t="str">
            <v>SN0844-3XL</v>
          </cell>
          <cell r="B4515" t="str">
            <v>N844</v>
          </cell>
          <cell r="C4515" t="str">
            <v>ซาติน แขนสั้นขาสั้น ดอกไม้แมงกระพรุน ขอบม่วง 3XL</v>
          </cell>
        </row>
        <row r="4516">
          <cell r="A4516" t="str">
            <v>SN0844-L</v>
          </cell>
          <cell r="B4516" t="str">
            <v>N844</v>
          </cell>
          <cell r="C4516" t="str">
            <v>ซาติน แขนสั้นขาสั้น ดอกไม้แมงกระพรุน ขอบม่วง L</v>
          </cell>
        </row>
        <row r="4517">
          <cell r="A4517" t="str">
            <v>SN0844-M</v>
          </cell>
          <cell r="B4517" t="str">
            <v>N844</v>
          </cell>
          <cell r="C4517" t="str">
            <v>ซาติน แขนสั้นขาสั้น ดอกไม้แมงกระพรุน ขอบม่วง M</v>
          </cell>
        </row>
        <row r="4518">
          <cell r="A4518" t="str">
            <v>SN0844-XL</v>
          </cell>
          <cell r="B4518" t="str">
            <v>N844</v>
          </cell>
          <cell r="C4518" t="str">
            <v>ซาติน แขนสั้นขาสั้น ดอกไม้แมงกระพรุน ขอบม่วง XL</v>
          </cell>
        </row>
        <row r="4519">
          <cell r="A4519" t="str">
            <v>SN0845-L</v>
          </cell>
          <cell r="B4519" t="str">
            <v>N845</v>
          </cell>
          <cell r="C4519" t="str">
            <v>ซาติน แขนสั้นขาสั้น ดอกไม้ประ ขอบส้ม พื้นครีม L</v>
          </cell>
        </row>
        <row r="4520">
          <cell r="A4520" t="str">
            <v>SN0845-M</v>
          </cell>
          <cell r="B4520" t="str">
            <v>N845</v>
          </cell>
          <cell r="C4520" t="str">
            <v>ซาติน แขนสั้นขาสั้น ดอกไม้ประ ขอบส้ม พื้นครีม M</v>
          </cell>
        </row>
        <row r="4521">
          <cell r="A4521" t="str">
            <v>SN0845-XL</v>
          </cell>
          <cell r="B4521" t="str">
            <v>N845</v>
          </cell>
          <cell r="C4521" t="str">
            <v>ซาติน แขนสั้นขาสั้น ดอกไม้ประ ขอบส้ม พื้นครีม XL</v>
          </cell>
        </row>
        <row r="4522">
          <cell r="A4522" t="str">
            <v>SN0853-2XL</v>
          </cell>
          <cell r="B4522" t="str">
            <v>N853</v>
          </cell>
          <cell r="C4522" t="str">
            <v>ซาติน แขนสั้นขาสั้น พื้นดำ ดอกไม้เหลือง 2XL</v>
          </cell>
        </row>
        <row r="4523">
          <cell r="A4523" t="str">
            <v>SN0853-L</v>
          </cell>
          <cell r="B4523" t="str">
            <v>N853</v>
          </cell>
          <cell r="C4523" t="str">
            <v>ซาติน แขนสั้นขาสั้น พื้นดำ ดอกไม้เหลือง L</v>
          </cell>
        </row>
        <row r="4524">
          <cell r="A4524" t="str">
            <v>SN0853-M</v>
          </cell>
          <cell r="B4524" t="str">
            <v>N853</v>
          </cell>
          <cell r="C4524" t="str">
            <v>ซาติน แขนสั้นขาสั้น พื้นดำ ดอกไม้เหลือง M</v>
          </cell>
        </row>
        <row r="4525">
          <cell r="A4525" t="str">
            <v>SN0853-XL</v>
          </cell>
          <cell r="B4525" t="str">
            <v>N853</v>
          </cell>
          <cell r="C4525" t="str">
            <v>ซาติน แขนสั้นขาสั้น พื้นดำ ดอกไม้เหลือง XL</v>
          </cell>
        </row>
        <row r="4526">
          <cell r="A4526" t="str">
            <v>SN0856-L</v>
          </cell>
          <cell r="B4526" t="str">
            <v>N856</v>
          </cell>
          <cell r="C4526" t="str">
            <v>ซาติน แขนสั้นขาสั้น โซ่ ลายทาง L</v>
          </cell>
        </row>
        <row r="4527">
          <cell r="A4527" t="str">
            <v>SN0856-M</v>
          </cell>
          <cell r="B4527" t="str">
            <v>N856</v>
          </cell>
          <cell r="C4527" t="str">
            <v>ซาติน แขนสั้นขาสั้น โซ่ ลายทาง M</v>
          </cell>
        </row>
        <row r="4528">
          <cell r="A4528" t="str">
            <v>SN0856-XL</v>
          </cell>
          <cell r="B4528" t="str">
            <v>N856</v>
          </cell>
          <cell r="C4528" t="str">
            <v>ซาติน แขนสั้นขาสั้น โซ่ ลายทาง XL</v>
          </cell>
        </row>
        <row r="4529">
          <cell r="A4529" t="str">
            <v>SN0857-2XL</v>
          </cell>
          <cell r="B4529" t="str">
            <v>N857</v>
          </cell>
          <cell r="C4529" t="str">
            <v>ซาติน แขนสั้นขาสั้น White Forest 2XL</v>
          </cell>
        </row>
        <row r="4530">
          <cell r="A4530" t="str">
            <v>SN0857-3XL</v>
          </cell>
          <cell r="B4530" t="str">
            <v>N857</v>
          </cell>
          <cell r="C4530" t="str">
            <v>ซาติน แขนสั้นขาสั้น White Forest 3XL</v>
          </cell>
        </row>
        <row r="4531">
          <cell r="A4531" t="str">
            <v>SN0857-L</v>
          </cell>
          <cell r="B4531" t="str">
            <v>N857</v>
          </cell>
          <cell r="C4531" t="str">
            <v>ซาติน แขนสั้นขาสั้น White Forest L</v>
          </cell>
        </row>
        <row r="4532">
          <cell r="A4532" t="str">
            <v>SN0857-M</v>
          </cell>
          <cell r="B4532" t="str">
            <v>N857</v>
          </cell>
          <cell r="C4532" t="str">
            <v>ซาติน แขนสั้นขาสั้น White Forest M</v>
          </cell>
        </row>
        <row r="4533">
          <cell r="A4533" t="str">
            <v>SN0857-XL</v>
          </cell>
          <cell r="B4533" t="str">
            <v>N857</v>
          </cell>
          <cell r="C4533" t="str">
            <v>ซาติน แขนสั้นขาสั้น White Forest XL</v>
          </cell>
        </row>
        <row r="4534">
          <cell r="A4534" t="str">
            <v>SN0862-2XL</v>
          </cell>
          <cell r="B4534" t="str">
            <v>N862</v>
          </cell>
          <cell r="C4534" t="str">
            <v>ซาติน แขนสั้นขาสั้น Blue Comic 2XL</v>
          </cell>
        </row>
        <row r="4535">
          <cell r="A4535" t="str">
            <v>SN0862-3XL</v>
          </cell>
          <cell r="B4535" t="str">
            <v>N862</v>
          </cell>
          <cell r="C4535" t="str">
            <v>ซาติน แขนสั้นขาสั้น Blue Comic 3XL</v>
          </cell>
        </row>
        <row r="4536">
          <cell r="A4536" t="str">
            <v>SN0862-L</v>
          </cell>
          <cell r="B4536" t="str">
            <v>N862</v>
          </cell>
          <cell r="C4536" t="str">
            <v>ซาติน แขนสั้นขาสั้น Blue Comic L</v>
          </cell>
        </row>
        <row r="4537">
          <cell r="A4537" t="str">
            <v>SN0862-M</v>
          </cell>
          <cell r="B4537" t="str">
            <v>N862</v>
          </cell>
          <cell r="C4537" t="str">
            <v>ซาติน แขนสั้นขาสั้น Blue Comic M</v>
          </cell>
        </row>
        <row r="4538">
          <cell r="A4538" t="str">
            <v>SN0862-XL</v>
          </cell>
          <cell r="B4538" t="str">
            <v>N862</v>
          </cell>
          <cell r="C4538" t="str">
            <v>ซาติน แขนสั้นขาสั้น Blue Comic XL</v>
          </cell>
        </row>
        <row r="4539">
          <cell r="A4539" t="str">
            <v>SN0864-2XL</v>
          </cell>
          <cell r="B4539" t="str">
            <v>N864</v>
          </cell>
          <cell r="C4539" t="str">
            <v>ซาติน แขนสั้นขาสั้น Pangea 2XL</v>
          </cell>
        </row>
        <row r="4540">
          <cell r="A4540" t="str">
            <v>SN0864-3XL</v>
          </cell>
          <cell r="B4540" t="str">
            <v>N864</v>
          </cell>
          <cell r="C4540" t="str">
            <v>ซาติน แขนสั้นขาสั้น Pangea 3XL</v>
          </cell>
        </row>
        <row r="4541">
          <cell r="A4541" t="str">
            <v>SN0864-L</v>
          </cell>
          <cell r="B4541" t="str">
            <v>N864</v>
          </cell>
          <cell r="C4541" t="str">
            <v>ซาติน แขนสั้นขาสั้น Pangea L</v>
          </cell>
        </row>
        <row r="4542">
          <cell r="A4542" t="str">
            <v>SN0864-M</v>
          </cell>
          <cell r="B4542" t="str">
            <v>N864</v>
          </cell>
          <cell r="C4542" t="str">
            <v>ซาติน แขนสั้นขาสั้น Pangea M</v>
          </cell>
        </row>
        <row r="4543">
          <cell r="A4543" t="str">
            <v>SN0864-XL</v>
          </cell>
          <cell r="B4543" t="str">
            <v>N864</v>
          </cell>
          <cell r="C4543" t="str">
            <v>ซาติน แขนสั้นขาสั้น Pangea XL</v>
          </cell>
        </row>
        <row r="4544">
          <cell r="A4544" t="str">
            <v>SN0867-2XL</v>
          </cell>
          <cell r="B4544" t="str">
            <v>N867</v>
          </cell>
          <cell r="C4544" t="str">
            <v>ซาติน แขนสั้นขาสั้น สวนหลังบ้าน คอปกส้ม 2XL</v>
          </cell>
        </row>
        <row r="4545">
          <cell r="A4545" t="str">
            <v>SN0867-3XL</v>
          </cell>
          <cell r="B4545" t="str">
            <v>N867</v>
          </cell>
          <cell r="C4545" t="str">
            <v>ซาติน แขนสั้นขาสั้น สวนหลังบ้าน คอปกส้ม 3XL</v>
          </cell>
        </row>
        <row r="4546">
          <cell r="A4546" t="str">
            <v>SN0867-L</v>
          </cell>
          <cell r="B4546" t="str">
            <v>N867</v>
          </cell>
          <cell r="C4546" t="str">
            <v>ซาติน แขนสั้นขาสั้น สวนหลังบ้าน คอปกส้ม L</v>
          </cell>
        </row>
        <row r="4547">
          <cell r="A4547" t="str">
            <v>SN0867-M</v>
          </cell>
          <cell r="B4547" t="str">
            <v>N867</v>
          </cell>
          <cell r="C4547" t="str">
            <v>ซาติน แขนสั้นขาสั้น สวนหลังบ้าน คอปกส้ม M</v>
          </cell>
        </row>
        <row r="4548">
          <cell r="A4548" t="str">
            <v>SN0867-XL</v>
          </cell>
          <cell r="B4548" t="str">
            <v>N867</v>
          </cell>
          <cell r="C4548" t="str">
            <v>ซาติน แขนสั้นขาสั้น สวนหลังบ้าน คอปกส้ม XL</v>
          </cell>
        </row>
        <row r="4549">
          <cell r="A4549" t="str">
            <v>SN0869-2XL</v>
          </cell>
          <cell r="B4549" t="str">
            <v>N869</v>
          </cell>
          <cell r="C4549" t="str">
            <v>ซาติน แขนสั้นขาสั้น เกสรดอกไม้ คอปก 2XL</v>
          </cell>
        </row>
        <row r="4550">
          <cell r="A4550" t="str">
            <v>SN0869-L</v>
          </cell>
          <cell r="B4550" t="str">
            <v>N869</v>
          </cell>
          <cell r="C4550" t="str">
            <v>ซาติน แขนสั้นขาสั้น เกสรดอกไม้ คอปก L</v>
          </cell>
        </row>
        <row r="4551">
          <cell r="A4551" t="str">
            <v>SN0869-M</v>
          </cell>
          <cell r="B4551" t="str">
            <v>N869</v>
          </cell>
          <cell r="C4551" t="str">
            <v>ซาติน แขนสั้นขาสั้น เกสรดอกไม้ คอปก M</v>
          </cell>
        </row>
        <row r="4552">
          <cell r="A4552" t="str">
            <v>SN0869-XL</v>
          </cell>
          <cell r="B4552" t="str">
            <v>N869</v>
          </cell>
          <cell r="C4552" t="str">
            <v>ซาติน แขนสั้นขาสั้น เกสรดอกไม้ คอปก XL</v>
          </cell>
        </row>
        <row r="4553">
          <cell r="A4553" t="str">
            <v>SN0881-2XL</v>
          </cell>
          <cell r="B4553" t="str">
            <v>N881</v>
          </cell>
          <cell r="C4553" t="str">
            <v>ซาติน แขนสั้นขาสั้น ดอกไม้ใต้ทะเล ปกชมพู 2XL</v>
          </cell>
        </row>
        <row r="4554">
          <cell r="A4554" t="str">
            <v>SN0881-3XL</v>
          </cell>
          <cell r="B4554" t="str">
            <v>N881</v>
          </cell>
          <cell r="C4554" t="str">
            <v>ซาติน แขนสั้นขาสั้น ดอกไม้ใต้ทะเล ปกชมพู 3XL</v>
          </cell>
        </row>
        <row r="4555">
          <cell r="A4555" t="str">
            <v>SN0881-L</v>
          </cell>
          <cell r="B4555" t="str">
            <v>N881</v>
          </cell>
          <cell r="C4555" t="str">
            <v>ซาติน แขนสั้นขาสั้น ดอกไม้ใต้ทะเล ปกชมพู L</v>
          </cell>
        </row>
        <row r="4556">
          <cell r="A4556" t="str">
            <v>SN0881-M</v>
          </cell>
          <cell r="B4556" t="str">
            <v>N881</v>
          </cell>
          <cell r="C4556" t="str">
            <v>ซาติน แขนสั้นขาสั้น ดอกไม้ใต้ทะเล ปกชมพู M</v>
          </cell>
        </row>
        <row r="4557">
          <cell r="A4557" t="str">
            <v>SN0881-XL</v>
          </cell>
          <cell r="B4557" t="str">
            <v>N881</v>
          </cell>
          <cell r="C4557" t="str">
            <v>ซาติน แขนสั้นขาสั้น ดอกไม้ใต้ทะเล ปกชมพู XL</v>
          </cell>
        </row>
        <row r="4558">
          <cell r="A4558" t="str">
            <v>SN0882-2XL</v>
          </cell>
          <cell r="B4558" t="str">
            <v>N882</v>
          </cell>
          <cell r="C4558" t="str">
            <v>ซาติน แขนสั้นขาสั้น กุหลาบและผีเสื้อ พื้นครีม 2XL</v>
          </cell>
        </row>
        <row r="4559">
          <cell r="A4559" t="str">
            <v>SN0882-3XL</v>
          </cell>
          <cell r="B4559" t="str">
            <v>N882</v>
          </cell>
          <cell r="C4559" t="str">
            <v>ซาติน แขนสั้นขาสั้น กุหลาบและผีเสื้อ พื้นครีม 3XL</v>
          </cell>
        </row>
        <row r="4560">
          <cell r="A4560" t="str">
            <v>SN0882-L</v>
          </cell>
          <cell r="B4560" t="str">
            <v>N882</v>
          </cell>
          <cell r="C4560" t="str">
            <v>ซาติน แขนสั้นขาสั้น กุหลาบและผีเสื้อ พื้นครีม L</v>
          </cell>
        </row>
        <row r="4561">
          <cell r="A4561" t="str">
            <v>SN0882-M</v>
          </cell>
          <cell r="B4561" t="str">
            <v>N882</v>
          </cell>
          <cell r="C4561" t="str">
            <v>ซาติน แขนสั้นขาสั้น กุหลาบและผีเสื้อ พื้นครีม M</v>
          </cell>
        </row>
        <row r="4562">
          <cell r="A4562" t="str">
            <v>SN0882-XL</v>
          </cell>
          <cell r="B4562" t="str">
            <v>N882</v>
          </cell>
          <cell r="C4562" t="str">
            <v>ซาติน แขนสั้นขาสั้น กุหลาบและผีเสื้อ พื้นครีม XL</v>
          </cell>
        </row>
        <row r="4563">
          <cell r="A4563" t="str">
            <v>SN0883-2XL</v>
          </cell>
          <cell r="B4563" t="str">
            <v>N883</v>
          </cell>
          <cell r="C4563" t="str">
            <v>ซาติน แขนสั้นขาสั้น Pinky Flowers 2XL</v>
          </cell>
        </row>
        <row r="4564">
          <cell r="A4564" t="str">
            <v>SN0883-3XL</v>
          </cell>
          <cell r="B4564" t="str">
            <v>N883</v>
          </cell>
          <cell r="C4564" t="str">
            <v>ซาติน แขนสั้นขาสั้น Pinky Flowers 3XL</v>
          </cell>
        </row>
        <row r="4565">
          <cell r="A4565" t="str">
            <v>SN0883-L</v>
          </cell>
          <cell r="B4565" t="str">
            <v>N883</v>
          </cell>
          <cell r="C4565" t="str">
            <v>ซาติน แขนสั้นขาสั้น Pinky Flowers L</v>
          </cell>
        </row>
        <row r="4566">
          <cell r="A4566" t="str">
            <v>SN0883-M</v>
          </cell>
          <cell r="B4566" t="str">
            <v>N883</v>
          </cell>
          <cell r="C4566" t="str">
            <v>ซาติน แขนสั้นขาสั้น Pinky Flowers M</v>
          </cell>
        </row>
        <row r="4567">
          <cell r="A4567" t="str">
            <v>SN0883-XL</v>
          </cell>
          <cell r="B4567" t="str">
            <v>N883</v>
          </cell>
          <cell r="C4567" t="str">
            <v>ซาติน แขนสั้นขาสั้น Pinky Flowers XL</v>
          </cell>
        </row>
        <row r="4568">
          <cell r="A4568" t="str">
            <v>SN0884-2XL</v>
          </cell>
          <cell r="B4568" t="str">
            <v>N884</v>
          </cell>
          <cell r="C4568" t="str">
            <v>ซาติน แขนสั้นขาสั้น สวนดอกไม้ พื้นเขียว 2XL</v>
          </cell>
        </row>
        <row r="4569">
          <cell r="A4569" t="str">
            <v>SN0884-3XL</v>
          </cell>
          <cell r="B4569" t="str">
            <v>N884</v>
          </cell>
          <cell r="C4569" t="str">
            <v>ซาติน แขนสั้นขาสั้น สวนดอกไม้ พื้นเขียว 3XL</v>
          </cell>
        </row>
        <row r="4570">
          <cell r="A4570" t="str">
            <v>SN0884-L</v>
          </cell>
          <cell r="B4570" t="str">
            <v>N884</v>
          </cell>
          <cell r="C4570" t="str">
            <v>ซาติน แขนสั้นขาสั้น สวนดอกไม้ พื้นเขียว  L</v>
          </cell>
        </row>
        <row r="4571">
          <cell r="A4571" t="str">
            <v>SN0884-M</v>
          </cell>
          <cell r="B4571" t="str">
            <v>N884</v>
          </cell>
          <cell r="C4571" t="str">
            <v>ซาติน แขนสั้นขาสั้น สวนดอกไม้ พื้นเขียว M</v>
          </cell>
        </row>
        <row r="4572">
          <cell r="A4572" t="str">
            <v>SN0884-XL</v>
          </cell>
          <cell r="B4572" t="str">
            <v>N884</v>
          </cell>
          <cell r="C4572" t="str">
            <v>ซาติน แขนสั้นขาสั้น สวนดอกไม้ พื้นเขียว XL</v>
          </cell>
        </row>
        <row r="4573">
          <cell r="A4573" t="str">
            <v>SN0904-2XL</v>
          </cell>
          <cell r="B4573" t="str">
            <v>N904</v>
          </cell>
          <cell r="C4573" t="str">
            <v>ซาติน แขนสั้นขาสั้น Blue Pink Rose 2XL</v>
          </cell>
        </row>
        <row r="4574">
          <cell r="A4574" t="str">
            <v>SN0904-3XL</v>
          </cell>
          <cell r="B4574" t="str">
            <v>N904</v>
          </cell>
          <cell r="C4574" t="str">
            <v>ซาติน แขนสั้นขาสั้น Blue Pink Rose 3XL</v>
          </cell>
        </row>
        <row r="4575">
          <cell r="A4575" t="str">
            <v>SN0904-L</v>
          </cell>
          <cell r="B4575" t="str">
            <v>N904</v>
          </cell>
          <cell r="C4575" t="str">
            <v>ซาติน แขนสั้นขาสั้น Blue Pink Rose L</v>
          </cell>
        </row>
        <row r="4576">
          <cell r="A4576" t="str">
            <v>SN0904-M</v>
          </cell>
          <cell r="B4576" t="str">
            <v>N904</v>
          </cell>
          <cell r="C4576" t="str">
            <v>ซาติน แขนสั้นขาสั้น Blue Pink Rose M</v>
          </cell>
        </row>
        <row r="4577">
          <cell r="A4577" t="str">
            <v>SN0904-XL</v>
          </cell>
          <cell r="B4577" t="str">
            <v>N904</v>
          </cell>
          <cell r="C4577" t="str">
            <v>ซาติน แขนสั้นขาสั้น Blue Pink Rose XL</v>
          </cell>
        </row>
        <row r="4578">
          <cell r="A4578" t="str">
            <v>SN0905-2XL</v>
          </cell>
          <cell r="B4578" t="str">
            <v>N905</v>
          </cell>
          <cell r="C4578" t="str">
            <v>ซาติน แขนสั้นขาสั้น Classic Clock พื้นครีม 2XL</v>
          </cell>
        </row>
        <row r="4579">
          <cell r="A4579" t="str">
            <v>SN0905-3XL</v>
          </cell>
          <cell r="B4579" t="str">
            <v>N905</v>
          </cell>
          <cell r="C4579" t="str">
            <v>ซาติน แขนสั้นขาสั้น Classic Clock พื้นครีม 3XL</v>
          </cell>
        </row>
        <row r="4580">
          <cell r="A4580" t="str">
            <v>SN0905-L</v>
          </cell>
          <cell r="B4580" t="str">
            <v>N905</v>
          </cell>
          <cell r="C4580" t="str">
            <v>ซาติน แขนสั้นขาสั้น Classic Clock พื้นครีม L</v>
          </cell>
        </row>
        <row r="4581">
          <cell r="A4581" t="str">
            <v>SN0905-M</v>
          </cell>
          <cell r="B4581" t="str">
            <v>N905</v>
          </cell>
          <cell r="C4581" t="str">
            <v>ซาติน แขนสั้นขาสั้น Classic Clock พื้นครีม M</v>
          </cell>
        </row>
        <row r="4582">
          <cell r="A4582" t="str">
            <v>SN0905-XL</v>
          </cell>
          <cell r="B4582" t="str">
            <v>N905</v>
          </cell>
          <cell r="C4582" t="str">
            <v>ซาติน แขนสั้นขาสั้น Classic Clock พื้นครีม XL</v>
          </cell>
        </row>
        <row r="4583">
          <cell r="A4583" t="str">
            <v>SN0909-L</v>
          </cell>
          <cell r="B4583" t="str">
            <v>N909</v>
          </cell>
          <cell r="C4583" t="str">
            <v>ซาติน แขนสั้นขาสั้น ลูกกวาด พื้นม่วง คอระบาย L (กปก)</v>
          </cell>
        </row>
        <row r="4584">
          <cell r="A4584" t="str">
            <v>SN0909-M</v>
          </cell>
          <cell r="B4584" t="str">
            <v>N909</v>
          </cell>
          <cell r="C4584" t="str">
            <v>ซาติน แขนสั้นขาสั้น ลูกกวาด พื้นม่วง คอระบาย M (กปก)</v>
          </cell>
        </row>
        <row r="4585">
          <cell r="A4585" t="str">
            <v>SN0910-L</v>
          </cell>
          <cell r="B4585" t="str">
            <v>N910</v>
          </cell>
          <cell r="C4585" t="str">
            <v>ซาติน แขนสั้นขาสั้น ลูกโป่ง พื้นชมพู คอระบาย L (กปก)</v>
          </cell>
        </row>
        <row r="4586">
          <cell r="A4586" t="str">
            <v>SN0910-M</v>
          </cell>
          <cell r="B4586" t="str">
            <v>N910</v>
          </cell>
          <cell r="C4586" t="str">
            <v>ซาติน แขนสั้นขาสั้น ลูกโป่ง พื้นชมพู คอระบาย M (กปก)</v>
          </cell>
        </row>
        <row r="4587">
          <cell r="A4587" t="str">
            <v>SN0911-L</v>
          </cell>
          <cell r="B4587" t="str">
            <v>N911</v>
          </cell>
          <cell r="C4587" t="str">
            <v>ซาติน แขนสั้นขาสั้น Dough Bear พื้นขาว L (กปก)</v>
          </cell>
        </row>
        <row r="4588">
          <cell r="A4588" t="str">
            <v>SN0911-M</v>
          </cell>
          <cell r="B4588" t="str">
            <v>N911</v>
          </cell>
          <cell r="C4588" t="str">
            <v>ซาติน แขนสั้นขาสั้น Dough Bear พื้นขาว M (กปก)</v>
          </cell>
        </row>
        <row r="4589">
          <cell r="A4589" t="str">
            <v>SN0912-L</v>
          </cell>
          <cell r="B4589" t="str">
            <v>N912</v>
          </cell>
          <cell r="C4589" t="str">
            <v>ซาติน แขนสั้นขาสั้น Dough Bear พื้นครีม L (กปก)</v>
          </cell>
        </row>
        <row r="4590">
          <cell r="A4590" t="str">
            <v>SN0912-M</v>
          </cell>
          <cell r="B4590" t="str">
            <v>N912</v>
          </cell>
          <cell r="C4590" t="str">
            <v>ซาติน แขนสั้นขาสั้น Dough Bear พื้นครีม M (กปก)</v>
          </cell>
        </row>
        <row r="4591">
          <cell r="A4591" t="str">
            <v>SN0920-2XL</v>
          </cell>
          <cell r="B4591" t="str">
            <v>N920</v>
          </cell>
          <cell r="C4591" t="str">
            <v>ซาติน แขนสั้นขาสั้น Butterfly พื้นเขียว 2XL</v>
          </cell>
        </row>
        <row r="4592">
          <cell r="A4592" t="str">
            <v>SN0920-L</v>
          </cell>
          <cell r="B4592" t="str">
            <v>N920</v>
          </cell>
          <cell r="C4592" t="str">
            <v>ซาติน แขนสั้นขาสั้น Butterfly พื้นเขียว L</v>
          </cell>
        </row>
        <row r="4593">
          <cell r="A4593" t="str">
            <v>SN0920-M</v>
          </cell>
          <cell r="B4593" t="str">
            <v>N920</v>
          </cell>
          <cell r="C4593" t="str">
            <v>ซาติน แขนสั้นขาสั้น Butterfly พื้นเขียว M</v>
          </cell>
        </row>
        <row r="4594">
          <cell r="A4594" t="str">
            <v>SN0920-XL</v>
          </cell>
          <cell r="B4594" t="str">
            <v>N920</v>
          </cell>
          <cell r="C4594" t="str">
            <v>ซาติน แขนสั้นขาสั้น Butterfly พื้นเขียว XL</v>
          </cell>
        </row>
        <row r="4595">
          <cell r="A4595" t="str">
            <v>SN0921-2XL</v>
          </cell>
          <cell r="B4595" t="str">
            <v>N921</v>
          </cell>
          <cell r="C4595" t="str">
            <v>ซาติน แขนสั้นขาสั้น Butterfly พื้นครีม 2XL</v>
          </cell>
        </row>
        <row r="4596">
          <cell r="A4596" t="str">
            <v>SN0921-L</v>
          </cell>
          <cell r="B4596" t="str">
            <v>N921</v>
          </cell>
          <cell r="C4596" t="str">
            <v>ซาติน แขนสั้นขาสั้น Butterfly พื้นครีม L</v>
          </cell>
        </row>
        <row r="4597">
          <cell r="A4597" t="str">
            <v>SN0921-M</v>
          </cell>
          <cell r="B4597" t="str">
            <v>N921</v>
          </cell>
          <cell r="C4597" t="str">
            <v>ซาติน แขนสั้นขาสั้น Butterfly พื้นครีม M</v>
          </cell>
        </row>
        <row r="4598">
          <cell r="A4598" t="str">
            <v>SN0921-XL</v>
          </cell>
          <cell r="B4598" t="str">
            <v>N921</v>
          </cell>
          <cell r="C4598" t="str">
            <v>ซาติน แขนสั้นขาสั้น Butterfly พื้นครีม XL</v>
          </cell>
        </row>
        <row r="4599">
          <cell r="A4599" t="str">
            <v>SN0922-2XL</v>
          </cell>
          <cell r="B4599" t="str">
            <v>N922</v>
          </cell>
          <cell r="C4599" t="str">
            <v>ซาติน แขนสั้นขาสั้น Bird Orchid พื้นขาว 2XL</v>
          </cell>
        </row>
        <row r="4600">
          <cell r="A4600" t="str">
            <v>SN0922-L</v>
          </cell>
          <cell r="B4600" t="str">
            <v>N922</v>
          </cell>
          <cell r="C4600" t="str">
            <v>ซาติน แขนสั้นขาสั้น Bird Orchid พื้นขาว L</v>
          </cell>
        </row>
        <row r="4601">
          <cell r="A4601" t="str">
            <v>SN0922-M</v>
          </cell>
          <cell r="B4601" t="str">
            <v>N922</v>
          </cell>
          <cell r="C4601" t="str">
            <v>ซาติน แขนสั้นขาสั้น Bird Orchid พื้นขาว M</v>
          </cell>
        </row>
        <row r="4602">
          <cell r="A4602" t="str">
            <v>SN0922-XL</v>
          </cell>
          <cell r="B4602" t="str">
            <v>N922</v>
          </cell>
          <cell r="C4602" t="str">
            <v>ซาติน แขนสั้นขาสั้น Bird Orchid พื้นขาว XL</v>
          </cell>
        </row>
        <row r="4603">
          <cell r="A4603" t="str">
            <v>SN0923-2XL</v>
          </cell>
          <cell r="B4603" t="str">
            <v>N923</v>
          </cell>
          <cell r="C4603" t="str">
            <v>ซาติน แขนสั้นขาสั้น Jungle Cruise ดำ 2XL  (กปก)</v>
          </cell>
        </row>
        <row r="4604">
          <cell r="A4604" t="str">
            <v>SN0923-3XL</v>
          </cell>
          <cell r="B4604" t="str">
            <v>N923</v>
          </cell>
          <cell r="C4604" t="str">
            <v>ซาติน แขนสั้นขาสั้น Jungle Cruise ดำ 3XL  (กปก)</v>
          </cell>
        </row>
        <row r="4605">
          <cell r="A4605" t="str">
            <v>SN0923-L</v>
          </cell>
          <cell r="B4605" t="str">
            <v>N923</v>
          </cell>
          <cell r="C4605" t="str">
            <v>ซาติน แขนสั้นขาสั้น Jungle Cruise ดำ L (กปก)</v>
          </cell>
        </row>
        <row r="4606">
          <cell r="A4606" t="str">
            <v>SN0923-M</v>
          </cell>
          <cell r="B4606" t="str">
            <v>N923</v>
          </cell>
          <cell r="C4606" t="str">
            <v>ซาติน แขนสั้นขาสั้น Jungle Cruise ดำ M (กปก)</v>
          </cell>
        </row>
        <row r="4607">
          <cell r="A4607" t="str">
            <v>SN0923-XL</v>
          </cell>
          <cell r="B4607" t="str">
            <v>N923</v>
          </cell>
          <cell r="C4607" t="str">
            <v>ซาติน แขนสั้นขาสั้น Jungle Cruise ดำ XL (กปก)</v>
          </cell>
        </row>
        <row r="4608">
          <cell r="A4608" t="str">
            <v>SN0924-2XL</v>
          </cell>
          <cell r="B4608" t="str">
            <v>N924</v>
          </cell>
          <cell r="C4608" t="str">
            <v>ซาติน แขนสั้นขาสั้น Jungle Cruise ครีม 2XL  (กปก)</v>
          </cell>
        </row>
        <row r="4609">
          <cell r="A4609" t="str">
            <v>SN0924-3XL</v>
          </cell>
          <cell r="B4609" t="str">
            <v>N924</v>
          </cell>
          <cell r="C4609" t="str">
            <v>ซาติน แขนสั้นขาสั้น Jungle Cruise ครีม 3XL  (กปก)</v>
          </cell>
        </row>
        <row r="4610">
          <cell r="A4610" t="str">
            <v>SN0924-L</v>
          </cell>
          <cell r="B4610" t="str">
            <v>N924</v>
          </cell>
          <cell r="C4610" t="str">
            <v>ซาติน แขนสั้นขาสั้น Jungle Cruise ครีม L (กปก)</v>
          </cell>
        </row>
        <row r="4611">
          <cell r="A4611" t="str">
            <v>SN0924-M</v>
          </cell>
          <cell r="B4611" t="str">
            <v>N924</v>
          </cell>
          <cell r="C4611" t="str">
            <v>ซาติน แขนสั้นขาสั้น Jungle Cruise ครีม M (กปก)</v>
          </cell>
        </row>
        <row r="4612">
          <cell r="A4612" t="str">
            <v>SN0924-XL</v>
          </cell>
          <cell r="B4612" t="str">
            <v>N924</v>
          </cell>
          <cell r="C4612" t="str">
            <v>ซาติน แขนสั้นขาสั้น Jungle Cruise ครีม XL (กปก)</v>
          </cell>
        </row>
        <row r="4613">
          <cell r="A4613" t="str">
            <v>SN0925-2XL</v>
          </cell>
          <cell r="B4613" t="str">
            <v>N925</v>
          </cell>
          <cell r="C4613" t="str">
            <v>ซาติน แขนสั้นขาสั้น Bird Orchid พื้นเขียว 2XL</v>
          </cell>
        </row>
        <row r="4614">
          <cell r="A4614" t="str">
            <v>SN0925-L</v>
          </cell>
          <cell r="B4614" t="str">
            <v>N925</v>
          </cell>
          <cell r="C4614" t="str">
            <v>ซาติน แขนสั้นขาสั้น Bird Orchid พื้นเขียว L</v>
          </cell>
        </row>
        <row r="4615">
          <cell r="A4615" t="str">
            <v>SN0925-M</v>
          </cell>
          <cell r="B4615" t="str">
            <v>N925</v>
          </cell>
          <cell r="C4615" t="str">
            <v>ซาติน แขนสั้นขาสั้น Bird Orchid พื้นเขียว M</v>
          </cell>
        </row>
        <row r="4616">
          <cell r="A4616" t="str">
            <v>SN0925-XL</v>
          </cell>
          <cell r="B4616" t="str">
            <v>N925</v>
          </cell>
          <cell r="C4616" t="str">
            <v>ซาติน แขนสั้นขาสั้น Bird Orchid พื้นเขียว XL</v>
          </cell>
        </row>
        <row r="4617">
          <cell r="A4617" t="str">
            <v>SN0926-2XL</v>
          </cell>
          <cell r="B4617" t="str">
            <v>N926</v>
          </cell>
          <cell r="C4617" t="str">
            <v>ซาติน แขนสั้นขาสั้น พื้นกรม ลายม้าลาย 2XL (กปก)</v>
          </cell>
        </row>
        <row r="4618">
          <cell r="A4618" t="str">
            <v>SN0926-3XL</v>
          </cell>
          <cell r="B4618" t="str">
            <v>N926</v>
          </cell>
          <cell r="C4618" t="str">
            <v>ซาติน แขนสั้นขาสั้น พื้นกรม ลายม้าลาย 3XL (กปก)</v>
          </cell>
        </row>
        <row r="4619">
          <cell r="A4619" t="str">
            <v>SN0926-L</v>
          </cell>
          <cell r="B4619" t="str">
            <v>N926</v>
          </cell>
          <cell r="C4619" t="str">
            <v>ซาติน แขนสั้นขาสั้น พื้นกรม ลายม้าลาย L (กปก)</v>
          </cell>
        </row>
        <row r="4620">
          <cell r="A4620" t="str">
            <v>SN0926-M</v>
          </cell>
          <cell r="B4620" t="str">
            <v>N926</v>
          </cell>
          <cell r="C4620" t="str">
            <v>ซาติน แขนสั้นขาสั้น พื้นกรม ลายม้าลาย M (กปก)</v>
          </cell>
        </row>
        <row r="4621">
          <cell r="A4621" t="str">
            <v>SN0926-XL</v>
          </cell>
          <cell r="B4621" t="str">
            <v>N926</v>
          </cell>
          <cell r="C4621" t="str">
            <v>ซาติน แขนสั้นขาสั้น พื้นกรม ลายม้าลาย XL (กปก)</v>
          </cell>
        </row>
        <row r="4622">
          <cell r="A4622" t="str">
            <v>SN0936-2XL</v>
          </cell>
          <cell r="B4622" t="str">
            <v>N936</v>
          </cell>
          <cell r="C4622" t="str">
            <v>ซาติน แขนสั้นขาสั้น Balloon Cat พื้นชมพู 2XL (กปก)</v>
          </cell>
        </row>
        <row r="4623">
          <cell r="A4623" t="str">
            <v>SN0936-3XL</v>
          </cell>
          <cell r="B4623" t="str">
            <v>N936</v>
          </cell>
          <cell r="C4623" t="str">
            <v>ซาติน แขนสั้นขาสั้น Balloon Cat พื้นชมพู 3XL (กปก)</v>
          </cell>
        </row>
        <row r="4624">
          <cell r="A4624" t="str">
            <v>SN0936-L</v>
          </cell>
          <cell r="B4624" t="str">
            <v>N936</v>
          </cell>
          <cell r="C4624" t="str">
            <v>ซาติน แขนสั้นขาสั้น Balloon Cat พื้นชมพู L (กปก)</v>
          </cell>
        </row>
        <row r="4625">
          <cell r="A4625" t="str">
            <v>SN0936-M</v>
          </cell>
          <cell r="B4625" t="str">
            <v>N936</v>
          </cell>
          <cell r="C4625" t="str">
            <v>ซาติน แขนสั้นขาสั้น Balloon Cat พื้นชมพู M (กปก)</v>
          </cell>
        </row>
        <row r="4626">
          <cell r="A4626" t="str">
            <v>SN0936-XL</v>
          </cell>
          <cell r="B4626" t="str">
            <v>N936</v>
          </cell>
          <cell r="C4626" t="str">
            <v>ซาติน แขนสั้นขาสั้น Balloon Cat พื้นชมพู XL (กปก)</v>
          </cell>
        </row>
        <row r="4627">
          <cell r="A4627" t="str">
            <v>SN0951-L</v>
          </cell>
          <cell r="B4627" t="str">
            <v>N951</v>
          </cell>
          <cell r="C4627" t="str">
            <v>ซาติน แขนสั้นขาสั้น พื้นฟ้า ใบเมเปิ้ล L</v>
          </cell>
        </row>
        <row r="4628">
          <cell r="A4628" t="str">
            <v>SN0951-M</v>
          </cell>
          <cell r="B4628" t="str">
            <v>N951</v>
          </cell>
          <cell r="C4628" t="str">
            <v>ซาติน แขนสั้นขาสั้น พื้นฟ้า ใบเมเปิ้ล M</v>
          </cell>
        </row>
        <row r="4629">
          <cell r="A4629" t="str">
            <v>SN0952-L</v>
          </cell>
          <cell r="B4629" t="str">
            <v>N952</v>
          </cell>
          <cell r="C4629" t="str">
            <v>ซาติน แขนสั้นขาสั้น Blueberry ลายทาง L</v>
          </cell>
        </row>
        <row r="4630">
          <cell r="A4630" t="str">
            <v>SN0952-M</v>
          </cell>
          <cell r="B4630" t="str">
            <v>N952</v>
          </cell>
          <cell r="C4630" t="str">
            <v>ซาติน แขนสั้นขาสั้น Blueberry ลายทาง M</v>
          </cell>
        </row>
        <row r="4631">
          <cell r="A4631" t="str">
            <v>SP0003-L</v>
          </cell>
          <cell r="B4631" t="str">
            <v>P3</v>
          </cell>
          <cell r="C4631" t="str">
            <v>ซาติน แขนยาวขายาว แมวดำ สีฟ้า L</v>
          </cell>
        </row>
        <row r="4632">
          <cell r="A4632" t="str">
            <v>SP0003-M</v>
          </cell>
          <cell r="B4632" t="str">
            <v>P3</v>
          </cell>
          <cell r="C4632" t="str">
            <v>ซาติน แขนยาวขายาว แมวดำ สีฟ้า M</v>
          </cell>
        </row>
        <row r="4633">
          <cell r="A4633" t="str">
            <v>SP0004-L</v>
          </cell>
          <cell r="B4633" t="str">
            <v>P4</v>
          </cell>
          <cell r="C4633" t="str">
            <v>ซาติน แขนยาวขายาว แมวดำ สีชมพู L</v>
          </cell>
        </row>
        <row r="4634">
          <cell r="A4634" t="str">
            <v>SP0004-M</v>
          </cell>
          <cell r="B4634" t="str">
            <v>P4</v>
          </cell>
          <cell r="C4634" t="str">
            <v>ซาติน แขนยาวขายาว แมวดำ สีชมพู M</v>
          </cell>
        </row>
        <row r="4635">
          <cell r="A4635" t="str">
            <v>SP0010-L</v>
          </cell>
          <cell r="B4635" t="str">
            <v>P10</v>
          </cell>
          <cell r="C4635" t="str">
            <v>ซาติน แขนยาวขายาว Totoro สีฟ้า L (กปก)</v>
          </cell>
        </row>
        <row r="4636">
          <cell r="A4636" t="str">
            <v>SP0010-M</v>
          </cell>
          <cell r="B4636" t="str">
            <v>P10</v>
          </cell>
          <cell r="C4636" t="str">
            <v>ซาติน แขนยาวขายาว Totoro สีฟ้า M (กปก)</v>
          </cell>
        </row>
        <row r="4637">
          <cell r="A4637" t="str">
            <v>SP0011-L</v>
          </cell>
          <cell r="B4637" t="str">
            <v>P11</v>
          </cell>
          <cell r="C4637" t="str">
            <v>ซาติน แขนยาวขายาว Totoro ชมพู L (กปก)</v>
          </cell>
        </row>
        <row r="4638">
          <cell r="A4638" t="str">
            <v>SP0011-M</v>
          </cell>
          <cell r="B4638" t="str">
            <v>P11</v>
          </cell>
          <cell r="C4638" t="str">
            <v>ซาติน แขนยาวขายาว Totoro ชมพู M (กปก)</v>
          </cell>
        </row>
        <row r="4639">
          <cell r="A4639" t="str">
            <v>SP0012-F</v>
          </cell>
          <cell r="B4639" t="str">
            <v>P12</v>
          </cell>
          <cell r="C4639" t="str">
            <v>ซาติน แขนยาวขายาว เสือดำ Freesize</v>
          </cell>
        </row>
        <row r="4640">
          <cell r="A4640" t="str">
            <v>SP0014-L</v>
          </cell>
          <cell r="B4640" t="str">
            <v>P14</v>
          </cell>
          <cell r="C4640" t="str">
            <v>ซาติน แขนยาวขายาว สีกรม ลายสิงโต L</v>
          </cell>
        </row>
        <row r="4641">
          <cell r="A4641" t="str">
            <v>SP0014-M</v>
          </cell>
          <cell r="B4641" t="str">
            <v>P14</v>
          </cell>
          <cell r="C4641" t="str">
            <v>ซาติน แขนยาวขายาว สีกรม ลายสิงโต M</v>
          </cell>
        </row>
        <row r="4642">
          <cell r="A4642" t="str">
            <v>SP0014-S</v>
          </cell>
          <cell r="B4642" t="str">
            <v>P14</v>
          </cell>
          <cell r="C4642" t="str">
            <v>ซาติน แขนยาวขายาว สีกรม ลายสิงโต S</v>
          </cell>
        </row>
        <row r="4643">
          <cell r="A4643" t="str">
            <v>SP0015-L</v>
          </cell>
          <cell r="B4643" t="str">
            <v>P15</v>
          </cell>
          <cell r="C4643" t="str">
            <v>ซาติน แขนยาวขายาว ใบไม้นู้ด L</v>
          </cell>
        </row>
        <row r="4644">
          <cell r="A4644" t="str">
            <v>SP0015-M</v>
          </cell>
          <cell r="B4644" t="str">
            <v>P15</v>
          </cell>
          <cell r="C4644" t="str">
            <v>ซาติน แขนยาวขายาว ใบไม้นู้ด M</v>
          </cell>
        </row>
        <row r="4645">
          <cell r="A4645" t="str">
            <v>SP0016-L</v>
          </cell>
          <cell r="B4645" t="str">
            <v>P16</v>
          </cell>
          <cell r="C4645" t="str">
            <v>ซาติน แขนยาวขายาว ใบไม้เขียว L</v>
          </cell>
        </row>
        <row r="4646">
          <cell r="A4646" t="str">
            <v>SP0016-M</v>
          </cell>
          <cell r="B4646" t="str">
            <v>P16</v>
          </cell>
          <cell r="C4646" t="str">
            <v>ซาติน แขนยาวขายาว ใบไม้เขียว M</v>
          </cell>
        </row>
        <row r="4647">
          <cell r="A4647" t="str">
            <v>SP0017-M</v>
          </cell>
          <cell r="B4647" t="str">
            <v>P17</v>
          </cell>
          <cell r="C4647" t="str">
            <v>ซาติน แขนยาวขายาว ใบไม้แฟนซี พื้นดำ M</v>
          </cell>
        </row>
        <row r="4648">
          <cell r="A4648" t="str">
            <v>SP0017-S</v>
          </cell>
          <cell r="B4648" t="str">
            <v>P17</v>
          </cell>
          <cell r="C4648" t="str">
            <v>ซาติน แขนยาวขายาว ใบไม้แฟนซี พื้นดำ S</v>
          </cell>
        </row>
        <row r="4649">
          <cell r="A4649" t="str">
            <v>SP0018-M</v>
          </cell>
          <cell r="B4649" t="str">
            <v>P18</v>
          </cell>
          <cell r="C4649" t="str">
            <v>ซาติน แขนยาวขายาว ใบมะพร้าว และ ดอกไม้แดง M</v>
          </cell>
        </row>
        <row r="4650">
          <cell r="A4650" t="str">
            <v>SP0018-S</v>
          </cell>
          <cell r="B4650" t="str">
            <v>P18</v>
          </cell>
          <cell r="C4650" t="str">
            <v>ซาติน แขนยาวขายาว ใบมะพร้าว และ ดอกไม้แดง S</v>
          </cell>
        </row>
        <row r="4651">
          <cell r="A4651" t="str">
            <v>SP0019-L</v>
          </cell>
          <cell r="B4651" t="str">
            <v>P19</v>
          </cell>
          <cell r="C4651" t="str">
            <v>ซาติน แขนยาวขายาว ลายดอกไม้ ใบไม้ สีชมพูนู้ด L</v>
          </cell>
        </row>
        <row r="4652">
          <cell r="A4652" t="str">
            <v>SP0019-M</v>
          </cell>
          <cell r="B4652" t="str">
            <v>P19</v>
          </cell>
          <cell r="C4652" t="str">
            <v>ซาติน แขนยาวขายาว ลายดอกไม้ ใบไม้ สีชมพูนู้ด M</v>
          </cell>
        </row>
        <row r="4653">
          <cell r="A4653" t="str">
            <v>SP0020-M</v>
          </cell>
          <cell r="B4653" t="str">
            <v>P20</v>
          </cell>
          <cell r="C4653" t="str">
            <v>ซาติน แขนยาวขายาว ดอกกุหลาบ M</v>
          </cell>
        </row>
        <row r="4654">
          <cell r="A4654" t="str">
            <v>SP0020-S</v>
          </cell>
          <cell r="B4654" t="str">
            <v>P20</v>
          </cell>
          <cell r="C4654" t="str">
            <v>ซาติน แขนยาวขายาว ดอกกุหลาบ S</v>
          </cell>
        </row>
        <row r="4655">
          <cell r="A4655" t="str">
            <v>SP0021-M</v>
          </cell>
          <cell r="B4655" t="str">
            <v>P21</v>
          </cell>
          <cell r="C4655" t="str">
            <v>ซาติน แขนยาวขายาว ดอกกุหลาบ พื้นดำ M</v>
          </cell>
        </row>
        <row r="4656">
          <cell r="A4656" t="str">
            <v>SP0021-S</v>
          </cell>
          <cell r="B4656" t="str">
            <v>P21</v>
          </cell>
          <cell r="C4656" t="str">
            <v>ซาติน แขนยาวขายาว ดอกกุหลาบ พื้นดำ S</v>
          </cell>
        </row>
        <row r="4657">
          <cell r="A4657" t="str">
            <v>SP0022-M</v>
          </cell>
          <cell r="B4657" t="str">
            <v>P22</v>
          </cell>
          <cell r="C4657" t="str">
            <v>ซาติน แขนยาวขายาว ดอกไม้ส้ม พื้นขาว M</v>
          </cell>
        </row>
        <row r="4658">
          <cell r="A4658" t="str">
            <v>SP0022-S</v>
          </cell>
          <cell r="B4658" t="str">
            <v>P22</v>
          </cell>
          <cell r="C4658" t="str">
            <v>ซาติน แขนยาวขายาว ดอกไม้ส้ม พื้นขาว S</v>
          </cell>
        </row>
        <row r="4659">
          <cell r="A4659" t="str">
            <v>SP0023-M</v>
          </cell>
          <cell r="B4659" t="str">
            <v>P23</v>
          </cell>
          <cell r="C4659" t="str">
            <v>ซาติน แขนยาวขายาว ดอกไม้ชมพู ขาวพื้นฟ้า M</v>
          </cell>
        </row>
        <row r="4660">
          <cell r="A4660" t="str">
            <v>SP0023-S</v>
          </cell>
          <cell r="B4660" t="str">
            <v>P23</v>
          </cell>
          <cell r="C4660" t="str">
            <v>ซาติน แขนยาวขายาว ดอกไม้ชมพู ขาวพื้นฟ้า S</v>
          </cell>
        </row>
        <row r="4661">
          <cell r="A4661" t="str">
            <v>SP0024-M</v>
          </cell>
          <cell r="B4661" t="str">
            <v>P24</v>
          </cell>
          <cell r="C4661" t="str">
            <v>ซาติน แขนยาวขายาว ดอกไม้ แอปเปิ้ล M</v>
          </cell>
        </row>
        <row r="4662">
          <cell r="A4662" t="str">
            <v>SP0024-S</v>
          </cell>
          <cell r="B4662" t="str">
            <v>P24</v>
          </cell>
          <cell r="C4662" t="str">
            <v>ซาติน แขนยาวขายาว ดอกไม้ แอปเปิ้ล S</v>
          </cell>
        </row>
        <row r="4663">
          <cell r="A4663" t="str">
            <v>SP0031-L</v>
          </cell>
          <cell r="B4663" t="str">
            <v>P31</v>
          </cell>
          <cell r="C4663" t="str">
            <v>ซาติน แขนยาวขายาว ลูกไม้ เทาเข้ม L</v>
          </cell>
        </row>
        <row r="4664">
          <cell r="A4664" t="str">
            <v>SP0031-M</v>
          </cell>
          <cell r="B4664" t="str">
            <v>P31</v>
          </cell>
          <cell r="C4664" t="str">
            <v>ซาติน แขนยาวขายาว ลูกไม้ เทาเข้ม M</v>
          </cell>
        </row>
        <row r="4665">
          <cell r="A4665" t="str">
            <v>SP0031-S</v>
          </cell>
          <cell r="B4665" t="str">
            <v>P31</v>
          </cell>
          <cell r="C4665" t="str">
            <v>ซาติน แขนยาวขายาว ลูกไม้ เทาเข้ม S</v>
          </cell>
        </row>
        <row r="4666">
          <cell r="A4666" t="str">
            <v>SP0032-L</v>
          </cell>
          <cell r="B4666" t="str">
            <v>P32</v>
          </cell>
          <cell r="C4666" t="str">
            <v>ซาติน แขนยาวขายาว ลูกไม้ สีโอรส L</v>
          </cell>
        </row>
        <row r="4667">
          <cell r="A4667" t="str">
            <v>SP0032-M</v>
          </cell>
          <cell r="B4667" t="str">
            <v>P32</v>
          </cell>
          <cell r="C4667" t="str">
            <v>ซาติน แขนยาวขายาว ลูกไม้ สีโอรส M</v>
          </cell>
        </row>
        <row r="4668">
          <cell r="A4668" t="str">
            <v>SP0032-S</v>
          </cell>
          <cell r="B4668" t="str">
            <v>P32</v>
          </cell>
          <cell r="C4668" t="str">
            <v>ซาติน แขนยาวขายาว ลูกไม้ สีโอรส S</v>
          </cell>
        </row>
        <row r="4669">
          <cell r="A4669" t="str">
            <v>SP0044-L</v>
          </cell>
          <cell r="B4669" t="str">
            <v>P44</v>
          </cell>
          <cell r="C4669" t="str">
            <v>ซาติน แขนยาวขายาว สีเขียวมิ้นท์ L</v>
          </cell>
        </row>
        <row r="4670">
          <cell r="A4670" t="str">
            <v>SP0044-M</v>
          </cell>
          <cell r="B4670" t="str">
            <v>P44</v>
          </cell>
          <cell r="C4670" t="str">
            <v>ซาติน แขนยาวขายาว สีเขียวมิ้นท์ M</v>
          </cell>
        </row>
        <row r="4671">
          <cell r="A4671" t="str">
            <v>SP0045-L</v>
          </cell>
          <cell r="B4671" t="str">
            <v>JP45</v>
          </cell>
          <cell r="C4671" t="str">
            <v>ซาติน แขนยาวขายาว สีชมพู นู้ด ขอบเงิน L (กปก) ตัวโชว์</v>
          </cell>
        </row>
        <row r="4672">
          <cell r="A4672" t="str">
            <v>SP0045-M</v>
          </cell>
          <cell r="B4672" t="str">
            <v>JP45</v>
          </cell>
          <cell r="C4672" t="str">
            <v>ซาติน แขนยาวขายาว สีชมพู นู้ด ขอบเงิน M (กปก) ตัวโชว์</v>
          </cell>
        </row>
        <row r="4673">
          <cell r="A4673" t="str">
            <v>SP0048-L</v>
          </cell>
          <cell r="B4673" t="str">
            <v>JP48</v>
          </cell>
          <cell r="C4673" t="str">
            <v>ซาติน แขนยาวขายาว สีกรม ขอบชมพู L (กปก) ตัวโชว์</v>
          </cell>
        </row>
        <row r="4674">
          <cell r="A4674" t="str">
            <v>SP0048-M</v>
          </cell>
          <cell r="B4674" t="str">
            <v>P48</v>
          </cell>
          <cell r="C4674" t="str">
            <v>ซาติน แขนยาวขายาว สีกรม ขอบชมพู M (กปก)</v>
          </cell>
        </row>
        <row r="4675">
          <cell r="A4675" t="str">
            <v>SP0060-L</v>
          </cell>
          <cell r="B4675" t="str">
            <v>P60</v>
          </cell>
          <cell r="C4675" t="str">
            <v>ซาติน แขนยาวขายาว ปกชมพู ฟ้า L</v>
          </cell>
        </row>
        <row r="4676">
          <cell r="A4676" t="str">
            <v>SP0060-M</v>
          </cell>
          <cell r="B4676" t="str">
            <v>P60</v>
          </cell>
          <cell r="C4676" t="str">
            <v>ซาติน แขนยาวขายาว ปกชมพู ฟ้า M</v>
          </cell>
        </row>
        <row r="4677">
          <cell r="A4677" t="str">
            <v>SP0061-L</v>
          </cell>
          <cell r="B4677" t="str">
            <v>P61</v>
          </cell>
          <cell r="C4677" t="str">
            <v>ซาติน แขนยาวขายาว ลายชมพู ส้ม L</v>
          </cell>
        </row>
        <row r="4678">
          <cell r="A4678" t="str">
            <v>SP0061-M</v>
          </cell>
          <cell r="B4678" t="str">
            <v>P61</v>
          </cell>
          <cell r="C4678" t="str">
            <v>ซาติน แขนยาวขายาว ลายชมพู ส้ม M</v>
          </cell>
        </row>
        <row r="4679">
          <cell r="A4679" t="str">
            <v>SP0062-F</v>
          </cell>
          <cell r="B4679" t="str">
            <v>P62</v>
          </cell>
          <cell r="C4679" t="str">
            <v>ซาติน แขนยาวขายาว เสือน้ำตาล Freesize</v>
          </cell>
        </row>
        <row r="4680">
          <cell r="A4680" t="str">
            <v>SP0063-F</v>
          </cell>
          <cell r="B4680" t="str">
            <v>P63</v>
          </cell>
          <cell r="C4680" t="str">
            <v>ซาติน แขนยาวขายาว ลายชมพู ขอบน้ำตาล Freesize</v>
          </cell>
        </row>
        <row r="4681">
          <cell r="A4681" t="str">
            <v>SP0064-L</v>
          </cell>
          <cell r="B4681" t="str">
            <v>P64</v>
          </cell>
          <cell r="C4681" t="str">
            <v>ซาติน แขนยาวขายาว สีขาว ลายจุด สีโอโรส ขอบเขียว L</v>
          </cell>
        </row>
        <row r="4682">
          <cell r="A4682" t="str">
            <v>SP0064-M</v>
          </cell>
          <cell r="B4682" t="str">
            <v>P64</v>
          </cell>
          <cell r="C4682" t="str">
            <v>ซาติน แขนยาวขายาว สีขาว ลายจุด สีโอโรส ขอบเขียว M</v>
          </cell>
        </row>
        <row r="4683">
          <cell r="A4683" t="str">
            <v>SP0065-L</v>
          </cell>
          <cell r="B4683" t="str">
            <v>P65</v>
          </cell>
          <cell r="C4683" t="str">
            <v>ซาติน แขนยาวขายาว สีชมพูจุดขาว ขอบฟ้า L</v>
          </cell>
        </row>
        <row r="4684">
          <cell r="A4684" t="str">
            <v>SP0065-M</v>
          </cell>
          <cell r="B4684" t="str">
            <v>P65</v>
          </cell>
          <cell r="C4684" t="str">
            <v>ซาติน แขนยาวขายาว สีชมพูจุดขาว ขอบฟ้า M</v>
          </cell>
        </row>
        <row r="4685">
          <cell r="A4685" t="str">
            <v>SP0067-L</v>
          </cell>
          <cell r="B4685" t="str">
            <v>P67</v>
          </cell>
          <cell r="C4685" t="str">
            <v>ซาติน แขนยาวขายาว สีฟ้า ลายจุด สีชมพู L</v>
          </cell>
        </row>
        <row r="4686">
          <cell r="A4686" t="str">
            <v>SP0067-M</v>
          </cell>
          <cell r="B4686" t="str">
            <v>P67</v>
          </cell>
          <cell r="C4686" t="str">
            <v>ซาติน แขนยาวขายาว สีฟ้า ลายจุด สีชมพู M</v>
          </cell>
        </row>
        <row r="4687">
          <cell r="A4687" t="str">
            <v>SP0068-L</v>
          </cell>
          <cell r="B4687" t="str">
            <v>P68</v>
          </cell>
          <cell r="C4687" t="str">
            <v>ซาติน แขนยาวขายาว สีฟ้า ลายจุดเหลือง L</v>
          </cell>
        </row>
        <row r="4688">
          <cell r="A4688" t="str">
            <v>SP0068-M</v>
          </cell>
          <cell r="B4688" t="str">
            <v>P68</v>
          </cell>
          <cell r="C4688" t="str">
            <v>ซาติน แขนยาวขายาว สีฟ้า ลายจุดเหลือง M</v>
          </cell>
        </row>
        <row r="4689">
          <cell r="A4689" t="str">
            <v>SP0069-L</v>
          </cell>
          <cell r="B4689" t="str">
            <v>P69</v>
          </cell>
          <cell r="C4689" t="str">
            <v>ซาติน แขนยาวขายาว ลายทางเล็ก L</v>
          </cell>
        </row>
        <row r="4690">
          <cell r="A4690" t="str">
            <v>SP0069-M</v>
          </cell>
          <cell r="B4690" t="str">
            <v>P69</v>
          </cell>
          <cell r="C4690" t="str">
            <v>ซาติน แขนยาวขายาว ลายทางเล็ก M</v>
          </cell>
        </row>
        <row r="4691">
          <cell r="A4691" t="str">
            <v>SP0070-L</v>
          </cell>
          <cell r="B4691" t="str">
            <v>P70</v>
          </cell>
          <cell r="C4691" t="str">
            <v>ซาติน แขนยาวขายาว ลายทางใหญ่ L</v>
          </cell>
        </row>
        <row r="4692">
          <cell r="A4692" t="str">
            <v>SP0070-M</v>
          </cell>
          <cell r="B4692" t="str">
            <v>P70</v>
          </cell>
          <cell r="C4692" t="str">
            <v>ซาติน แขนยาวขายาว ลายทางใหญ่ M</v>
          </cell>
        </row>
        <row r="4693">
          <cell r="A4693" t="str">
            <v>SP0071-M</v>
          </cell>
          <cell r="B4693" t="str">
            <v>P71</v>
          </cell>
          <cell r="C4693" t="str">
            <v>ซาติน แขนยาวขายาว พื้นชมพู ลายทางขาวดำ M</v>
          </cell>
        </row>
        <row r="4694">
          <cell r="A4694" t="str">
            <v>SP0071-S</v>
          </cell>
          <cell r="B4694" t="str">
            <v>P71</v>
          </cell>
          <cell r="C4694" t="str">
            <v>ซาติน แขนยาวขายาว พื้นชมพู ลายทางขาวดำ S</v>
          </cell>
        </row>
        <row r="4695">
          <cell r="A4695" t="str">
            <v>SP0072-F</v>
          </cell>
          <cell r="B4695" t="str">
            <v>P72</v>
          </cell>
          <cell r="C4695" t="str">
            <v>ซาติน แขนยาวขายาว ลายตาราง ขอบกรม Freesize</v>
          </cell>
        </row>
        <row r="4696">
          <cell r="A4696" t="str">
            <v>SP00726-L</v>
          </cell>
          <cell r="B4696" t="str">
            <v>P726</v>
          </cell>
          <cell r="C4696" t="str">
            <v>ซาติน แขนยาวขายาว พื้นม่วงล้วน ขอบขาว  L</v>
          </cell>
        </row>
        <row r="4697">
          <cell r="A4697" t="str">
            <v>SP00726-M</v>
          </cell>
          <cell r="B4697" t="str">
            <v>P726</v>
          </cell>
          <cell r="C4697" t="str">
            <v>ซาติน แขนยาวขายาว พื้นม่วงล้วน ขอบขาว  M</v>
          </cell>
        </row>
        <row r="4698">
          <cell r="A4698" t="str">
            <v>SP00726-S</v>
          </cell>
          <cell r="B4698" t="str">
            <v>P726</v>
          </cell>
          <cell r="C4698" t="str">
            <v>ซาติน แขนยาวขายาว พื้นม่วงล้วน ขอบขาว  S</v>
          </cell>
        </row>
        <row r="4699">
          <cell r="A4699" t="str">
            <v>SP00727-L</v>
          </cell>
          <cell r="B4699" t="str">
            <v>P727</v>
          </cell>
          <cell r="C4699" t="str">
            <v>ซาติน แขนยาวขายาว พื้นชมพูล้วน ขอบขาว  L</v>
          </cell>
        </row>
        <row r="4700">
          <cell r="A4700" t="str">
            <v>SP00727-M</v>
          </cell>
          <cell r="B4700" t="str">
            <v>P727</v>
          </cell>
          <cell r="C4700" t="str">
            <v>ซาติน แขนยาวขายาว พื้นชมพูล้วน ขอบขาว  M</v>
          </cell>
        </row>
        <row r="4701">
          <cell r="A4701" t="str">
            <v>SP00727-S</v>
          </cell>
          <cell r="B4701" t="str">
            <v>P727</v>
          </cell>
          <cell r="C4701" t="str">
            <v>ซาติน แขนยาวขายาว พื้นชมพูล้วน ขอบขาว  S</v>
          </cell>
        </row>
        <row r="4702">
          <cell r="A4702" t="str">
            <v>SP0080-L</v>
          </cell>
          <cell r="B4702" t="str">
            <v>P80</v>
          </cell>
          <cell r="C4702" t="str">
            <v>ซาติน แขนยาวขายาว ดาว สีฟ้า L</v>
          </cell>
        </row>
        <row r="4703">
          <cell r="A4703" t="str">
            <v>SP0080-M</v>
          </cell>
          <cell r="B4703" t="str">
            <v>P80</v>
          </cell>
          <cell r="C4703" t="str">
            <v>ซาติน แขนยาวขายาว ดาว สีฟ้า M</v>
          </cell>
        </row>
        <row r="4704">
          <cell r="A4704" t="str">
            <v>SP0081-L</v>
          </cell>
          <cell r="B4704" t="str">
            <v>P81</v>
          </cell>
          <cell r="C4704" t="str">
            <v>ซาติน แขนยาวขายาว ดาว สีชมพู L</v>
          </cell>
        </row>
        <row r="4705">
          <cell r="A4705" t="str">
            <v>SP0081-M</v>
          </cell>
          <cell r="B4705" t="str">
            <v>P81</v>
          </cell>
          <cell r="C4705" t="str">
            <v>ซาติน แขนยาวขายาว ดาว สีชมพู M</v>
          </cell>
        </row>
        <row r="4706">
          <cell r="A4706" t="str">
            <v>SP0082-M</v>
          </cell>
          <cell r="B4706" t="str">
            <v>P82</v>
          </cell>
          <cell r="C4706" t="str">
            <v>ซาติน แขนยาวขายาว ดาวดำ ขอบส้ม M</v>
          </cell>
        </row>
        <row r="4707">
          <cell r="A4707" t="str">
            <v>SP0082-S</v>
          </cell>
          <cell r="B4707" t="str">
            <v>P82</v>
          </cell>
          <cell r="C4707" t="str">
            <v>ซาติน แขนยาวขายาว ดาวดำ ขอบส้ม S</v>
          </cell>
        </row>
        <row r="4708">
          <cell r="A4708" t="str">
            <v>SP0083-L</v>
          </cell>
          <cell r="B4708" t="str">
            <v>P83</v>
          </cell>
          <cell r="C4708" t="str">
            <v>ซาติน แขนยาวขายาว เดือนดาว ฟ้า ขอบชมพู L</v>
          </cell>
        </row>
        <row r="4709">
          <cell r="A4709" t="str">
            <v>SP0083-M</v>
          </cell>
          <cell r="B4709" t="str">
            <v>P83</v>
          </cell>
          <cell r="C4709" t="str">
            <v>ซาติน แขนยาวขายาว เดือนดาว ฟ้า ขอบชมพู M</v>
          </cell>
        </row>
        <row r="4710">
          <cell r="A4710" t="str">
            <v>SP0084-L</v>
          </cell>
          <cell r="B4710" t="str">
            <v>P84</v>
          </cell>
          <cell r="C4710" t="str">
            <v>ซาติน แขนยาวขายาว เดือนดาว ชมพู ขอบดำ L</v>
          </cell>
        </row>
        <row r="4711">
          <cell r="A4711" t="str">
            <v>SP0084-M</v>
          </cell>
          <cell r="B4711" t="str">
            <v>P84</v>
          </cell>
          <cell r="C4711" t="str">
            <v>ซาติน แขนยาวขายาว เดือนดาว ชมพู ขอบดำ M</v>
          </cell>
        </row>
        <row r="4712">
          <cell r="A4712" t="str">
            <v>SP0092-2XL</v>
          </cell>
          <cell r="B4712" t="str">
            <v>P92</v>
          </cell>
          <cell r="C4712" t="str">
            <v>ซาติน แขนยาวขายาว เสือดาวชมพู พื้นม่วง คอฟ้า 2XL</v>
          </cell>
        </row>
        <row r="4713">
          <cell r="A4713" t="str">
            <v>SP0092-L</v>
          </cell>
          <cell r="B4713" t="str">
            <v>P92</v>
          </cell>
          <cell r="C4713" t="str">
            <v>ซาติน แขนยาวขายาว เสือดาวชมพู พื้นม่วง คอฟ้า L</v>
          </cell>
        </row>
        <row r="4714">
          <cell r="A4714" t="str">
            <v>SP0092-M</v>
          </cell>
          <cell r="B4714" t="str">
            <v>P92</v>
          </cell>
          <cell r="C4714" t="str">
            <v>ซาติน แขนยาวขายาว เสือดาวชมพู พื้นม่วง คอฟ้า M</v>
          </cell>
        </row>
        <row r="4715">
          <cell r="A4715" t="str">
            <v>SP0092-S</v>
          </cell>
          <cell r="B4715" t="str">
            <v>P92</v>
          </cell>
          <cell r="C4715" t="str">
            <v>ซาติน แขนยาวขายาว เสือดาวชมพู พื้นม่วง คอฟ้า S</v>
          </cell>
        </row>
        <row r="4716">
          <cell r="A4716" t="str">
            <v>SP0092-XL</v>
          </cell>
          <cell r="B4716" t="str">
            <v>P92</v>
          </cell>
          <cell r="C4716" t="str">
            <v>ซาติน แขนยาวขายาว เสือดาวชมพู พื้นม่วง คอฟ้า XL</v>
          </cell>
        </row>
        <row r="4717">
          <cell r="A4717" t="str">
            <v>SP0099-M</v>
          </cell>
          <cell r="B4717" t="str">
            <v>P99</v>
          </cell>
          <cell r="C4717" t="str">
            <v>ซาติน แขนยาวขายาว V ขาว ชมพู M</v>
          </cell>
        </row>
        <row r="4718">
          <cell r="A4718" t="str">
            <v>SP0099-S</v>
          </cell>
          <cell r="B4718" t="str">
            <v>P99</v>
          </cell>
          <cell r="C4718" t="str">
            <v>ซาติน แขนยาวขายาว V ขาว ชมพู S</v>
          </cell>
        </row>
        <row r="4719">
          <cell r="A4719" t="str">
            <v>SP0101-L</v>
          </cell>
          <cell r="B4719" t="str">
            <v>P101</v>
          </cell>
          <cell r="C4719" t="str">
            <v>ซาติน แขนยาวขายาว SIMI สีคราม L</v>
          </cell>
        </row>
        <row r="4720">
          <cell r="A4720" t="str">
            <v>SP0101-M</v>
          </cell>
          <cell r="B4720" t="str">
            <v>P101</v>
          </cell>
          <cell r="C4720" t="str">
            <v>ซาติน แขนยาวขายาว SIMI สีคราม M</v>
          </cell>
        </row>
        <row r="4721">
          <cell r="A4721" t="str">
            <v>SP0102-L</v>
          </cell>
          <cell r="B4721" t="str">
            <v>P102</v>
          </cell>
          <cell r="C4721" t="str">
            <v>ซาติน แขนยาวขายาว SIMI สีชมพู L</v>
          </cell>
        </row>
        <row r="4722">
          <cell r="A4722" t="str">
            <v>SP0102-M</v>
          </cell>
          <cell r="B4722" t="str">
            <v>P102</v>
          </cell>
          <cell r="C4722" t="str">
            <v>ซาติน แขนยาวขายาว SIMI สีชมพู M</v>
          </cell>
        </row>
        <row r="4723">
          <cell r="A4723" t="str">
            <v>SP0103-M</v>
          </cell>
          <cell r="B4723" t="str">
            <v>P103</v>
          </cell>
          <cell r="C4723" t="str">
            <v>ซาติน แขนยาวขายาว ลายโซ่ M</v>
          </cell>
        </row>
        <row r="4724">
          <cell r="A4724" t="str">
            <v>SP0103-S</v>
          </cell>
          <cell r="B4724" t="str">
            <v>P103</v>
          </cell>
          <cell r="C4724" t="str">
            <v>ซาติน แขนยาวขายาว ลายโซ่ S</v>
          </cell>
        </row>
        <row r="4725">
          <cell r="A4725" t="str">
            <v>SP0103-XS</v>
          </cell>
          <cell r="B4725" t="str">
            <v>P103</v>
          </cell>
          <cell r="C4725" t="str">
            <v>ซาติน แขนยาวขายาว ลายโซ่ XS</v>
          </cell>
        </row>
        <row r="4726">
          <cell r="A4726" t="str">
            <v>SP0104-M</v>
          </cell>
          <cell r="B4726" t="str">
            <v>P104</v>
          </cell>
          <cell r="C4726" t="str">
            <v>ซาติน แขนยาวขายาว art พื้นสีเนื้อ M</v>
          </cell>
        </row>
        <row r="4727">
          <cell r="A4727" t="str">
            <v>SP0104-S</v>
          </cell>
          <cell r="B4727" t="str">
            <v>P104</v>
          </cell>
          <cell r="C4727" t="str">
            <v>ซาติน แขนยาวขายาว art พื้นสีเนื้อ S</v>
          </cell>
        </row>
        <row r="4728">
          <cell r="A4728" t="str">
            <v>SP0105-L</v>
          </cell>
          <cell r="B4728" t="str">
            <v>P105</v>
          </cell>
          <cell r="C4728" t="str">
            <v>ซาติน แขนยาวขายาว พริ๊นเซส ชมพู L</v>
          </cell>
        </row>
        <row r="4729">
          <cell r="A4729" t="str">
            <v>SP0105-M</v>
          </cell>
          <cell r="B4729" t="str">
            <v>P105</v>
          </cell>
          <cell r="C4729" t="str">
            <v>ซาติน แขนยาวขายาว พริ๊นเซส ชมพู M</v>
          </cell>
        </row>
        <row r="4730">
          <cell r="A4730" t="str">
            <v>SP0106-L</v>
          </cell>
          <cell r="B4730" t="str">
            <v>P106</v>
          </cell>
          <cell r="C4730" t="str">
            <v>ซาติน แขนยาวขายาว พริ๊นเซส ขาว L</v>
          </cell>
        </row>
        <row r="4731">
          <cell r="A4731" t="str">
            <v>SP0106-M</v>
          </cell>
          <cell r="B4731" t="str">
            <v>P106</v>
          </cell>
          <cell r="C4731" t="str">
            <v>ซาติน แขนยาวขายาว พริ๊นเซส ขาว M</v>
          </cell>
        </row>
        <row r="4732">
          <cell r="A4732" t="str">
            <v>SP0108-F</v>
          </cell>
          <cell r="B4732" t="str">
            <v>P108</v>
          </cell>
          <cell r="C4732" t="str">
            <v>ซาติน แขนยาวขายาว ลายหัวใจ ขอบน้ำเงิน Freesize</v>
          </cell>
        </row>
        <row r="4733">
          <cell r="A4733" t="str">
            <v>SP0114-L</v>
          </cell>
          <cell r="B4733" t="str">
            <v>P114</v>
          </cell>
          <cell r="C4733" t="str">
            <v>ซาติน แขนยาวขายาว สีดำ ระบายชมพู L</v>
          </cell>
        </row>
        <row r="4734">
          <cell r="A4734" t="str">
            <v>SP0114-M</v>
          </cell>
          <cell r="B4734" t="str">
            <v>P114</v>
          </cell>
          <cell r="C4734" t="str">
            <v>ซาติน แขนยาวขายาว สีดำ ระบายชมพู M</v>
          </cell>
        </row>
        <row r="4735">
          <cell r="A4735" t="str">
            <v>SP0115-L</v>
          </cell>
          <cell r="B4735" t="str">
            <v>P115</v>
          </cell>
          <cell r="C4735" t="str">
            <v>ซาติน แขนยาวขายาว สีเขียวระบายชมพู L</v>
          </cell>
        </row>
        <row r="4736">
          <cell r="A4736" t="str">
            <v>SP0115-M</v>
          </cell>
          <cell r="B4736" t="str">
            <v>P115</v>
          </cell>
          <cell r="C4736" t="str">
            <v>ซาติน แขนยาวขายาว สีเขียว ระบายชมพู M</v>
          </cell>
        </row>
        <row r="4737">
          <cell r="A4737" t="str">
            <v>SP0116-L</v>
          </cell>
          <cell r="B4737" t="str">
            <v>P116</v>
          </cell>
          <cell r="C4737" t="str">
            <v>ซาติน แขนยาวขายาว สีชมพู ระบายเขียว L</v>
          </cell>
        </row>
        <row r="4738">
          <cell r="A4738" t="str">
            <v>SP0116-M</v>
          </cell>
          <cell r="B4738" t="str">
            <v>P116</v>
          </cell>
          <cell r="C4738" t="str">
            <v>ซาติน แขนยาวขายาว สีชมพู ระบายเขียว M</v>
          </cell>
        </row>
        <row r="4739">
          <cell r="A4739" t="str">
            <v>SP0118-L</v>
          </cell>
          <cell r="B4739" t="str">
            <v>P118</v>
          </cell>
          <cell r="C4739" t="str">
            <v>ซาติน แขนยาวขายาว คอบัว สีขาว L</v>
          </cell>
        </row>
        <row r="4740">
          <cell r="A4740" t="str">
            <v>SP0118-M</v>
          </cell>
          <cell r="B4740" t="str">
            <v>P118</v>
          </cell>
          <cell r="C4740" t="str">
            <v>ซาติน แขนยาวขายาว คอบัว สีขาว M</v>
          </cell>
        </row>
        <row r="4741">
          <cell r="A4741" t="str">
            <v>SP0119-L</v>
          </cell>
          <cell r="B4741" t="str">
            <v>P119</v>
          </cell>
          <cell r="C4741" t="str">
            <v>ซาติน แขนยาวขายาว คอบัว สีดำ L</v>
          </cell>
        </row>
        <row r="4742">
          <cell r="A4742" t="str">
            <v>SP0119-M</v>
          </cell>
          <cell r="B4742" t="str">
            <v>P119</v>
          </cell>
          <cell r="C4742" t="str">
            <v>ซาติน แขนยาวขายาว คอบัว สีดำ M</v>
          </cell>
        </row>
        <row r="4743">
          <cell r="A4743" t="str">
            <v>SP0180-L</v>
          </cell>
          <cell r="B4743" t="str">
            <v>P180</v>
          </cell>
          <cell r="C4743" t="str">
            <v>ซาติน แขนยาวขายาว พื้นชมพู คอบัวขาว L</v>
          </cell>
        </row>
        <row r="4744">
          <cell r="A4744" t="str">
            <v>SP0180-M</v>
          </cell>
          <cell r="B4744" t="str">
            <v>P180</v>
          </cell>
          <cell r="C4744" t="str">
            <v>ซาติน แขนยาวขายาว พื้นชมพู คอบัวขาว M</v>
          </cell>
        </row>
        <row r="4745">
          <cell r="A4745" t="str">
            <v>SP0181-M</v>
          </cell>
          <cell r="B4745" t="str">
            <v>P181</v>
          </cell>
          <cell r="C4745" t="str">
            <v>ซาติน แขนยาวขายาว สีครีม ขอบเงิน M</v>
          </cell>
        </row>
        <row r="4746">
          <cell r="A4746" t="str">
            <v>SP0187-L</v>
          </cell>
          <cell r="B4746" t="str">
            <v>P187</v>
          </cell>
          <cell r="C4746" t="str">
            <v>ซาติน แขนยาวขายาว สีฟ้า ขอบชมพู L (กปก)</v>
          </cell>
        </row>
        <row r="4747">
          <cell r="A4747" t="str">
            <v>SP0187-M</v>
          </cell>
          <cell r="B4747" t="str">
            <v>JP187</v>
          </cell>
          <cell r="C4747" t="str">
            <v>ซาติน แขนยาวขายาว สีฟ้า ขอบชมพู M (กปก) ตัวโชว์</v>
          </cell>
        </row>
        <row r="4748">
          <cell r="A4748" t="str">
            <v>SP0189-F</v>
          </cell>
          <cell r="B4748" t="str">
            <v>P189</v>
          </cell>
          <cell r="C4748" t="str">
            <v>ซาติน แขนยาวขายาว ใบไม้หลายสี พื้นกรม ฟรีไซด์</v>
          </cell>
        </row>
        <row r="4749">
          <cell r="A4749" t="str">
            <v>SP0190-F</v>
          </cell>
          <cell r="B4749" t="str">
            <v>P190</v>
          </cell>
          <cell r="C4749" t="str">
            <v>ซาติน แขนยาวขายาว กุหลายขาว พื้นกรม ขอบทอง ฟรีไซด์</v>
          </cell>
        </row>
        <row r="4750">
          <cell r="A4750" t="str">
            <v>SP0198-L</v>
          </cell>
          <cell r="B4750" t="str">
            <v>P198</v>
          </cell>
          <cell r="C4750" t="str">
            <v>ซาติน แขนยาวขายาว แมวฟ้าส้ม พื้นขาว กางเกงฟ้า L</v>
          </cell>
        </row>
        <row r="4751">
          <cell r="A4751" t="str">
            <v>SP0198-M</v>
          </cell>
          <cell r="B4751" t="str">
            <v>P198</v>
          </cell>
          <cell r="C4751" t="str">
            <v>ซาติน แขนยาวขายาว แมวฟ้าส้ม พื้นขาว กางเกงฟ้า M</v>
          </cell>
        </row>
        <row r="4752">
          <cell r="A4752" t="str">
            <v>SP0208-F</v>
          </cell>
          <cell r="B4752" t="str">
            <v>P208</v>
          </cell>
          <cell r="C4752" t="str">
            <v>ซาติน แขนยาวขายาว ตารางดอกไม้ ฟรีไซส์</v>
          </cell>
        </row>
        <row r="4753">
          <cell r="A4753" t="str">
            <v>SP0211-F</v>
          </cell>
          <cell r="B4753" t="str">
            <v>P211</v>
          </cell>
          <cell r="C4753" t="str">
            <v>ซาติน แขนยาวขายาว ซู ฟรีไชส์</v>
          </cell>
        </row>
        <row r="4754">
          <cell r="A4754" t="str">
            <v>SP0230-L</v>
          </cell>
          <cell r="B4754" t="str">
            <v>P230</v>
          </cell>
          <cell r="C4754" t="str">
            <v>ซาติน แขนยาวขายาวแมวฟ้าส้ม พื้นขาว กางเกงชมพู L</v>
          </cell>
        </row>
        <row r="4755">
          <cell r="A4755" t="str">
            <v>SP0230-M</v>
          </cell>
          <cell r="B4755" t="str">
            <v>P230</v>
          </cell>
          <cell r="C4755" t="str">
            <v>ซาติน แขนยาวขายาว แมวฟ้าส้ม พื้นขาวกางเกงชมพู M</v>
          </cell>
        </row>
        <row r="4756">
          <cell r="A4756" t="str">
            <v>SP0240-L</v>
          </cell>
          <cell r="B4756" t="str">
            <v>P240</v>
          </cell>
          <cell r="C4756" t="str">
            <v>ซาติน  แขนยาวขายาว จุดดำ พื้นครีม L</v>
          </cell>
        </row>
        <row r="4757">
          <cell r="A4757" t="str">
            <v>SP0241-L</v>
          </cell>
          <cell r="B4757" t="str">
            <v>P241</v>
          </cell>
          <cell r="C4757" t="str">
            <v>ซาติน แขนยาวขายาว หมีพื้นครีม คอปกเขียว L</v>
          </cell>
        </row>
        <row r="4758">
          <cell r="A4758" t="str">
            <v>SP0241-M</v>
          </cell>
          <cell r="B4758" t="str">
            <v>P241</v>
          </cell>
          <cell r="C4758" t="str">
            <v>ซาติน แขนยาวขายาว หมีพื้นครีม คอปกเขียว M</v>
          </cell>
        </row>
        <row r="4759">
          <cell r="A4759" t="str">
            <v>SP0242-L</v>
          </cell>
          <cell r="B4759" t="str">
            <v>P242</v>
          </cell>
          <cell r="C4759" t="str">
            <v>ซาติน แขนยาวขายาว หมีพื้นเขียว คอปกครีม L</v>
          </cell>
        </row>
        <row r="4760">
          <cell r="A4760" t="str">
            <v>SP0242-M</v>
          </cell>
          <cell r="B4760" t="str">
            <v>P242</v>
          </cell>
          <cell r="C4760" t="str">
            <v>ซาติน แขนยาวขายาว หมีพื้นเขียว คอปกครีม M</v>
          </cell>
        </row>
        <row r="4761">
          <cell r="A4761" t="str">
            <v>SP0243-L</v>
          </cell>
          <cell r="B4761" t="str">
            <v>P243</v>
          </cell>
          <cell r="C4761" t="str">
            <v>ซาติน แขนยาวขายาว onion พื้นฟ้า L</v>
          </cell>
        </row>
        <row r="4762">
          <cell r="A4762" t="str">
            <v>SP0243-M</v>
          </cell>
          <cell r="B4762" t="str">
            <v>P243</v>
          </cell>
          <cell r="C4762" t="str">
            <v>ซาติน แขนยาวขายาว onion พื้นฟ้า M</v>
          </cell>
        </row>
        <row r="4763">
          <cell r="A4763" t="str">
            <v>SP0244-L</v>
          </cell>
          <cell r="B4763" t="str">
            <v>P244</v>
          </cell>
          <cell r="C4763" t="str">
            <v>ซาติน แขนยาวขายาว Love ระบายจุดส้ม พื้นขาว L</v>
          </cell>
        </row>
        <row r="4764">
          <cell r="A4764" t="str">
            <v>SP0244-M</v>
          </cell>
          <cell r="B4764" t="str">
            <v>P244</v>
          </cell>
          <cell r="C4764" t="str">
            <v>ซาติน แขนยาวขายาว Love ระบายจุดส้ม พื้นขาว M</v>
          </cell>
        </row>
        <row r="4765">
          <cell r="A4765" t="str">
            <v>SP0245-L</v>
          </cell>
          <cell r="B4765" t="str">
            <v>P245</v>
          </cell>
          <cell r="C4765" t="str">
            <v>ซาติน แขนยาวขายาว Love ระบายจุดกรม พื้นชมพู L</v>
          </cell>
        </row>
        <row r="4766">
          <cell r="A4766" t="str">
            <v>SP0245-M</v>
          </cell>
          <cell r="B4766" t="str">
            <v>P245</v>
          </cell>
          <cell r="C4766" t="str">
            <v>ซาติน แขนยาวขายาว Love ระบายจุดกรม พื้นชมพู M</v>
          </cell>
        </row>
        <row r="4767">
          <cell r="A4767" t="str">
            <v>SP0246-2XL</v>
          </cell>
          <cell r="B4767" t="str">
            <v>P246</v>
          </cell>
          <cell r="C4767" t="str">
            <v>ซาติน แขนยาวขายาว เสือ ชมพู 2XL</v>
          </cell>
        </row>
        <row r="4768">
          <cell r="A4768" t="str">
            <v>SP0246-L</v>
          </cell>
          <cell r="B4768" t="str">
            <v>P246</v>
          </cell>
          <cell r="C4768" t="str">
            <v>ซาติน แขนยาวขายาว เสือ ชมพู L (กปก)</v>
          </cell>
        </row>
        <row r="4769">
          <cell r="A4769" t="str">
            <v>SP0246-M</v>
          </cell>
          <cell r="B4769" t="str">
            <v>P246</v>
          </cell>
          <cell r="C4769" t="str">
            <v>ซาติน แขนยาวขายาว เสือ ชมพู M (กปก)</v>
          </cell>
        </row>
        <row r="4770">
          <cell r="A4770" t="str">
            <v>SP0246-XL</v>
          </cell>
          <cell r="B4770" t="str">
            <v>P246</v>
          </cell>
          <cell r="C4770" t="str">
            <v>ซาติน แขนยาวขายาว เสือ ชมพู XL</v>
          </cell>
        </row>
        <row r="4771">
          <cell r="A4771" t="str">
            <v>SP0247-L</v>
          </cell>
          <cell r="B4771" t="str">
            <v>P247</v>
          </cell>
          <cell r="C4771" t="str">
            <v>ซาติน แขนยาวขายาว 3แฉก พื้นขาว L</v>
          </cell>
        </row>
        <row r="4772">
          <cell r="A4772" t="str">
            <v>SP0247-M</v>
          </cell>
          <cell r="B4772" t="str">
            <v>P247</v>
          </cell>
          <cell r="C4772" t="str">
            <v>ซาติน แขนยาวขายาว 3แฉก พื้นขาว M</v>
          </cell>
        </row>
        <row r="4773">
          <cell r="A4773" t="str">
            <v>SP0248-L</v>
          </cell>
          <cell r="B4773" t="str">
            <v>P248</v>
          </cell>
          <cell r="C4773" t="str">
            <v>ซาติน แขนยาวขายาว 3แฉก พื้นชมพู L</v>
          </cell>
        </row>
        <row r="4774">
          <cell r="A4774" t="str">
            <v>SP0248-M</v>
          </cell>
          <cell r="B4774" t="str">
            <v>P248</v>
          </cell>
          <cell r="C4774" t="str">
            <v>ซาติน แขนยาวขายาว 3แฉก พื้นชมพู M</v>
          </cell>
        </row>
        <row r="4775">
          <cell r="A4775" t="str">
            <v>SP0249-L</v>
          </cell>
          <cell r="B4775" t="str">
            <v>P249</v>
          </cell>
          <cell r="C4775" t="str">
            <v>ซาติน แขนยาวขายาว จุดเขียว พื้นขาว L</v>
          </cell>
        </row>
        <row r="4776">
          <cell r="A4776" t="str">
            <v>SP0249-M</v>
          </cell>
          <cell r="B4776" t="str">
            <v>JP249</v>
          </cell>
          <cell r="C4776" t="str">
            <v>ซาติน แขนยาวขายาว จุดเขียว พื้นขาว M ตัวโชว์</v>
          </cell>
        </row>
        <row r="4777">
          <cell r="A4777" t="str">
            <v>SP0250-L</v>
          </cell>
          <cell r="B4777" t="str">
            <v>P250</v>
          </cell>
          <cell r="C4777" t="str">
            <v>ซาติน แขนยาวขายาว จุดน้ำตาล พื้นขาว L</v>
          </cell>
        </row>
        <row r="4778">
          <cell r="A4778" t="str">
            <v>SP0250-M</v>
          </cell>
          <cell r="B4778" t="str">
            <v>JP250</v>
          </cell>
          <cell r="C4778" t="str">
            <v>ซาติน แขนยาวขายาว จุดน้ำตาล พื้นขาว M (กปก) ตัวโชว์</v>
          </cell>
        </row>
        <row r="4779">
          <cell r="A4779" t="str">
            <v>SP0251-L</v>
          </cell>
          <cell r="B4779" t="str">
            <v>P251</v>
          </cell>
          <cell r="C4779" t="str">
            <v>ซาติน แขนยาวขายาว กระต่ายฟ้า L</v>
          </cell>
        </row>
        <row r="4780">
          <cell r="A4780" t="str">
            <v>SP0251-M</v>
          </cell>
          <cell r="B4780" t="str">
            <v>P251</v>
          </cell>
          <cell r="C4780" t="str">
            <v>ซาติน แขนยาวขายาว กระต่ายฟ้า M</v>
          </cell>
        </row>
        <row r="4781">
          <cell r="A4781" t="str">
            <v>SP0251-S</v>
          </cell>
          <cell r="B4781" t="str">
            <v>P251</v>
          </cell>
          <cell r="C4781" t="str">
            <v>ซาติน แขนยาวขายาว กระต่ายฟ้า S</v>
          </cell>
        </row>
        <row r="4782">
          <cell r="A4782" t="str">
            <v>SP0252-L</v>
          </cell>
          <cell r="B4782" t="str">
            <v>P252</v>
          </cell>
          <cell r="C4782" t="str">
            <v>ซาติน แขนยาวขายาว กระต่ายชมพู L</v>
          </cell>
        </row>
        <row r="4783">
          <cell r="A4783" t="str">
            <v>SP0252-M</v>
          </cell>
          <cell r="B4783" t="str">
            <v>P252</v>
          </cell>
          <cell r="C4783" t="str">
            <v>ซาติน แขนยาวขายาว กระต่ายชมพู M</v>
          </cell>
        </row>
        <row r="4784">
          <cell r="A4784" t="str">
            <v>SP0253-L</v>
          </cell>
          <cell r="B4784" t="str">
            <v>P253</v>
          </cell>
          <cell r="C4784" t="str">
            <v>ซาติน แขนยาวขายาว ดอกไม้ ปกจุดเขียว L</v>
          </cell>
        </row>
        <row r="4785">
          <cell r="A4785" t="str">
            <v>SP0253-M</v>
          </cell>
          <cell r="B4785" t="str">
            <v>P253</v>
          </cell>
          <cell r="C4785" t="str">
            <v>ซาติน แขนยาวขายาว ดอกไม้ ปกจุดเขียว M</v>
          </cell>
        </row>
        <row r="4786">
          <cell r="A4786" t="str">
            <v>SP0254-L</v>
          </cell>
          <cell r="B4786" t="str">
            <v>P254</v>
          </cell>
          <cell r="C4786" t="str">
            <v>ซาติน แขนยาวขายาว ดอกไม้ ปกจุดฟ้า L</v>
          </cell>
        </row>
        <row r="4787">
          <cell r="A4787" t="str">
            <v>SP0254-M</v>
          </cell>
          <cell r="B4787" t="str">
            <v>P254</v>
          </cell>
          <cell r="C4787" t="str">
            <v>ซาติน แขนยาวขายาว ดอกไม้ ปกจุดฟ้า M</v>
          </cell>
        </row>
        <row r="4788">
          <cell r="A4788" t="str">
            <v>SP0257-L</v>
          </cell>
          <cell r="B4788" t="str">
            <v>P257</v>
          </cell>
          <cell r="C4788" t="str">
            <v>ซาติน แขนยาวขายาว หัวใจดำ พื้นครีม L</v>
          </cell>
        </row>
        <row r="4789">
          <cell r="A4789" t="str">
            <v>SP0258-L</v>
          </cell>
          <cell r="B4789" t="str">
            <v>P258</v>
          </cell>
          <cell r="C4789" t="str">
            <v>ซาติน แขนยาวขายาว ผู้หญิงชุดแดง พื้นชมพู L</v>
          </cell>
        </row>
        <row r="4790">
          <cell r="A4790" t="str">
            <v>SP0258-M</v>
          </cell>
          <cell r="B4790" t="str">
            <v>P258</v>
          </cell>
          <cell r="C4790" t="str">
            <v>ซาติน แขนยาวขายาว ผู้หญิงชุดแดง พื้นชมพู M</v>
          </cell>
        </row>
        <row r="4791">
          <cell r="A4791" t="str">
            <v>SP0259-L</v>
          </cell>
          <cell r="B4791" t="str">
            <v>P259</v>
          </cell>
          <cell r="C4791" t="str">
            <v>ซาติน แขนยาวขายาว แรคคูน ปกเหลือง L</v>
          </cell>
        </row>
        <row r="4792">
          <cell r="A4792" t="str">
            <v>SP0259-M</v>
          </cell>
          <cell r="B4792" t="str">
            <v>P259</v>
          </cell>
          <cell r="C4792" t="str">
            <v>ซาติน แขนยาวขายาว แรคคูน ปกเหลือง M</v>
          </cell>
        </row>
        <row r="4793">
          <cell r="A4793" t="str">
            <v>SP0260-L</v>
          </cell>
          <cell r="B4793" t="str">
            <v>P260</v>
          </cell>
          <cell r="C4793" t="str">
            <v>ซาติน แขนยาวขายาว แรคคูน ปกแดง L</v>
          </cell>
        </row>
        <row r="4794">
          <cell r="A4794" t="str">
            <v>SP0260-M</v>
          </cell>
          <cell r="B4794" t="str">
            <v>P260</v>
          </cell>
          <cell r="C4794" t="str">
            <v>ซาติน แขนยาวขายาว แรคคูน ปกแดง M</v>
          </cell>
        </row>
        <row r="4795">
          <cell r="A4795" t="str">
            <v>SP0262-L</v>
          </cell>
          <cell r="B4795" t="str">
            <v>P262</v>
          </cell>
          <cell r="C4795" t="str">
            <v>ซาติน แขนยาวขายาว ลายทางฟ้า L</v>
          </cell>
        </row>
        <row r="4796">
          <cell r="A4796" t="str">
            <v>SP0262-M</v>
          </cell>
          <cell r="B4796" t="str">
            <v>P262</v>
          </cell>
          <cell r="C4796" t="str">
            <v>ซาติน แขนยาวขายาว ลายทางฟ้า M</v>
          </cell>
        </row>
        <row r="4797">
          <cell r="A4797" t="str">
            <v>SP0263-M</v>
          </cell>
          <cell r="B4797" t="str">
            <v>P263</v>
          </cell>
          <cell r="C4797" t="str">
            <v>ซาติน แขนยาวขายาว กระบองเพชร M</v>
          </cell>
        </row>
        <row r="4798">
          <cell r="A4798" t="str">
            <v>SP0263-S</v>
          </cell>
          <cell r="B4798" t="str">
            <v>P263</v>
          </cell>
          <cell r="C4798" t="str">
            <v>ซาติน แขนยาวขายาว กระบองเพชร S</v>
          </cell>
        </row>
        <row r="4799">
          <cell r="A4799" t="str">
            <v>SP0264-M</v>
          </cell>
          <cell r="B4799" t="str">
            <v>P264</v>
          </cell>
          <cell r="C4799" t="str">
            <v>ซาติน แขนยาวขายาว บาสเกตบอล พื้นเหลือง M</v>
          </cell>
        </row>
        <row r="4800">
          <cell r="A4800" t="str">
            <v>SP0264-S</v>
          </cell>
          <cell r="B4800" t="str">
            <v>P264</v>
          </cell>
          <cell r="C4800" t="str">
            <v>ซาติน แขนยาวขายาว บาสเกตบอล พื้นเหลือง S</v>
          </cell>
        </row>
        <row r="4801">
          <cell r="A4801" t="str">
            <v>SP0265-M</v>
          </cell>
          <cell r="B4801" t="str">
            <v>P265</v>
          </cell>
          <cell r="C4801" t="str">
            <v>ซาติน แขนยาวขายาว Tuffy พื้นดำ M</v>
          </cell>
        </row>
        <row r="4802">
          <cell r="A4802" t="str">
            <v>SP0265-S</v>
          </cell>
          <cell r="B4802" t="str">
            <v>P265</v>
          </cell>
          <cell r="C4802" t="str">
            <v>ซาติน แขนยาวขายาว Tuffy พื้นดำ S</v>
          </cell>
        </row>
        <row r="4803">
          <cell r="A4803" t="str">
            <v>SP0266-M</v>
          </cell>
          <cell r="B4803" t="str">
            <v>P266</v>
          </cell>
          <cell r="C4803" t="str">
            <v>ซาติน แขนยาวขายาว กระต่าย พื้นชมพู M</v>
          </cell>
        </row>
        <row r="4804">
          <cell r="A4804" t="str">
            <v>SP0266-S</v>
          </cell>
          <cell r="B4804" t="str">
            <v>P266</v>
          </cell>
          <cell r="C4804" t="str">
            <v>ซาติน แขนยาวขายาว กระต่าย พื้นชมพู S</v>
          </cell>
        </row>
        <row r="4805">
          <cell r="A4805" t="str">
            <v>SP0267-M</v>
          </cell>
          <cell r="B4805" t="str">
            <v>P267</v>
          </cell>
          <cell r="C4805" t="str">
            <v>ซาติน แขนยาวขายาว เอฟเอฟ ชมพู M</v>
          </cell>
        </row>
        <row r="4806">
          <cell r="A4806" t="str">
            <v>SP0267-S</v>
          </cell>
          <cell r="B4806" t="str">
            <v>P267</v>
          </cell>
          <cell r="C4806" t="str">
            <v>ซาติน แขนยาวขายาว เอฟเอฟ ชมพู S</v>
          </cell>
        </row>
        <row r="4807">
          <cell r="A4807" t="str">
            <v>SP0268-M</v>
          </cell>
          <cell r="B4807" t="str">
            <v>P268</v>
          </cell>
          <cell r="C4807" t="str">
            <v>ซาติน แขนยาวขายาว ลายท่อ พื้นดำ M</v>
          </cell>
        </row>
        <row r="4808">
          <cell r="A4808" t="str">
            <v>SP0268-S</v>
          </cell>
          <cell r="B4808" t="str">
            <v>P268</v>
          </cell>
          <cell r="C4808" t="str">
            <v>ซาติน แขนยาวขายาว ลายท่อ พื้นดำ S</v>
          </cell>
        </row>
        <row r="4809">
          <cell r="A4809" t="str">
            <v>SP0269-2XL</v>
          </cell>
          <cell r="B4809" t="str">
            <v>P269</v>
          </cell>
          <cell r="C4809" t="str">
            <v>ซาติน แขนยาวขายาว เสือดำ 2XL</v>
          </cell>
        </row>
        <row r="4810">
          <cell r="A4810" t="str">
            <v>SP0269-L</v>
          </cell>
          <cell r="B4810" t="str">
            <v>P269</v>
          </cell>
          <cell r="C4810" t="str">
            <v>ซาติน แขนยาวขายาว เสือดำ L</v>
          </cell>
        </row>
        <row r="4811">
          <cell r="A4811" t="str">
            <v>SP0269-M</v>
          </cell>
          <cell r="B4811" t="str">
            <v>P269</v>
          </cell>
          <cell r="C4811" t="str">
            <v>ซาติน แขนยาวขายาว เสือดำ M</v>
          </cell>
        </row>
        <row r="4812">
          <cell r="A4812" t="str">
            <v>SP0269-XL</v>
          </cell>
          <cell r="B4812" t="str">
            <v>P269</v>
          </cell>
          <cell r="C4812" t="str">
            <v>ซาติน แขนยาวขายาว เสือดำ XL</v>
          </cell>
        </row>
        <row r="4813">
          <cell r="A4813" t="str">
            <v>SP0270-L</v>
          </cell>
          <cell r="B4813" t="str">
            <v>P270</v>
          </cell>
          <cell r="C4813" t="str">
            <v>ซาติน แขนยาวขายาว จุดขาวใหญ่ พื้นชมพู L</v>
          </cell>
        </row>
        <row r="4814">
          <cell r="A4814" t="str">
            <v>SP0270-M</v>
          </cell>
          <cell r="B4814" t="str">
            <v>P270</v>
          </cell>
          <cell r="C4814" t="str">
            <v>ซาติน แขนยาวขายาว จุดขาวใหญ่ พื้นชมพู M</v>
          </cell>
        </row>
        <row r="4815">
          <cell r="A4815" t="str">
            <v>SP0271-L</v>
          </cell>
          <cell r="B4815" t="str">
            <v>P271</v>
          </cell>
          <cell r="C4815" t="str">
            <v>ซาติน แขนยาวขายาว จุดกรมใหญ่ พื้นม่วง L</v>
          </cell>
        </row>
        <row r="4816">
          <cell r="A4816" t="str">
            <v>SP0271-M</v>
          </cell>
          <cell r="B4816" t="str">
            <v>P271</v>
          </cell>
          <cell r="C4816" t="str">
            <v>ซาติน แขนยาวขายาว จุดกรมใหญ่ พื้นม่วง M</v>
          </cell>
        </row>
        <row r="4817">
          <cell r="A4817" t="str">
            <v>SP0272-L</v>
          </cell>
          <cell r="B4817" t="str">
            <v>P272</v>
          </cell>
          <cell r="C4817" t="str">
            <v>ซาติน แขนยาวขายาว อลิส ชุดแดง พื้นชมพู L</v>
          </cell>
        </row>
        <row r="4818">
          <cell r="A4818" t="str">
            <v>SP0272-M</v>
          </cell>
          <cell r="B4818" t="str">
            <v>P272</v>
          </cell>
          <cell r="C4818" t="str">
            <v>ซาติน แขนยาวขายาว อลิส ชุดแดง พื้นชมพู M</v>
          </cell>
        </row>
        <row r="4819">
          <cell r="A4819" t="str">
            <v>SP0273-L</v>
          </cell>
          <cell r="B4819" t="str">
            <v>P273</v>
          </cell>
          <cell r="C4819" t="str">
            <v>ซาติน แขนยาวขายาว ผู้สาวคนงาม กับผู้บ่าวกินแมว L</v>
          </cell>
        </row>
        <row r="4820">
          <cell r="A4820" t="str">
            <v>SP0273-M</v>
          </cell>
          <cell r="B4820" t="str">
            <v>P273</v>
          </cell>
          <cell r="C4820" t="str">
            <v>ซาติน แขนยาวขายาว ผู้สาวคนงาม กับผู้บ่าวกินแมว M</v>
          </cell>
        </row>
        <row r="4821">
          <cell r="A4821" t="str">
            <v>SP0274-L</v>
          </cell>
          <cell r="B4821" t="str">
            <v>P274</v>
          </cell>
          <cell r="C4821" t="str">
            <v>ซาติน แขนยาวขายาว คอระบาย พื้นชมพู L</v>
          </cell>
        </row>
        <row r="4822">
          <cell r="A4822" t="str">
            <v>SP0274-M</v>
          </cell>
          <cell r="B4822" t="str">
            <v>P274</v>
          </cell>
          <cell r="C4822" t="str">
            <v>ซาติน แขนยาวขายาว คอระบาย พื้นชมพู M</v>
          </cell>
        </row>
        <row r="4823">
          <cell r="A4823" t="str">
            <v>SP0275-L</v>
          </cell>
          <cell r="B4823" t="str">
            <v>P275</v>
          </cell>
          <cell r="C4823" t="str">
            <v>ซาติน แขนยาวขายาว คอระบาย พื้นเขียว L</v>
          </cell>
        </row>
        <row r="4824">
          <cell r="A4824" t="str">
            <v>SP0275-M</v>
          </cell>
          <cell r="B4824" t="str">
            <v>P275</v>
          </cell>
          <cell r="C4824" t="str">
            <v>ซาติน แขนยาวขายาว คอระบาย พื้นเขียว M</v>
          </cell>
        </row>
        <row r="4825">
          <cell r="A4825" t="str">
            <v>SP0276-L</v>
          </cell>
          <cell r="B4825" t="str">
            <v>P276</v>
          </cell>
          <cell r="C4825" t="str">
            <v>ซาติน แขนยาวขายาว ลูกไม้ หัวใจเล็ก พื้นฟ้า L</v>
          </cell>
        </row>
        <row r="4826">
          <cell r="A4826" t="str">
            <v>SP0276-M</v>
          </cell>
          <cell r="B4826" t="str">
            <v>P276</v>
          </cell>
          <cell r="C4826" t="str">
            <v>ซาติน แขนยาวขายาว ลูกไม้ หัวใจเล็ก พื้นฟ้า M</v>
          </cell>
        </row>
        <row r="4827">
          <cell r="A4827" t="str">
            <v>SP0276-XL</v>
          </cell>
          <cell r="B4827" t="str">
            <v>P276</v>
          </cell>
          <cell r="C4827" t="str">
            <v>ซาติน แขนยาวขายาว ลูกไม้ หัวใจเล็ก พื้นฟ้า XL</v>
          </cell>
        </row>
        <row r="4828">
          <cell r="A4828" t="str">
            <v>SP0277-L</v>
          </cell>
          <cell r="B4828" t="str">
            <v>P277</v>
          </cell>
          <cell r="C4828" t="str">
            <v>ซาติน แขนยาวขายาว ลูกไม้ หัวใจเล็ก พื้นชมพู L</v>
          </cell>
        </row>
        <row r="4829">
          <cell r="A4829" t="str">
            <v>SP0277-M</v>
          </cell>
          <cell r="B4829" t="str">
            <v>P277</v>
          </cell>
          <cell r="C4829" t="str">
            <v>ซาติน แขนยาวขายาว ลูกไม้ หัวใจเล็ก พื้นชมพู M</v>
          </cell>
        </row>
        <row r="4830">
          <cell r="A4830" t="str">
            <v>SP0277-XL</v>
          </cell>
          <cell r="B4830" t="str">
            <v>P277</v>
          </cell>
          <cell r="C4830" t="str">
            <v>ซาติน แขนยาวขายาว ลูกไม้ หัวใจเล็ก พื้นชมพู XL</v>
          </cell>
        </row>
        <row r="4831">
          <cell r="A4831" t="str">
            <v>SP0278-L</v>
          </cell>
          <cell r="B4831" t="str">
            <v>P278</v>
          </cell>
          <cell r="C4831" t="str">
            <v>ซาติน แขนยาวขายาว พื้นฟ้าอ่อน ขอบดำ กระเป๋าหงส์ L</v>
          </cell>
        </row>
        <row r="4832">
          <cell r="A4832" t="str">
            <v>SP0278-M</v>
          </cell>
          <cell r="B4832" t="str">
            <v>P278</v>
          </cell>
          <cell r="C4832" t="str">
            <v>ซาติน แขนยาวขายาว พื้นฟ้าอ่อน ขอบดำ กระเป๋าหงส์ M</v>
          </cell>
        </row>
        <row r="4833">
          <cell r="A4833" t="str">
            <v>SP0278-XL</v>
          </cell>
          <cell r="B4833" t="str">
            <v>P278</v>
          </cell>
          <cell r="C4833" t="str">
            <v>ซาติน แขนยาวขายาว พื้นฟ้าอ่อน ขอบดำ กระเป๋าหงส์ XL</v>
          </cell>
        </row>
        <row r="4834">
          <cell r="A4834" t="str">
            <v>SP0281-M</v>
          </cell>
          <cell r="B4834" t="str">
            <v>P281</v>
          </cell>
          <cell r="C4834" t="str">
            <v>ซาติน แขนยาวขายาว ดิออ PERFECT M</v>
          </cell>
        </row>
        <row r="4835">
          <cell r="A4835" t="str">
            <v>SP0281-S</v>
          </cell>
          <cell r="B4835" t="str">
            <v>P281</v>
          </cell>
          <cell r="C4835" t="str">
            <v>ซาติน แขนยาวขายาว ดิออ PERFECT S</v>
          </cell>
        </row>
        <row r="4836">
          <cell r="A4836" t="str">
            <v>SP0282-M</v>
          </cell>
          <cell r="B4836" t="str">
            <v>P282</v>
          </cell>
          <cell r="C4836" t="str">
            <v>ซาติน แขนยาวขายาว กุชชี่ ขอบดำ พื้นชมพู M</v>
          </cell>
        </row>
        <row r="4837">
          <cell r="A4837" t="str">
            <v>SP0282-S</v>
          </cell>
          <cell r="B4837" t="str">
            <v>P282</v>
          </cell>
          <cell r="C4837" t="str">
            <v>ซาติน แขนยาวขายาว กุชชี่ ขอบดำ พื้นชมพู S</v>
          </cell>
        </row>
        <row r="4838">
          <cell r="A4838" t="str">
            <v>SP0283-M</v>
          </cell>
          <cell r="B4838" t="str">
            <v>P283</v>
          </cell>
          <cell r="C4838" t="str">
            <v>ซาติน แขนยาวขายาว All พื้นชมพู M</v>
          </cell>
        </row>
        <row r="4839">
          <cell r="A4839" t="str">
            <v>SP0286-L</v>
          </cell>
          <cell r="B4839" t="str">
            <v>P286</v>
          </cell>
          <cell r="C4839" t="str">
            <v>ซาติน แขนยาวขายาว พิมลายใบไม้ พื้นชมพู L</v>
          </cell>
        </row>
        <row r="4840">
          <cell r="A4840" t="str">
            <v>SP0286-M</v>
          </cell>
          <cell r="B4840" t="str">
            <v>P286</v>
          </cell>
          <cell r="C4840" t="str">
            <v>ซาติน แขนยาวขายาว พิมลายใบไม้ พื้นชมพู M</v>
          </cell>
        </row>
        <row r="4841">
          <cell r="A4841" t="str">
            <v>SP0287-L</v>
          </cell>
          <cell r="B4841" t="str">
            <v>P287</v>
          </cell>
          <cell r="C4841" t="str">
            <v>ซาติน แขนยาวขายาว ใบกัญชา พื้นเขียว-L</v>
          </cell>
        </row>
        <row r="4842">
          <cell r="A4842" t="str">
            <v>SP0287-M</v>
          </cell>
          <cell r="B4842" t="str">
            <v>P287</v>
          </cell>
          <cell r="C4842" t="str">
            <v>ซาติน แขนยาวขายาว พิมลายใบไม้พื้นเขียว-M</v>
          </cell>
        </row>
        <row r="4843">
          <cell r="A4843" t="str">
            <v>SP0288-L</v>
          </cell>
          <cell r="B4843" t="str">
            <v>P288</v>
          </cell>
          <cell r="C4843" t="str">
            <v>ซาติน แขนยาวขายาว พิมลายใบไม้ พื้นโอรส-L</v>
          </cell>
        </row>
        <row r="4844">
          <cell r="A4844" t="str">
            <v>SP0288-M</v>
          </cell>
          <cell r="B4844" t="str">
            <v>P288</v>
          </cell>
          <cell r="C4844" t="str">
            <v>ซาติน แขนยาวขายาว พิมลายใบไม้ พื้นโอรส-M</v>
          </cell>
        </row>
        <row r="4845">
          <cell r="A4845" t="str">
            <v>SP0289-F</v>
          </cell>
          <cell r="B4845" t="str">
            <v>P289</v>
          </cell>
          <cell r="C4845" t="str">
            <v>ซาติน แขนยาวขายาว Robot Bear ขาวดำ F</v>
          </cell>
        </row>
        <row r="4846">
          <cell r="A4846" t="str">
            <v>SP0290-F</v>
          </cell>
          <cell r="B4846" t="str">
            <v>P290</v>
          </cell>
          <cell r="C4846" t="str">
            <v>ซาติน แขนยาวขายาว Bear Brick ตารางขาวดำ F</v>
          </cell>
        </row>
        <row r="4847">
          <cell r="A4847" t="str">
            <v>SP0291-F</v>
          </cell>
          <cell r="B4847" t="str">
            <v>P291</v>
          </cell>
          <cell r="C4847" t="str">
            <v>ซาติน แขนยาวขายาว Garden Green F</v>
          </cell>
        </row>
        <row r="4848">
          <cell r="A4848" t="str">
            <v>SP0292-F</v>
          </cell>
          <cell r="B4848" t="str">
            <v>P292</v>
          </cell>
          <cell r="C4848" t="str">
            <v>ซาติน แขนยาวขายาว  จุด จุด จุดดำ F</v>
          </cell>
        </row>
        <row r="4849">
          <cell r="A4849" t="str">
            <v>SP0293-F</v>
          </cell>
          <cell r="B4849" t="str">
            <v>P293</v>
          </cell>
          <cell r="C4849" t="str">
            <v>ซาติน แขนยาวขายาว  จุด จุด จุดขาวโอรส F</v>
          </cell>
        </row>
        <row r="4850">
          <cell r="A4850" t="str">
            <v>SP0294-F</v>
          </cell>
          <cell r="B4850" t="str">
            <v>P294</v>
          </cell>
          <cell r="C4850" t="str">
            <v>ซาติน แขนยาวขายาว จุด จุด จุดขาวดำ F</v>
          </cell>
        </row>
        <row r="4851">
          <cell r="A4851" t="str">
            <v>SP0295-F</v>
          </cell>
          <cell r="B4851" t="str">
            <v>P295</v>
          </cell>
          <cell r="C4851" t="str">
            <v>ซาติน แขนยาวขายาว  ลายทางทูโทน ขาวเหลือง F</v>
          </cell>
        </row>
        <row r="4852">
          <cell r="A4852" t="str">
            <v>SP0296-L</v>
          </cell>
          <cell r="B4852" t="str">
            <v>P296</v>
          </cell>
          <cell r="C4852" t="str">
            <v>ซาติน แขนยาวขายาว คอวีใหญ่ ขอบดำ พื้นครีม L</v>
          </cell>
        </row>
        <row r="4853">
          <cell r="A4853" t="str">
            <v>SP0296-M</v>
          </cell>
          <cell r="B4853" t="str">
            <v>P296</v>
          </cell>
          <cell r="C4853" t="str">
            <v>ซาติน แขนยาวขายาว คอวีใหญ่ ขอบดำ พื้นครีม M</v>
          </cell>
        </row>
        <row r="4854">
          <cell r="A4854" t="str">
            <v>SP0297-L</v>
          </cell>
          <cell r="B4854" t="str">
            <v>P297</v>
          </cell>
          <cell r="C4854" t="str">
            <v>ซาติน แขนยาวขายาว ดาวกระจาย พื้นชมพู L</v>
          </cell>
        </row>
        <row r="4855">
          <cell r="A4855" t="str">
            <v>SP0297-M</v>
          </cell>
          <cell r="B4855" t="str">
            <v>P297</v>
          </cell>
          <cell r="C4855" t="str">
            <v>ซาติน แขนยาวขายาว ดาวกระจาย พื้นชมพู M</v>
          </cell>
        </row>
        <row r="4856">
          <cell r="A4856" t="str">
            <v>SP0298-L</v>
          </cell>
          <cell r="B4856" t="str">
            <v>P298</v>
          </cell>
          <cell r="C4856" t="str">
            <v>ซาติน แขนยาวขายาว teddy bear พื้นน้ำตาล L</v>
          </cell>
        </row>
        <row r="4857">
          <cell r="A4857" t="str">
            <v>SP0298-M</v>
          </cell>
          <cell r="B4857" t="str">
            <v>JP298</v>
          </cell>
          <cell r="C4857" t="str">
            <v>ซาติน แขนยาวขายาว teddy bear พื้นน้ำตาล M ตัวโชว์</v>
          </cell>
        </row>
        <row r="4858">
          <cell r="A4858" t="str">
            <v>SP0299-F</v>
          </cell>
          <cell r="B4858" t="str">
            <v>P299</v>
          </cell>
          <cell r="C4858" t="str">
            <v>ซาติน แขนยาวขายาว  ลายทางทูโทน เขียวพาสเทล F</v>
          </cell>
        </row>
        <row r="4859">
          <cell r="A4859" t="str">
            <v>SP0300-2XL</v>
          </cell>
          <cell r="B4859" t="str">
            <v>P300</v>
          </cell>
          <cell r="C4859" t="str">
            <v>ซาติน แขนยาวขายาว บอนไซ พื้นครีม 2XL</v>
          </cell>
        </row>
        <row r="4860">
          <cell r="A4860" t="str">
            <v>SP0300-L</v>
          </cell>
          <cell r="B4860" t="str">
            <v>P300</v>
          </cell>
          <cell r="C4860" t="str">
            <v>ซาติน แขนยาวขายาว บอนไซ พื้นครีม L</v>
          </cell>
        </row>
        <row r="4861">
          <cell r="A4861" t="str">
            <v>SP0300-M</v>
          </cell>
          <cell r="B4861" t="str">
            <v>P300</v>
          </cell>
          <cell r="C4861" t="str">
            <v>ซาติน แขนยาวขายาว บอนไซ พื้นครีม M</v>
          </cell>
        </row>
        <row r="4862">
          <cell r="A4862" t="str">
            <v>SP0300-XL</v>
          </cell>
          <cell r="B4862" t="str">
            <v>P300</v>
          </cell>
          <cell r="C4862" t="str">
            <v>ซาติน แขนยาวขายาว บอนไซ พื้นครีม XL</v>
          </cell>
        </row>
        <row r="4863">
          <cell r="A4863" t="str">
            <v>SP0301-L</v>
          </cell>
          <cell r="B4863" t="str">
            <v>P301</v>
          </cell>
          <cell r="C4863" t="str">
            <v>ซาติน แขนยาวขายาว ผู้หญิง ผู้ชาย พื้นชมพู L</v>
          </cell>
        </row>
        <row r="4864">
          <cell r="A4864" t="str">
            <v>SP0301-M</v>
          </cell>
          <cell r="B4864" t="str">
            <v>P301</v>
          </cell>
          <cell r="C4864" t="str">
            <v>ซาติน แขนยาวขายาว ผู้หญิง ผู้ชาย พื้นชมพู M</v>
          </cell>
        </row>
        <row r="4865">
          <cell r="A4865" t="str">
            <v>SP0302-L</v>
          </cell>
          <cell r="B4865" t="str">
            <v>P302</v>
          </cell>
          <cell r="C4865" t="str">
            <v>ซาติน แขนยาวขายาว ลูกไม้ ปากแดง พื้นชมพู L</v>
          </cell>
        </row>
        <row r="4866">
          <cell r="A4866" t="str">
            <v>SP0302-M</v>
          </cell>
          <cell r="B4866" t="str">
            <v>P302</v>
          </cell>
          <cell r="C4866" t="str">
            <v>ซาติน แขนยาวขายาว ลูกไม้ ปากแดง พื้นชมพู M</v>
          </cell>
        </row>
        <row r="4867">
          <cell r="A4867" t="str">
            <v>SP0302-XL</v>
          </cell>
          <cell r="B4867" t="str">
            <v>P302</v>
          </cell>
          <cell r="C4867" t="str">
            <v>ซาติน แขนยาวขายาว ลูกไม้ ปากแดง พื้นชมพู XL</v>
          </cell>
        </row>
        <row r="4868">
          <cell r="A4868" t="str">
            <v>SP0303-L</v>
          </cell>
          <cell r="B4868" t="str">
            <v>P303</v>
          </cell>
          <cell r="C4868" t="str">
            <v>ซาติน แขนยาวขายาว ลูกไม้ ปากแดง พื้นฟ้า L</v>
          </cell>
        </row>
        <row r="4869">
          <cell r="A4869" t="str">
            <v>SP0303-M</v>
          </cell>
          <cell r="B4869" t="str">
            <v>P303</v>
          </cell>
          <cell r="C4869" t="str">
            <v>ซาติน แขนยาวขายาว ลูกไม้ ปากแดง พื้นฟ้า M</v>
          </cell>
        </row>
        <row r="4870">
          <cell r="A4870" t="str">
            <v>SP0303-XL</v>
          </cell>
          <cell r="B4870" t="str">
            <v>P303</v>
          </cell>
          <cell r="C4870" t="str">
            <v>ซาติน แขนยาวขายาว ลูกไม้ ปากแดง พื้นฟ้า XL</v>
          </cell>
        </row>
        <row r="4871">
          <cell r="A4871" t="str">
            <v>SP0304-L</v>
          </cell>
          <cell r="B4871" t="str">
            <v>P304</v>
          </cell>
          <cell r="C4871" t="str">
            <v>ซาติน แขนยาวขายาว หมาชิบะ พื้นน้ำตาล L</v>
          </cell>
        </row>
        <row r="4872">
          <cell r="A4872" t="str">
            <v>SP0304-M</v>
          </cell>
          <cell r="B4872" t="str">
            <v>P304</v>
          </cell>
          <cell r="C4872" t="str">
            <v>ซาติน แขนยาวขายาว หมาชิบะ พื้นน้ำตาล M</v>
          </cell>
        </row>
        <row r="4873">
          <cell r="A4873" t="str">
            <v>SP0305-L</v>
          </cell>
          <cell r="B4873" t="str">
            <v>P305</v>
          </cell>
          <cell r="C4873" t="str">
            <v>ซาติน แขนยาวขายาว หมาชิบะ พื้นครีม L</v>
          </cell>
        </row>
        <row r="4874">
          <cell r="A4874" t="str">
            <v>SP0305-M</v>
          </cell>
          <cell r="B4874" t="str">
            <v>P305</v>
          </cell>
          <cell r="C4874" t="str">
            <v>ซาติน แขนยาวขายาว หมาชิบะ พื้นครีม M</v>
          </cell>
        </row>
        <row r="4875">
          <cell r="A4875" t="str">
            <v>SP0306-M</v>
          </cell>
          <cell r="B4875" t="str">
            <v>P306</v>
          </cell>
          <cell r="C4875" t="str">
            <v>ซาติน แขนยาวขายาว โบว์ขาว ขอบเขียว พื้นชมพู M</v>
          </cell>
        </row>
        <row r="4876">
          <cell r="A4876" t="str">
            <v>SP0306-S</v>
          </cell>
          <cell r="B4876" t="str">
            <v>P306</v>
          </cell>
          <cell r="C4876" t="str">
            <v>ซาติน แขนยาวขายาว โบว์ขาว ขอบเขียว พื้นชมพู S</v>
          </cell>
        </row>
        <row r="4877">
          <cell r="A4877" t="str">
            <v>SP0313-L</v>
          </cell>
          <cell r="B4877" t="str">
            <v>P313</v>
          </cell>
          <cell r="C4877" t="str">
            <v>ซาติน  แขนยาวขายาว ตาราง เขียวขาว L</v>
          </cell>
        </row>
        <row r="4878">
          <cell r="A4878" t="str">
            <v>SP0314-L</v>
          </cell>
          <cell r="B4878" t="str">
            <v>P314</v>
          </cell>
          <cell r="C4878" t="str">
            <v>ซาติน แขนยาวขายาว ตาราง ดำขาว L</v>
          </cell>
        </row>
        <row r="4879">
          <cell r="A4879" t="str">
            <v>SP0314-M</v>
          </cell>
          <cell r="B4879" t="str">
            <v>P314</v>
          </cell>
          <cell r="C4879" t="str">
            <v>ซาติน แขนยาวขายาว ตาราง ดำขาว M</v>
          </cell>
        </row>
        <row r="4880">
          <cell r="A4880" t="str">
            <v>SP0315-L</v>
          </cell>
          <cell r="B4880" t="str">
            <v>P315</v>
          </cell>
          <cell r="C4880" t="str">
            <v>ซาติน  แขนยาวขายาว ตาราง ครีมขาว L</v>
          </cell>
        </row>
        <row r="4881">
          <cell r="A4881" t="str">
            <v>SP0315-M</v>
          </cell>
          <cell r="B4881" t="str">
            <v>P315</v>
          </cell>
          <cell r="C4881" t="str">
            <v>ซาติน แขนยาวขายาว ตาราง ครีมขาว M</v>
          </cell>
        </row>
        <row r="4882">
          <cell r="A4882" t="str">
            <v>SP0316-L</v>
          </cell>
          <cell r="B4882" t="str">
            <v>P316</v>
          </cell>
          <cell r="C4882" t="str">
            <v>ซาติน แขนยาวขายาว ดอกไม้ขาว ใบน้ำตาล พื้นดำ L</v>
          </cell>
        </row>
        <row r="4883">
          <cell r="A4883" t="str">
            <v>SP0316-M</v>
          </cell>
          <cell r="B4883" t="str">
            <v>JP316</v>
          </cell>
          <cell r="C4883" t="str">
            <v>ซาติน แขนยาวขายาว ดอกไม้ขาว ใบน้ำตาล พื้นดำ M (กปก) ตัวโชว์</v>
          </cell>
        </row>
        <row r="4884">
          <cell r="A4884" t="str">
            <v>SP0317-L</v>
          </cell>
          <cell r="B4884" t="str">
            <v>P317</v>
          </cell>
          <cell r="C4884" t="str">
            <v>ซาติน แขนยาวขายาว ดอกไม้ขาว ใบน้ำตาล พื้นครีม L</v>
          </cell>
        </row>
        <row r="4885">
          <cell r="A4885" t="str">
            <v>SP0317-M</v>
          </cell>
          <cell r="B4885" t="str">
            <v>JP317</v>
          </cell>
          <cell r="C4885" t="str">
            <v>ซาติน แขนยาวขายาว ดอกไม้ขาว ใบน้ำตาล พื้นครีม M ตัวโชว์</v>
          </cell>
        </row>
        <row r="4886">
          <cell r="A4886" t="str">
            <v>SP0318-L</v>
          </cell>
          <cell r="B4886" t="str">
            <v>JP318</v>
          </cell>
          <cell r="C4886" t="str">
            <v>ซาติน แขนยาวขายาว คาร์เนชั่นครีม พื้นดำ L (กปก) ตัวโชว์</v>
          </cell>
        </row>
        <row r="4887">
          <cell r="A4887" t="str">
            <v>SP0318-M</v>
          </cell>
          <cell r="B4887" t="str">
            <v>JP318</v>
          </cell>
          <cell r="C4887" t="str">
            <v>ซาติน แขนยาวขายาว คาร์เนชั่นครีม พื้นดำ M (กปก) ตัวโชว์</v>
          </cell>
        </row>
        <row r="4888">
          <cell r="A4888" t="str">
            <v>SP0319-L</v>
          </cell>
          <cell r="B4888" t="str">
            <v>P319</v>
          </cell>
          <cell r="C4888" t="str">
            <v>ซาติน แขนยาวขายาว คาร์เนชั่นครีม พื้นครีม L</v>
          </cell>
        </row>
        <row r="4889">
          <cell r="A4889" t="str">
            <v>SP0319-M</v>
          </cell>
          <cell r="B4889" t="str">
            <v>P319</v>
          </cell>
          <cell r="C4889" t="str">
            <v>ซาติน แขนยาวขายาว คาร์เนชั่นครีม พื้นครีม M</v>
          </cell>
        </row>
        <row r="4890">
          <cell r="A4890" t="str">
            <v>SP0323-L</v>
          </cell>
          <cell r="B4890" t="str">
            <v>P323</v>
          </cell>
          <cell r="C4890" t="str">
            <v>ซาติน แขนยาวขายาว ดอกเล็ก โบว์ดำ พื้นขาว L</v>
          </cell>
        </row>
        <row r="4891">
          <cell r="A4891" t="str">
            <v>SP0323-M</v>
          </cell>
          <cell r="B4891" t="str">
            <v>P323</v>
          </cell>
          <cell r="C4891" t="str">
            <v>ซาติน แขนยาวขายาว ดอกเล็ก โบว์ดำ พื้นขาว M</v>
          </cell>
        </row>
        <row r="4892">
          <cell r="A4892" t="str">
            <v>SP0324-L</v>
          </cell>
          <cell r="B4892" t="str">
            <v>P324</v>
          </cell>
          <cell r="C4892" t="str">
            <v>ซาติน แขนยาวขายาว ดอกเล็ก โบว์ชมพู พื้นชมพู L</v>
          </cell>
        </row>
        <row r="4893">
          <cell r="A4893" t="str">
            <v>SP0324-M</v>
          </cell>
          <cell r="B4893" t="str">
            <v>P324</v>
          </cell>
          <cell r="C4893" t="str">
            <v>ซาติน แขนยาวขายาว ดอกเล็ก โบว์ชมพู พื้นชมพู M</v>
          </cell>
        </row>
        <row r="4894">
          <cell r="A4894" t="str">
            <v>SP0325-L</v>
          </cell>
          <cell r="B4894" t="str">
            <v>P325</v>
          </cell>
          <cell r="C4894" t="str">
            <v>ซาติน แขนยาวขายาว ดอกไม้ นกยูง L</v>
          </cell>
        </row>
        <row r="4895">
          <cell r="A4895" t="str">
            <v>SP0325-M</v>
          </cell>
          <cell r="B4895" t="str">
            <v>P325</v>
          </cell>
          <cell r="C4895" t="str">
            <v>ซาติน แขนยาวขายาว ดอกไม้ นกยูง M</v>
          </cell>
        </row>
        <row r="4896">
          <cell r="A4896" t="str">
            <v>SP0325-S</v>
          </cell>
          <cell r="B4896" t="str">
            <v>P325</v>
          </cell>
          <cell r="C4896" t="str">
            <v>ซาติน แขนยาวขายาว ดอกไม้ นกยูง S</v>
          </cell>
        </row>
        <row r="4897">
          <cell r="A4897" t="str">
            <v>SP0325-XL</v>
          </cell>
          <cell r="B4897" t="str">
            <v>P325</v>
          </cell>
          <cell r="C4897" t="str">
            <v>ซาติน แขนยาวขายาว ดอกไม้ นกยูง XL</v>
          </cell>
        </row>
        <row r="4898">
          <cell r="A4898" t="str">
            <v>SP0326-L</v>
          </cell>
          <cell r="B4898" t="str">
            <v>P326</v>
          </cell>
          <cell r="C4898" t="str">
            <v>ซาติน แขนยาวขายาว แคนวาส พื้นครีม L</v>
          </cell>
        </row>
        <row r="4899">
          <cell r="A4899" t="str">
            <v>SP0326-M</v>
          </cell>
          <cell r="B4899" t="str">
            <v>P326</v>
          </cell>
          <cell r="C4899" t="str">
            <v>ซาติน แขนยาวขายาว แคนวาส พื้นครีม M</v>
          </cell>
        </row>
        <row r="4900">
          <cell r="A4900" t="str">
            <v>SP0326-XL</v>
          </cell>
          <cell r="B4900" t="str">
            <v>P326</v>
          </cell>
          <cell r="C4900" t="str">
            <v>ซาติน แขนยาวขายาว แคนวาส พื้นครีม XL</v>
          </cell>
        </row>
        <row r="4901">
          <cell r="A4901" t="str">
            <v>SP0337-L</v>
          </cell>
          <cell r="B4901" t="str">
            <v>P337</v>
          </cell>
          <cell r="C4901" t="str">
            <v>ซาติน แขนยาวขายาว วัว พื้นฟ้า Blue cow L</v>
          </cell>
        </row>
        <row r="4902">
          <cell r="A4902" t="str">
            <v>SP0337-M</v>
          </cell>
          <cell r="B4902" t="str">
            <v>P337</v>
          </cell>
          <cell r="C4902" t="str">
            <v>ซาติน แขนยาวขายาว วัว พื้นฟ้า Blue cow M</v>
          </cell>
        </row>
        <row r="4903">
          <cell r="A4903" t="str">
            <v>SP0342-F</v>
          </cell>
          <cell r="B4903" t="str">
            <v>P342</v>
          </cell>
          <cell r="C4903" t="str">
            <v>ซาติน แขนยาวขายาว Fox พื้นครีม F</v>
          </cell>
        </row>
        <row r="4904">
          <cell r="A4904" t="str">
            <v>SP0343-L</v>
          </cell>
          <cell r="B4904" t="str">
            <v>P343</v>
          </cell>
          <cell r="C4904" t="str">
            <v>ซาติน แขนยาวขายาว Angle Heart พื้นชมพู  L</v>
          </cell>
        </row>
        <row r="4905">
          <cell r="A4905" t="str">
            <v>SP0343-M</v>
          </cell>
          <cell r="B4905" t="str">
            <v>P343</v>
          </cell>
          <cell r="C4905" t="str">
            <v>ซาติน แขนยาวขายาว Angle Heart พื้นชมพู  M</v>
          </cell>
        </row>
        <row r="4906">
          <cell r="A4906" t="str">
            <v>SP0343-XL</v>
          </cell>
          <cell r="B4906" t="str">
            <v>P343</v>
          </cell>
          <cell r="C4906" t="str">
            <v>ซาติน แขนยาวขายาว Angle Heart พื้นชมพู  XL</v>
          </cell>
        </row>
        <row r="4907">
          <cell r="A4907" t="str">
            <v>SP0344-L</v>
          </cell>
          <cell r="B4907" t="str">
            <v>P344</v>
          </cell>
          <cell r="C4907" t="str">
            <v>ซาติน แขนยาวขายาว แมว FEN BOR พื้นขาว L</v>
          </cell>
        </row>
        <row r="4908">
          <cell r="A4908" t="str">
            <v>SP0344-M</v>
          </cell>
          <cell r="B4908" t="str">
            <v>P344</v>
          </cell>
          <cell r="C4908" t="str">
            <v>ซาติน แขนยาวขายาว แมว FEN BOR พื้นขาว M</v>
          </cell>
        </row>
        <row r="4909">
          <cell r="A4909" t="str">
            <v>SP0344-XL</v>
          </cell>
          <cell r="B4909" t="str">
            <v>P344</v>
          </cell>
          <cell r="C4909" t="str">
            <v>ซาติน แขนยาวขายาว แมว FEN BOR พื้นขาว XL</v>
          </cell>
        </row>
        <row r="4910">
          <cell r="A4910" t="str">
            <v>SP0346-L</v>
          </cell>
          <cell r="B4910" t="str">
            <v>P346</v>
          </cell>
          <cell r="C4910" t="str">
            <v>ซาติน แขนยาวขายาว กระเป๋าแมวขาว ขอบขาว พื้นดำ L</v>
          </cell>
        </row>
        <row r="4911">
          <cell r="A4911" t="str">
            <v>SP0346-M</v>
          </cell>
          <cell r="B4911" t="str">
            <v>P346</v>
          </cell>
          <cell r="C4911" t="str">
            <v>ซาติน แขนยาวขายาว กระเป๋าแมวขาว ขอบขาว พื้นดำ M</v>
          </cell>
        </row>
        <row r="4912">
          <cell r="A4912" t="str">
            <v>SP0347-L</v>
          </cell>
          <cell r="B4912" t="str">
            <v>P347</v>
          </cell>
          <cell r="C4912" t="str">
            <v>ซาติน แขนยาวขายาว Coral Sea L</v>
          </cell>
        </row>
        <row r="4913">
          <cell r="A4913" t="str">
            <v>SP0347-M</v>
          </cell>
          <cell r="B4913" t="str">
            <v>P347</v>
          </cell>
          <cell r="C4913" t="str">
            <v>ซาติน แขนยาวขายาว Coral Sea M</v>
          </cell>
        </row>
        <row r="4914">
          <cell r="A4914" t="str">
            <v>SP0347-XL</v>
          </cell>
          <cell r="B4914" t="str">
            <v>P347</v>
          </cell>
          <cell r="C4914" t="str">
            <v>ซาติน แขนยาวขายาว Coral Sea XL</v>
          </cell>
        </row>
        <row r="4915">
          <cell r="A4915" t="str">
            <v>SP0348-L</v>
          </cell>
          <cell r="B4915" t="str">
            <v>P348</v>
          </cell>
          <cell r="C4915" t="str">
            <v>ซาติน แขนยาวขายาว Red Flower L</v>
          </cell>
        </row>
        <row r="4916">
          <cell r="A4916" t="str">
            <v>SP0348-M</v>
          </cell>
          <cell r="B4916" t="str">
            <v>P348</v>
          </cell>
          <cell r="C4916" t="str">
            <v>ซาติน แขนยาวขายาว Red Flower M</v>
          </cell>
        </row>
        <row r="4917">
          <cell r="A4917" t="str">
            <v>SP0348-XL</v>
          </cell>
          <cell r="B4917" t="str">
            <v>P348</v>
          </cell>
          <cell r="C4917" t="str">
            <v>ซาติน แขนยาวขายาว Red Flower XL</v>
          </cell>
        </row>
        <row r="4918">
          <cell r="A4918" t="str">
            <v>SP0350-L</v>
          </cell>
          <cell r="B4918" t="str">
            <v>P350</v>
          </cell>
          <cell r="C4918" t="str">
            <v>ซาติน แขนยาวขายาว Flower Gray L</v>
          </cell>
        </row>
        <row r="4919">
          <cell r="A4919" t="str">
            <v>SP0350-M</v>
          </cell>
          <cell r="B4919" t="str">
            <v>P350</v>
          </cell>
          <cell r="C4919" t="str">
            <v>ซาติน แขนยาวขายาว Flower Gray M</v>
          </cell>
        </row>
        <row r="4920">
          <cell r="A4920" t="str">
            <v>SP0350-S</v>
          </cell>
          <cell r="B4920" t="str">
            <v>P350</v>
          </cell>
          <cell r="C4920" t="str">
            <v>ซาติน แขนยาวขายาว Flower Gray S</v>
          </cell>
        </row>
        <row r="4921">
          <cell r="A4921" t="str">
            <v>SP0350-XL</v>
          </cell>
          <cell r="B4921" t="str">
            <v>P350</v>
          </cell>
          <cell r="C4921" t="str">
            <v>ซาติน แขนยาวขายาว Flower Gray XL</v>
          </cell>
        </row>
        <row r="4922">
          <cell r="A4922" t="str">
            <v>SP0351-L</v>
          </cell>
          <cell r="B4922" t="str">
            <v>P351</v>
          </cell>
          <cell r="C4922" t="str">
            <v>ซาติน แขนยาวขายาว เสือ พื้นม่วง L</v>
          </cell>
        </row>
        <row r="4923">
          <cell r="A4923" t="str">
            <v>SP0351-XL</v>
          </cell>
          <cell r="B4923" t="str">
            <v>P351</v>
          </cell>
          <cell r="C4923" t="str">
            <v>ซาติน แขนยาวขายาว เสือ พื้นม่วง XL</v>
          </cell>
        </row>
        <row r="4924">
          <cell r="A4924" t="str">
            <v>SP0354-L</v>
          </cell>
          <cell r="B4924" t="str">
            <v>P354</v>
          </cell>
          <cell r="C4924" t="str">
            <v>ซาติน แขนยาวขายาว Black Golden Flower L</v>
          </cell>
        </row>
        <row r="4925">
          <cell r="A4925" t="str">
            <v>SP0354-XL</v>
          </cell>
          <cell r="B4925" t="str">
            <v>P354</v>
          </cell>
          <cell r="C4925" t="str">
            <v>ซาติน แขนยาวขายาว Black Golden Flower XL</v>
          </cell>
        </row>
        <row r="4926">
          <cell r="A4926" t="str">
            <v>SP0355-L</v>
          </cell>
          <cell r="B4926" t="str">
            <v>P355</v>
          </cell>
          <cell r="C4926" t="str">
            <v>ซาติน แขนยาวขายาว GC L</v>
          </cell>
        </row>
        <row r="4927">
          <cell r="A4927" t="str">
            <v>SP0355-M</v>
          </cell>
          <cell r="B4927" t="str">
            <v>P355</v>
          </cell>
          <cell r="C4927" t="str">
            <v>ซาติน แขนยาวขายาว GC M</v>
          </cell>
        </row>
        <row r="4928">
          <cell r="A4928" t="str">
            <v>SP0355-XL</v>
          </cell>
          <cell r="B4928" t="str">
            <v>P355</v>
          </cell>
          <cell r="C4928" t="str">
            <v>ซาติน แขนยาวขายาว GC XL</v>
          </cell>
        </row>
        <row r="4929">
          <cell r="A4929" t="str">
            <v>SP0356-L</v>
          </cell>
          <cell r="B4929" t="str">
            <v>P356</v>
          </cell>
          <cell r="C4929" t="str">
            <v>ซาติน แขนยาวขายาว กระเป๋าผีเสื้อ พื้นขาว L</v>
          </cell>
        </row>
        <row r="4930">
          <cell r="A4930" t="str">
            <v>SP0356-M</v>
          </cell>
          <cell r="B4930" t="str">
            <v>P356</v>
          </cell>
          <cell r="C4930" t="str">
            <v>ซาติน แขนยาวขายาว กระเป๋าผีเสื้อ พื้นขาว M</v>
          </cell>
        </row>
        <row r="4931">
          <cell r="A4931" t="str">
            <v>SP0356-XL</v>
          </cell>
          <cell r="B4931" t="str">
            <v>P356</v>
          </cell>
          <cell r="C4931" t="str">
            <v>ซาติน แขนยาวขายาว กระเป๋าผีเสื้อ พื้นขาว XL</v>
          </cell>
        </row>
        <row r="4932">
          <cell r="A4932" t="str">
            <v>SP0357-L</v>
          </cell>
          <cell r="B4932" t="str">
            <v>P357</v>
          </cell>
          <cell r="C4932" t="str">
            <v>ซาติน แขนยาวขายาว กระเป๋าผีเสื้อ พื้นชมพู L</v>
          </cell>
        </row>
        <row r="4933">
          <cell r="A4933" t="str">
            <v>SP0357-M</v>
          </cell>
          <cell r="B4933" t="str">
            <v>P357</v>
          </cell>
          <cell r="C4933" t="str">
            <v>ซาติน แขนยาวขายาว กระเป๋าผีเสื้อ พื้นชมพู M</v>
          </cell>
        </row>
        <row r="4934">
          <cell r="A4934" t="str">
            <v>SP0357-XL</v>
          </cell>
          <cell r="B4934" t="str">
            <v>P357</v>
          </cell>
          <cell r="C4934" t="str">
            <v>ซาติน แขนยาวขายาว กระเป๋าผีเสื้อ พื้นชมพู XL</v>
          </cell>
        </row>
        <row r="4935">
          <cell r="A4935" t="str">
            <v>SP0358-L</v>
          </cell>
          <cell r="B4935" t="str">
            <v>P358</v>
          </cell>
          <cell r="C4935" t="str">
            <v>ซาติน แขนยาวขายาว ลายทางม่วงครีม L</v>
          </cell>
        </row>
        <row r="4936">
          <cell r="A4936" t="str">
            <v>SP0358-M</v>
          </cell>
          <cell r="B4936" t="str">
            <v>P358</v>
          </cell>
          <cell r="C4936" t="str">
            <v>ซาติน แขนยาวขายาว ลายทางม่วงครีม M</v>
          </cell>
        </row>
        <row r="4937">
          <cell r="A4937" t="str">
            <v>SP0359-L</v>
          </cell>
          <cell r="B4937" t="str">
            <v>P359</v>
          </cell>
          <cell r="C4937" t="str">
            <v>ซาติน แขนยาวขายาว Mini Heart พื้นครีม L</v>
          </cell>
        </row>
        <row r="4938">
          <cell r="A4938" t="str">
            <v>SP0359-M</v>
          </cell>
          <cell r="B4938" t="str">
            <v>P359</v>
          </cell>
          <cell r="C4938" t="str">
            <v>ซาติน แขนยาวขายาว Mini Heart พื้นครีม M</v>
          </cell>
        </row>
        <row r="4939">
          <cell r="A4939" t="str">
            <v>SP0360-2XL</v>
          </cell>
          <cell r="B4939" t="str">
            <v>P360</v>
          </cell>
          <cell r="C4939" t="str">
            <v>ซาติน แขนยาวขายาว Comic book 2XL</v>
          </cell>
        </row>
        <row r="4940">
          <cell r="A4940" t="str">
            <v>SP0360-3XL</v>
          </cell>
          <cell r="B4940" t="str">
            <v>P360</v>
          </cell>
          <cell r="C4940" t="str">
            <v>ซาติน แขนยาวขายาว Comic book 3XL</v>
          </cell>
        </row>
        <row r="4941">
          <cell r="A4941" t="str">
            <v>SP0360-L</v>
          </cell>
          <cell r="B4941" t="str">
            <v>P360</v>
          </cell>
          <cell r="C4941" t="str">
            <v>ซาติน แขนยาวขายาว Comic book L</v>
          </cell>
        </row>
        <row r="4942">
          <cell r="A4942" t="str">
            <v>SP0360-M</v>
          </cell>
          <cell r="B4942" t="str">
            <v>P360</v>
          </cell>
          <cell r="C4942" t="str">
            <v>ซาติน แขนยาวขายาว Comic book M</v>
          </cell>
        </row>
        <row r="4943">
          <cell r="A4943" t="str">
            <v>SP0360-XL</v>
          </cell>
          <cell r="B4943" t="str">
            <v>P360</v>
          </cell>
          <cell r="C4943" t="str">
            <v>ซาติน แขนยาวขายาว Comic book XL</v>
          </cell>
        </row>
        <row r="4944">
          <cell r="A4944" t="str">
            <v>SP0361-L</v>
          </cell>
          <cell r="B4944" t="str">
            <v>P361</v>
          </cell>
          <cell r="C4944" t="str">
            <v>ซาติน แขนยาวขายาว Color Full L</v>
          </cell>
        </row>
        <row r="4945">
          <cell r="A4945" t="str">
            <v>SP0361-M</v>
          </cell>
          <cell r="B4945" t="str">
            <v>P361</v>
          </cell>
          <cell r="C4945" t="str">
            <v>ซาติน แขนยาวขายาว Color Full M</v>
          </cell>
        </row>
        <row r="4946">
          <cell r="A4946" t="str">
            <v>SP0361-S</v>
          </cell>
          <cell r="B4946" t="str">
            <v>P361</v>
          </cell>
          <cell r="C4946" t="str">
            <v>ซาติน แขนยาวขายาว Color Full S</v>
          </cell>
        </row>
        <row r="4947">
          <cell r="A4947" t="str">
            <v>SP0361-XL</v>
          </cell>
          <cell r="B4947" t="str">
            <v>P361</v>
          </cell>
          <cell r="C4947" t="str">
            <v>ซาติน แขนยาวขายาว Color Full XL</v>
          </cell>
        </row>
        <row r="4948">
          <cell r="A4948" t="str">
            <v>SP0362-L</v>
          </cell>
          <cell r="B4948" t="str">
            <v>P362</v>
          </cell>
          <cell r="C4948" t="str">
            <v>ซาติน แขนยาวขายาว New moon Art L</v>
          </cell>
        </row>
        <row r="4949">
          <cell r="A4949" t="str">
            <v>SP0362-M</v>
          </cell>
          <cell r="B4949" t="str">
            <v>P362</v>
          </cell>
          <cell r="C4949" t="str">
            <v>ซาติน แขนยาวขายาว New moon Art M</v>
          </cell>
        </row>
        <row r="4950">
          <cell r="A4950" t="str">
            <v>SP0362-XL</v>
          </cell>
          <cell r="B4950" t="str">
            <v>P362</v>
          </cell>
          <cell r="C4950" t="str">
            <v>ซาติน แขนยาวขายาว New moon Art XL</v>
          </cell>
        </row>
        <row r="4951">
          <cell r="A4951" t="str">
            <v>SP0363-L</v>
          </cell>
          <cell r="B4951" t="str">
            <v>P363</v>
          </cell>
          <cell r="C4951" t="str">
            <v>ซาติน แขนยาวขายาว ม้าลาย ดำ L</v>
          </cell>
        </row>
        <row r="4952">
          <cell r="A4952" t="str">
            <v>SP0363-M</v>
          </cell>
          <cell r="B4952" t="str">
            <v>P363</v>
          </cell>
          <cell r="C4952" t="str">
            <v>ซาติน แขนยาวขายาว ม้าลาย ดำ M</v>
          </cell>
        </row>
        <row r="4953">
          <cell r="A4953" t="str">
            <v>SP0364-L</v>
          </cell>
          <cell r="B4953" t="str">
            <v>P364</v>
          </cell>
          <cell r="C4953" t="str">
            <v>ซาติน แขนยาวขายาว ม้าลาย ชมพู L</v>
          </cell>
        </row>
        <row r="4954">
          <cell r="A4954" t="str">
            <v>SP0364-M</v>
          </cell>
          <cell r="B4954" t="str">
            <v>P364</v>
          </cell>
          <cell r="C4954" t="str">
            <v>ซาติน แขนยาวขายาว ม้าลาย ชมพู M</v>
          </cell>
        </row>
        <row r="4955">
          <cell r="A4955" t="str">
            <v>SP0365-L</v>
          </cell>
          <cell r="B4955" t="str">
            <v>P365</v>
          </cell>
          <cell r="C4955" t="str">
            <v>ซาติน แขนยาวขายาว ม้าลาย เทา L</v>
          </cell>
        </row>
        <row r="4956">
          <cell r="A4956" t="str">
            <v>SP0365-M</v>
          </cell>
          <cell r="B4956" t="str">
            <v>P365</v>
          </cell>
          <cell r="C4956" t="str">
            <v>ซาติน แขนยาวขายาว ม้าลาย เทา M</v>
          </cell>
        </row>
        <row r="4957">
          <cell r="A4957" t="str">
            <v>SP0366-L</v>
          </cell>
          <cell r="B4957" t="str">
            <v>P366</v>
          </cell>
          <cell r="C4957" t="str">
            <v>ซาติน แขนยาวขายาว กระเป๋าระบาย เท้าแมว พื้นเทา L</v>
          </cell>
        </row>
        <row r="4958">
          <cell r="A4958" t="str">
            <v>SP0366-M</v>
          </cell>
          <cell r="B4958" t="str">
            <v>P366</v>
          </cell>
          <cell r="C4958" t="str">
            <v>ซาติน แขนยาวขายาว กระเป๋าระบาย เท้าแมว พื้นเทา M</v>
          </cell>
        </row>
        <row r="4959">
          <cell r="A4959" t="str">
            <v>SP0367-L</v>
          </cell>
          <cell r="B4959" t="str">
            <v>P367</v>
          </cell>
          <cell r="C4959" t="str">
            <v>ซาติน แขนยาวขายาว กระเป๋าระบาย เท้าแมว พื้นครีม L</v>
          </cell>
        </row>
        <row r="4960">
          <cell r="A4960" t="str">
            <v>SP0367-M</v>
          </cell>
          <cell r="B4960" t="str">
            <v>P367</v>
          </cell>
          <cell r="C4960" t="str">
            <v>ซาติน แขนยาวขายาว กระเป๋าระบาย เท้าแมว พื้นครีม M</v>
          </cell>
        </row>
        <row r="4961">
          <cell r="A4961" t="str">
            <v>SP0368-L</v>
          </cell>
          <cell r="B4961" t="str">
            <v>P368</v>
          </cell>
          <cell r="C4961" t="str">
            <v>ซาติน แขนยาวขายาว เสื้อ น้ำเงิน L</v>
          </cell>
        </row>
        <row r="4962">
          <cell r="A4962" t="str">
            <v>SP0368-M</v>
          </cell>
          <cell r="B4962" t="str">
            <v>P368</v>
          </cell>
          <cell r="C4962" t="str">
            <v>ซาติน แขนยาวขายาว เสือ น้ำเงิน M</v>
          </cell>
        </row>
        <row r="4963">
          <cell r="A4963" t="str">
            <v>SP0368-XL</v>
          </cell>
          <cell r="B4963" t="str">
            <v>P368</v>
          </cell>
          <cell r="C4963" t="str">
            <v>ซาติน แขนยาวขายาว เสือ น้ำเงิน XL</v>
          </cell>
        </row>
        <row r="4964">
          <cell r="A4964" t="str">
            <v>SP0371-L</v>
          </cell>
          <cell r="B4964" t="str">
            <v>P371</v>
          </cell>
          <cell r="C4964" t="str">
            <v>ซาติน แขนยาวขายาว หมีน้ำตาล พื้นครีม L</v>
          </cell>
        </row>
        <row r="4965">
          <cell r="A4965" t="str">
            <v>SP0372-L</v>
          </cell>
          <cell r="B4965" t="str">
            <v>P372</v>
          </cell>
          <cell r="C4965" t="str">
            <v>ซาติน แขนยาวขายาว หมีขาว พื้นม่วง L</v>
          </cell>
        </row>
        <row r="4966">
          <cell r="A4966" t="str">
            <v>SP0372-M</v>
          </cell>
          <cell r="B4966" t="str">
            <v>P372</v>
          </cell>
          <cell r="C4966" t="str">
            <v>ซาติน แขนยาวขายาว หมีขาว พื้นม่วง M</v>
          </cell>
        </row>
        <row r="4967">
          <cell r="A4967" t="str">
            <v>SP0374-L</v>
          </cell>
          <cell r="B4967" t="str">
            <v>P374</v>
          </cell>
          <cell r="C4967" t="str">
            <v>ซาติน แขนยาวขายาว พื้นชมพู ขอบลูกไม้ดำ L</v>
          </cell>
        </row>
        <row r="4968">
          <cell r="A4968" t="str">
            <v>SP0374-M</v>
          </cell>
          <cell r="B4968" t="str">
            <v>P374</v>
          </cell>
          <cell r="C4968" t="str">
            <v>ซาติน แขนยาวขายาว พื้นชมพู ขอบลูกไม้ดำ M</v>
          </cell>
        </row>
        <row r="4969">
          <cell r="A4969" t="str">
            <v>SP0374-XL</v>
          </cell>
          <cell r="B4969" t="str">
            <v>P374</v>
          </cell>
          <cell r="C4969" t="str">
            <v>ซาติน แขนยาวขายาว พื้นชมพู ขอบลูกไม้ดำ XL</v>
          </cell>
        </row>
        <row r="4970">
          <cell r="A4970" t="str">
            <v>SP0375-L</v>
          </cell>
          <cell r="B4970" t="str">
            <v>P375</v>
          </cell>
          <cell r="C4970" t="str">
            <v>ซาติน แขนยาวขายาว พื้นฟ้า ขอบลูกไม้ดำ L</v>
          </cell>
        </row>
        <row r="4971">
          <cell r="A4971" t="str">
            <v>SP0375-M</v>
          </cell>
          <cell r="B4971" t="str">
            <v>P375</v>
          </cell>
          <cell r="C4971" t="str">
            <v>ซาติน แขนยาวขายาว พื้นฟ้า ขอบลูกไม้ดำ M</v>
          </cell>
        </row>
        <row r="4972">
          <cell r="A4972" t="str">
            <v>SP0375-XL</v>
          </cell>
          <cell r="B4972" t="str">
            <v>P375</v>
          </cell>
          <cell r="C4972" t="str">
            <v>ซาติน แขนยาวขายาว พื้นฟ้า ขอบลูกไม้ดำ XL</v>
          </cell>
        </row>
        <row r="4973">
          <cell r="A4973" t="str">
            <v>SP0376-L</v>
          </cell>
          <cell r="B4973" t="str">
            <v>P376</v>
          </cell>
          <cell r="C4973" t="str">
            <v>ซาติน แขนยาวขายาว Drew flower L</v>
          </cell>
        </row>
        <row r="4974">
          <cell r="A4974" t="str">
            <v>SP0376-M</v>
          </cell>
          <cell r="B4974" t="str">
            <v>P376</v>
          </cell>
          <cell r="C4974" t="str">
            <v>ซาติน แขนยาวขายาว Drew flower M</v>
          </cell>
        </row>
        <row r="4975">
          <cell r="A4975" t="str">
            <v>SP0377-L</v>
          </cell>
          <cell r="B4975" t="str">
            <v>P377</v>
          </cell>
          <cell r="C4975" t="str">
            <v>ซาติน แขนยาวขายาว กระต่ายม่วง L</v>
          </cell>
        </row>
        <row r="4976">
          <cell r="A4976" t="str">
            <v>SP0377-M</v>
          </cell>
          <cell r="B4976" t="str">
            <v>P377</v>
          </cell>
          <cell r="C4976" t="str">
            <v>ซาติน แขนยาวขายาว กระต่ายม่วง M</v>
          </cell>
        </row>
        <row r="4977">
          <cell r="A4977" t="str">
            <v>SP0378-L</v>
          </cell>
          <cell r="B4977" t="str">
            <v>P378</v>
          </cell>
          <cell r="C4977" t="str">
            <v>ซาติน แขนยาวขายาว โบว์ดำ ทั่วตัว พื้นครีม L</v>
          </cell>
        </row>
        <row r="4978">
          <cell r="A4978" t="str">
            <v>SP0378-M</v>
          </cell>
          <cell r="B4978" t="str">
            <v>P378</v>
          </cell>
          <cell r="C4978" t="str">
            <v>ซาติน แขนยาวขายาว โบว์ดำ ทั่วตัว พื้นครีม M</v>
          </cell>
        </row>
        <row r="4979">
          <cell r="A4979" t="str">
            <v>SP0379-L</v>
          </cell>
          <cell r="B4979" t="str">
            <v>P379</v>
          </cell>
          <cell r="C4979" t="str">
            <v>ซาติน แขนยาวขายาว หัวใจฟ้า น้ำตาล พื้นขาว L</v>
          </cell>
        </row>
        <row r="4980">
          <cell r="A4980" t="str">
            <v>SP0380-L</v>
          </cell>
          <cell r="B4980" t="str">
            <v>JP380</v>
          </cell>
          <cell r="C4980" t="str">
            <v>ซาติน แขนยาวขายาว หัวใจฟ้า น้ำตาล พื้นชมพู L ตัวโชว์</v>
          </cell>
        </row>
        <row r="4981">
          <cell r="A4981" t="str">
            <v>SP0380-M</v>
          </cell>
          <cell r="B4981" t="str">
            <v>JP380</v>
          </cell>
          <cell r="C4981" t="str">
            <v>ซาติน แขนยาวขายาว หัวใจฟ้า น้ำตาล พื้นชมพู M ตัวโชว์</v>
          </cell>
        </row>
        <row r="4982">
          <cell r="A4982" t="str">
            <v>SP0381-L</v>
          </cell>
          <cell r="B4982" t="str">
            <v>P381</v>
          </cell>
          <cell r="C4982" t="str">
            <v>ซาติน แขนยาวขายาว Christmas Red L</v>
          </cell>
        </row>
        <row r="4983">
          <cell r="A4983" t="str">
            <v>SP0382-L</v>
          </cell>
          <cell r="B4983" t="str">
            <v>P382</v>
          </cell>
          <cell r="C4983" t="str">
            <v>ซาติน แขนยาวขายาว Christmas Green L</v>
          </cell>
        </row>
        <row r="4984">
          <cell r="A4984" t="str">
            <v>SP0382-M</v>
          </cell>
          <cell r="B4984" t="str">
            <v>P382</v>
          </cell>
          <cell r="C4984" t="str">
            <v>ซาติน แขนยาวขายาว Christmas Green M</v>
          </cell>
        </row>
        <row r="4985">
          <cell r="A4985" t="str">
            <v>SP0383-L</v>
          </cell>
          <cell r="B4985" t="str">
            <v>P383</v>
          </cell>
          <cell r="C4985" t="str">
            <v>ซาติน แขนยาวขายาว Lemon White L</v>
          </cell>
        </row>
        <row r="4986">
          <cell r="A4986" t="str">
            <v>SP0383-M</v>
          </cell>
          <cell r="B4986" t="str">
            <v>P383</v>
          </cell>
          <cell r="C4986" t="str">
            <v>ซาติน แขนยาวขายาว Lemon White M</v>
          </cell>
        </row>
        <row r="4987">
          <cell r="A4987" t="str">
            <v>SP0384-L</v>
          </cell>
          <cell r="B4987" t="str">
            <v>P384</v>
          </cell>
          <cell r="C4987" t="str">
            <v>ซาติน แขนยาวขายาว Lemon Yellow L</v>
          </cell>
        </row>
        <row r="4988">
          <cell r="A4988" t="str">
            <v>SP0384-M</v>
          </cell>
          <cell r="B4988" t="str">
            <v>P384</v>
          </cell>
          <cell r="C4988" t="str">
            <v>ซาติน แขนยาวขายาว Lemon Yellow M</v>
          </cell>
        </row>
        <row r="4989">
          <cell r="A4989" t="str">
            <v>SP0385-L</v>
          </cell>
          <cell r="B4989" t="str">
            <v>P385</v>
          </cell>
          <cell r="C4989" t="str">
            <v>ซาติน แขนยาวขายาว Lemon Green L</v>
          </cell>
        </row>
        <row r="4990">
          <cell r="A4990" t="str">
            <v>SP0385-M</v>
          </cell>
          <cell r="B4990" t="str">
            <v>P385</v>
          </cell>
          <cell r="C4990" t="str">
            <v>ซาติน แขนยาวขายาว Lemon Green M</v>
          </cell>
        </row>
        <row r="4991">
          <cell r="A4991" t="str">
            <v>SP0386-L</v>
          </cell>
          <cell r="B4991" t="str">
            <v>P386</v>
          </cell>
          <cell r="C4991" t="str">
            <v>ซาติน แขนยาวขายาว Lemon Pink L</v>
          </cell>
        </row>
        <row r="4992">
          <cell r="A4992" t="str">
            <v>SP0386-M</v>
          </cell>
          <cell r="B4992" t="str">
            <v>P386</v>
          </cell>
          <cell r="C4992" t="str">
            <v>ซาติน แขนยาวขายาว Lemon Pink M (กปก)</v>
          </cell>
        </row>
        <row r="4993">
          <cell r="A4993" t="str">
            <v>SP0387-L</v>
          </cell>
          <cell r="B4993" t="str">
            <v>P387</v>
          </cell>
          <cell r="C4993" t="str">
            <v>ซาติน แขนยาวขายาว balloon heart ฟ้า L</v>
          </cell>
        </row>
        <row r="4994">
          <cell r="A4994" t="str">
            <v>SP0387-M</v>
          </cell>
          <cell r="B4994" t="str">
            <v>P387</v>
          </cell>
          <cell r="C4994" t="str">
            <v>ซาติน แขนยาวขายาว balloon heart ฟ้า M</v>
          </cell>
        </row>
        <row r="4995">
          <cell r="A4995" t="str">
            <v>SP0387-XL</v>
          </cell>
          <cell r="B4995" t="str">
            <v>P387</v>
          </cell>
          <cell r="C4995" t="str">
            <v>ซาติน แขนยาวขายาว balloon heart ฟ้า XL</v>
          </cell>
        </row>
        <row r="4996">
          <cell r="A4996" t="str">
            <v>SP0388-L</v>
          </cell>
          <cell r="B4996" t="str">
            <v>P388</v>
          </cell>
          <cell r="C4996" t="str">
            <v>ซาติน แขนยาวขายาว balloon heart ชมพู L</v>
          </cell>
        </row>
        <row r="4997">
          <cell r="A4997" t="str">
            <v>SP0388-XL</v>
          </cell>
          <cell r="B4997" t="str">
            <v>P388</v>
          </cell>
          <cell r="C4997" t="str">
            <v>ซาติน แขนยาวขายาว balloon heart ชมพู XL</v>
          </cell>
        </row>
        <row r="4998">
          <cell r="A4998" t="str">
            <v>SP0389-L</v>
          </cell>
          <cell r="B4998" t="str">
            <v>P389</v>
          </cell>
          <cell r="C4998" t="str">
            <v>ซาติน แขนยาวขายาว ช้างน้อย พื้นโอรส L</v>
          </cell>
        </row>
        <row r="4999">
          <cell r="A4999" t="str">
            <v>SP0389-M</v>
          </cell>
          <cell r="B4999" t="str">
            <v>P389</v>
          </cell>
          <cell r="C4999" t="str">
            <v>ซาติน แขนยาวขายาว ช้างน้อย พื้นโอรส M</v>
          </cell>
        </row>
        <row r="5000">
          <cell r="A5000" t="str">
            <v>SP0389-XL</v>
          </cell>
          <cell r="B5000" t="str">
            <v>P389</v>
          </cell>
          <cell r="C5000" t="str">
            <v>ซาติน แขนยาวขายาว ช้างน้อย พื้นโอรส XL</v>
          </cell>
        </row>
        <row r="5001">
          <cell r="A5001" t="str">
            <v>SP0390-L</v>
          </cell>
          <cell r="B5001" t="str">
            <v>P390</v>
          </cell>
          <cell r="C5001" t="str">
            <v>ซาติน แขนยาวขายาว ช้างน้อย พื้นขาว L</v>
          </cell>
        </row>
        <row r="5002">
          <cell r="A5002" t="str">
            <v>SP0390-M</v>
          </cell>
          <cell r="B5002" t="str">
            <v>P390</v>
          </cell>
          <cell r="C5002" t="str">
            <v>ซาติน แขนยาวขายาว ช้างน้อย พื้นขาว M</v>
          </cell>
        </row>
        <row r="5003">
          <cell r="A5003" t="str">
            <v>SP0390-XL</v>
          </cell>
          <cell r="B5003" t="str">
            <v>P390</v>
          </cell>
          <cell r="C5003" t="str">
            <v>ซาติน แขนยาวขายาว ช้างน้อย พื้นขาว XL</v>
          </cell>
        </row>
        <row r="5004">
          <cell r="A5004" t="str">
            <v>SP0391-L</v>
          </cell>
          <cell r="B5004" t="str">
            <v>P391</v>
          </cell>
          <cell r="C5004" t="str">
            <v>ซาติน แขนยาวขายาว bow love heart พื้นขาว L</v>
          </cell>
        </row>
        <row r="5005">
          <cell r="A5005" t="str">
            <v>SP0391-M</v>
          </cell>
          <cell r="B5005" t="str">
            <v>P391</v>
          </cell>
          <cell r="C5005" t="str">
            <v>ซาติน แขนยาวขายาว bow love heart พื้นขาว M</v>
          </cell>
        </row>
        <row r="5006">
          <cell r="A5006" t="str">
            <v>SP0391-XL</v>
          </cell>
          <cell r="B5006" t="str">
            <v>P391</v>
          </cell>
          <cell r="C5006" t="str">
            <v>ซาติน แขนยาวขายาว bow love heart พื้นขาว XL</v>
          </cell>
        </row>
        <row r="5007">
          <cell r="A5007" t="str">
            <v>SP0392-L</v>
          </cell>
          <cell r="B5007" t="str">
            <v>P392</v>
          </cell>
          <cell r="C5007" t="str">
            <v>ซาติน แขนยาวขายาว bow love heart พื้นฟ้า L</v>
          </cell>
        </row>
        <row r="5008">
          <cell r="A5008" t="str">
            <v>SP0392-M</v>
          </cell>
          <cell r="B5008" t="str">
            <v>P392</v>
          </cell>
          <cell r="C5008" t="str">
            <v>ซาติน แขนยาวขายาว bow love heart พื้นฟ้า M</v>
          </cell>
        </row>
        <row r="5009">
          <cell r="A5009" t="str">
            <v>SP0392-XL</v>
          </cell>
          <cell r="B5009" t="str">
            <v>P392</v>
          </cell>
          <cell r="C5009" t="str">
            <v>ซาติน แขนยาวขายาว bow love heart พื้นฟ้า XL</v>
          </cell>
        </row>
        <row r="5010">
          <cell r="A5010" t="str">
            <v>SP0393-L</v>
          </cell>
          <cell r="B5010" t="str">
            <v>P393</v>
          </cell>
          <cell r="C5010" t="str">
            <v>ซาติน แขนยาวขายาว enjoylife พื้นชมพู L</v>
          </cell>
        </row>
        <row r="5011">
          <cell r="A5011" t="str">
            <v>SP0394-L</v>
          </cell>
          <cell r="B5011" t="str">
            <v>P394</v>
          </cell>
          <cell r="C5011" t="str">
            <v>ซาติน แขนยาวขายาว enjoylife พื้นดำ L</v>
          </cell>
        </row>
        <row r="5012">
          <cell r="A5012" t="str">
            <v>SP0394-M</v>
          </cell>
          <cell r="B5012" t="str">
            <v>P394</v>
          </cell>
          <cell r="C5012" t="str">
            <v>ซาติน แขนยาวขายาว enjoylife พื้นดำ M</v>
          </cell>
        </row>
        <row r="5013">
          <cell r="A5013" t="str">
            <v>SP0395-L</v>
          </cell>
          <cell r="B5013" t="str">
            <v>P395</v>
          </cell>
          <cell r="C5013" t="str">
            <v>ซาติน แขนยาวขายาว พื้นครีม คอปกขาว L</v>
          </cell>
        </row>
        <row r="5014">
          <cell r="A5014" t="str">
            <v>SP0395-M</v>
          </cell>
          <cell r="B5014" t="str">
            <v>P395</v>
          </cell>
          <cell r="C5014" t="str">
            <v>ซาติน แขนยาวขายาว พื้นครีม คอปกขาว M</v>
          </cell>
        </row>
        <row r="5015">
          <cell r="A5015" t="str">
            <v>SP0396-L</v>
          </cell>
          <cell r="B5015" t="str">
            <v>P396</v>
          </cell>
          <cell r="C5015" t="str">
            <v>ซาติน แขนยาวขายาว enjoylife พื้นขาว L</v>
          </cell>
        </row>
        <row r="5016">
          <cell r="A5016" t="str">
            <v>SP0397-L</v>
          </cell>
          <cell r="B5016" t="str">
            <v>P397</v>
          </cell>
          <cell r="C5016" t="str">
            <v>ซาติน แขนยาวขายาว enjoylife พื้นครีม L</v>
          </cell>
        </row>
        <row r="5017">
          <cell r="A5017" t="str">
            <v>SP0398-L</v>
          </cell>
          <cell r="B5017" t="str">
            <v>P398</v>
          </cell>
          <cell r="C5017" t="str">
            <v>ซาติน แขนยาวขายาว พื้นฟ้า คอปกขาว L</v>
          </cell>
        </row>
        <row r="5018">
          <cell r="A5018" t="str">
            <v>SP0398-M</v>
          </cell>
          <cell r="B5018" t="str">
            <v>P398</v>
          </cell>
          <cell r="C5018" t="str">
            <v>ซาติน แขนยาวขายาว พื้นฟ้า คอปกขาว M</v>
          </cell>
        </row>
        <row r="5019">
          <cell r="A5019" t="str">
            <v>SP0399-L</v>
          </cell>
          <cell r="B5019" t="str">
            <v>P399</v>
          </cell>
          <cell r="C5019" t="str">
            <v>ซาติน แขนยาวขายาว พื้นเหลือง จุดขาว SLEEP L</v>
          </cell>
        </row>
        <row r="5020">
          <cell r="A5020" t="str">
            <v>SP0399-M</v>
          </cell>
          <cell r="B5020" t="str">
            <v>P399</v>
          </cell>
          <cell r="C5020" t="str">
            <v>ซาติน แขนยาวขายาว พื้นเหลือง จุดขาว SLEEP M</v>
          </cell>
        </row>
        <row r="5021">
          <cell r="A5021" t="str">
            <v>SP0400-L</v>
          </cell>
          <cell r="B5021" t="str">
            <v>P400</v>
          </cell>
          <cell r="C5021" t="str">
            <v>ซาติน แขนยาวขายาว พื้นขาว จุดเขียวอ่อน SLEEP L</v>
          </cell>
        </row>
        <row r="5022">
          <cell r="A5022" t="str">
            <v>SP0400-M</v>
          </cell>
          <cell r="B5022" t="str">
            <v>P400</v>
          </cell>
          <cell r="C5022" t="str">
            <v>ซาติน แขนยาวขายาว พื้นขาว จุดเขียวอ่อน SLEEP M</v>
          </cell>
        </row>
        <row r="5023">
          <cell r="A5023" t="str">
            <v>SP0401-L</v>
          </cell>
          <cell r="B5023" t="str">
            <v>P401</v>
          </cell>
          <cell r="C5023" t="str">
            <v>ซาติน แขนยาวขายาว พื้นขาว จุดชมพูอ่อน SLEEP L</v>
          </cell>
        </row>
        <row r="5024">
          <cell r="A5024" t="str">
            <v>SP0401-M</v>
          </cell>
          <cell r="B5024" t="str">
            <v>P401</v>
          </cell>
          <cell r="C5024" t="str">
            <v>ซาติน แขนยาวขายาว พื้นขาว จุดชมพูอ่อน SLEEP M</v>
          </cell>
        </row>
        <row r="5025">
          <cell r="A5025" t="str">
            <v>SP0402-L</v>
          </cell>
          <cell r="B5025" t="str">
            <v>P402</v>
          </cell>
          <cell r="C5025" t="str">
            <v>ซาติน แขนยาวขายาว เสือ พื้นขาว จุดเขียว L</v>
          </cell>
        </row>
        <row r="5026">
          <cell r="A5026" t="str">
            <v>SP0402-M</v>
          </cell>
          <cell r="B5026" t="str">
            <v>P402</v>
          </cell>
          <cell r="C5026" t="str">
            <v>ซาติน แขนยาวขายาว เสือ พื้นขาว จุดเขียว M</v>
          </cell>
        </row>
        <row r="5027">
          <cell r="A5027" t="str">
            <v>SP0403-L</v>
          </cell>
          <cell r="B5027" t="str">
            <v>P403</v>
          </cell>
          <cell r="C5027" t="str">
            <v>ซาติน แขนยาวขายาว เสือ พื้นขาว จุดชมพู L</v>
          </cell>
        </row>
        <row r="5028">
          <cell r="A5028" t="str">
            <v>SP0403-M</v>
          </cell>
          <cell r="B5028" t="str">
            <v>P403</v>
          </cell>
          <cell r="C5028" t="str">
            <v>ซาติน แขนยาวขายาว เสือ พื้นขาว จุดชมพู M</v>
          </cell>
        </row>
        <row r="5029">
          <cell r="A5029" t="str">
            <v>SP0404-L</v>
          </cell>
          <cell r="B5029" t="str">
            <v>P404</v>
          </cell>
          <cell r="C5029" t="str">
            <v>ซาติน แขนยาวขายาว ชิโนริ พื้นขาว กระเป๋า Queen L</v>
          </cell>
        </row>
        <row r="5030">
          <cell r="A5030" t="str">
            <v>SP0404-M</v>
          </cell>
          <cell r="B5030" t="str">
            <v>P404</v>
          </cell>
          <cell r="C5030" t="str">
            <v>ซาติน แขนยาวขายาว ชิโนริ พื้นขาว กระเป๋า Queen M</v>
          </cell>
        </row>
        <row r="5031">
          <cell r="A5031" t="str">
            <v>SP0405-L</v>
          </cell>
          <cell r="B5031" t="str">
            <v>P405</v>
          </cell>
          <cell r="C5031" t="str">
            <v>ซาติน แขนยาวขายาว ชิโนริ พื้นดำ กระเป๋า Queen L</v>
          </cell>
        </row>
        <row r="5032">
          <cell r="A5032" t="str">
            <v>SP0405-M</v>
          </cell>
          <cell r="B5032" t="str">
            <v>P405</v>
          </cell>
          <cell r="C5032" t="str">
            <v>ซาติน แขนยาวขายาว ชิโนริ พื้นดำ กระเป๋า Queen M</v>
          </cell>
        </row>
        <row r="5033">
          <cell r="A5033" t="str">
            <v>SP0406-L</v>
          </cell>
          <cell r="B5033" t="str">
            <v>P406</v>
          </cell>
          <cell r="C5033" t="str">
            <v>ซาติน แขนยาวขายาว ชิโนริ พื้นเทา กระเป๋า Queen L</v>
          </cell>
        </row>
        <row r="5034">
          <cell r="A5034" t="str">
            <v>SP0407-L</v>
          </cell>
          <cell r="B5034" t="str">
            <v>P407</v>
          </cell>
          <cell r="C5034" t="str">
            <v>ซาติน แขนยาวขายาว ชิโนริ พื้นเขียว กระเป๋า Queen L</v>
          </cell>
        </row>
        <row r="5035">
          <cell r="A5035" t="str">
            <v>SP0407-M</v>
          </cell>
          <cell r="B5035" t="str">
            <v>P407</v>
          </cell>
          <cell r="C5035" t="str">
            <v>ซาติน แขนยาวขายาว ชิโนริ พื้นเขียว กระเป๋า Queen M</v>
          </cell>
        </row>
        <row r="5036">
          <cell r="A5036" t="str">
            <v>SP0408-L</v>
          </cell>
          <cell r="B5036" t="str">
            <v>P408</v>
          </cell>
          <cell r="C5036" t="str">
            <v>ซาติน แขนยาวขายาว ชิโนริ พื้นชมพู กระเป๋า Queen L</v>
          </cell>
        </row>
        <row r="5037">
          <cell r="A5037" t="str">
            <v>SP0408-M</v>
          </cell>
          <cell r="B5037" t="str">
            <v>P408</v>
          </cell>
          <cell r="C5037" t="str">
            <v>ซาติน แขนยาวขายาว ชิโนริ พื้นชมพู กระเป๋า Queen M</v>
          </cell>
        </row>
        <row r="5038">
          <cell r="A5038" t="str">
            <v>SP0410-F</v>
          </cell>
          <cell r="B5038" t="str">
            <v>P410</v>
          </cell>
          <cell r="C5038" t="str">
            <v>ซาติน แขนยาวขายาว กระเป๋า X พื้นครีม F</v>
          </cell>
        </row>
        <row r="5039">
          <cell r="A5039" t="str">
            <v>SP0411-F</v>
          </cell>
          <cell r="B5039" t="str">
            <v>P411</v>
          </cell>
          <cell r="C5039" t="str">
            <v>ซาติน แขนยาวขายาว Rectangle Dap พื้นเขียว F</v>
          </cell>
        </row>
        <row r="5040">
          <cell r="A5040" t="str">
            <v>SP0412-F</v>
          </cell>
          <cell r="B5040" t="str">
            <v>P412</v>
          </cell>
          <cell r="C5040" t="str">
            <v>ซาติน แขนยาวขายาว Rectangle Dap พื้นชมพู F</v>
          </cell>
        </row>
        <row r="5041">
          <cell r="A5041" t="str">
            <v>SP0413-F</v>
          </cell>
          <cell r="B5041" t="str">
            <v>P413</v>
          </cell>
          <cell r="C5041" t="str">
            <v>ซาติน แขนยาวขายาว กระเป๋า X พื้นเขียว F</v>
          </cell>
        </row>
        <row r="5042">
          <cell r="A5042" t="str">
            <v>SP0414-M</v>
          </cell>
          <cell r="B5042" t="str">
            <v>P414</v>
          </cell>
          <cell r="C5042" t="str">
            <v>ซาติน แขนยาวขายาว California Beach Day Green M</v>
          </cell>
        </row>
        <row r="5043">
          <cell r="A5043" t="str">
            <v>SP0414-S</v>
          </cell>
          <cell r="B5043" t="str">
            <v>P414</v>
          </cell>
          <cell r="C5043" t="str">
            <v>ซาติน แขนยาวขายาว California Beach Day Green S</v>
          </cell>
        </row>
        <row r="5044">
          <cell r="A5044" t="str">
            <v>SP0416-L</v>
          </cell>
          <cell r="B5044" t="str">
            <v>P416</v>
          </cell>
          <cell r="C5044" t="str">
            <v>ซาติน แขนยาวขายาว หัวใจผู้หญิงคู่ พื้นฟ้า L</v>
          </cell>
        </row>
        <row r="5045">
          <cell r="A5045" t="str">
            <v>SP0416-M</v>
          </cell>
          <cell r="B5045" t="str">
            <v>P416</v>
          </cell>
          <cell r="C5045" t="str">
            <v>ซาติน แขนยาวขายาว หัวใจผู้หญิงคู่ พื้นฟ้า M</v>
          </cell>
        </row>
        <row r="5046">
          <cell r="A5046" t="str">
            <v>SP0416-XL</v>
          </cell>
          <cell r="B5046" t="str">
            <v>P416</v>
          </cell>
          <cell r="C5046" t="str">
            <v>ซาติน แขนยาวขายาว หัวใจผู้หญิงคู่ พื้นฟ้า XL</v>
          </cell>
        </row>
        <row r="5047">
          <cell r="A5047" t="str">
            <v>SP0417-L</v>
          </cell>
          <cell r="B5047" t="str">
            <v>P417</v>
          </cell>
          <cell r="C5047" t="str">
            <v>ซาติน แขนยาวขายาว หัวใจผู้หญิงคู่ พื้นชมพู L</v>
          </cell>
        </row>
        <row r="5048">
          <cell r="A5048" t="str">
            <v>SP0417-M</v>
          </cell>
          <cell r="B5048" t="str">
            <v>P417</v>
          </cell>
          <cell r="C5048" t="str">
            <v>SP0417-M</v>
          </cell>
        </row>
        <row r="5049">
          <cell r="A5049" t="str">
            <v>SP0417-XL</v>
          </cell>
          <cell r="B5049" t="str">
            <v>P417</v>
          </cell>
          <cell r="C5049" t="str">
            <v>ซาติน แขนยาวขายาว หัวใจผู้หญิงคู่ พื้นชมพู XL (กปก)</v>
          </cell>
        </row>
        <row r="5050">
          <cell r="A5050" t="str">
            <v>SP0418-L</v>
          </cell>
          <cell r="B5050" t="str">
            <v>P418</v>
          </cell>
          <cell r="C5050" t="str">
            <v>ซาติน แขนยาวขายาว Where is the cat พื้นเขียว L</v>
          </cell>
        </row>
        <row r="5051">
          <cell r="A5051" t="str">
            <v>SP0418-M</v>
          </cell>
          <cell r="B5051" t="str">
            <v>P418</v>
          </cell>
          <cell r="C5051" t="str">
            <v>ซาติน แขนยาวขายาว Where is the cat พื้นเขียว M</v>
          </cell>
        </row>
        <row r="5052">
          <cell r="A5052" t="str">
            <v>SP0418-XL</v>
          </cell>
          <cell r="B5052" t="str">
            <v>P418</v>
          </cell>
          <cell r="C5052" t="str">
            <v>ซาติน แขนยาวขายาว Where is the cat พื้นเขียว XL</v>
          </cell>
        </row>
        <row r="5053">
          <cell r="A5053" t="str">
            <v>SP0419-L</v>
          </cell>
          <cell r="B5053" t="str">
            <v>P419</v>
          </cell>
          <cell r="C5053" t="str">
            <v>ซาติน แขนยาวขายาว Where is the cat พื้นฟ้า L</v>
          </cell>
        </row>
        <row r="5054">
          <cell r="A5054" t="str">
            <v>SP0419-M</v>
          </cell>
          <cell r="B5054" t="str">
            <v>P419</v>
          </cell>
          <cell r="C5054" t="str">
            <v>ซาติน แขนยาวขายาว Where is the cat พื้นฟ้า M</v>
          </cell>
        </row>
        <row r="5055">
          <cell r="A5055" t="str">
            <v>SP0419-XL</v>
          </cell>
          <cell r="B5055" t="str">
            <v>P419</v>
          </cell>
          <cell r="C5055" t="str">
            <v>ซาติน แขนยาวขายาว Where is the cat พื้นฟ้า XL</v>
          </cell>
        </row>
        <row r="5056">
          <cell r="A5056" t="str">
            <v>SP0420-L</v>
          </cell>
          <cell r="B5056" t="str">
            <v>P420</v>
          </cell>
          <cell r="C5056" t="str">
            <v>ซาติน แขนยาวขายาว ลูกแพร พื้นขาว L</v>
          </cell>
        </row>
        <row r="5057">
          <cell r="A5057" t="str">
            <v>SP0420-M</v>
          </cell>
          <cell r="B5057" t="str">
            <v>P420</v>
          </cell>
          <cell r="C5057" t="str">
            <v>ซาติน แขนยาวขายาว ลูกแพร พื้นขาว M</v>
          </cell>
        </row>
        <row r="5058">
          <cell r="A5058" t="str">
            <v>SP0420-XL</v>
          </cell>
          <cell r="B5058" t="str">
            <v>P420</v>
          </cell>
          <cell r="C5058" t="str">
            <v>ซาติน แขนยาวขายาว ลูกแพร พื้นขาว XL</v>
          </cell>
        </row>
        <row r="5059">
          <cell r="A5059" t="str">
            <v>SP0421-L</v>
          </cell>
          <cell r="B5059" t="str">
            <v>P421</v>
          </cell>
          <cell r="C5059" t="str">
            <v>ซาติน แขนยาวขายาว ลูกแพร พื้นชมพู L</v>
          </cell>
        </row>
        <row r="5060">
          <cell r="A5060" t="str">
            <v>SP0421-M</v>
          </cell>
          <cell r="B5060" t="str">
            <v>P421</v>
          </cell>
          <cell r="C5060" t="str">
            <v>ซาติน แขนยาวขายาว ลูกแพร พื้นชมพู M</v>
          </cell>
        </row>
        <row r="5061">
          <cell r="A5061" t="str">
            <v>SP0421-XL</v>
          </cell>
          <cell r="B5061" t="str">
            <v>P421</v>
          </cell>
          <cell r="C5061" t="str">
            <v>ซาติน แขนยาวขายาว ลูกแพร พื้นชมพู XL</v>
          </cell>
        </row>
        <row r="5062">
          <cell r="A5062" t="str">
            <v>SP0422-L</v>
          </cell>
          <cell r="B5062" t="str">
            <v>P422</v>
          </cell>
          <cell r="C5062" t="str">
            <v>ซาติน แขนยาวขายาว ช้างน้อย ลายโบว์ พื้นฟ้า L</v>
          </cell>
        </row>
        <row r="5063">
          <cell r="A5063" t="str">
            <v>SP0422-M</v>
          </cell>
          <cell r="B5063" t="str">
            <v>P422</v>
          </cell>
          <cell r="C5063" t="str">
            <v>ซาติน แขนยาวขายาว ช้างน้อย ลายโบว์ พื้นฟ้า M</v>
          </cell>
        </row>
        <row r="5064">
          <cell r="A5064" t="str">
            <v>SP0422-XL</v>
          </cell>
          <cell r="B5064" t="str">
            <v>P422</v>
          </cell>
          <cell r="C5064" t="str">
            <v>ซาติน แขนยาวขายาว ช้างน้อย ลายโบว์ พื้นฟ้า XL</v>
          </cell>
        </row>
        <row r="5065">
          <cell r="A5065" t="str">
            <v>SP0423-L</v>
          </cell>
          <cell r="B5065" t="str">
            <v>P423</v>
          </cell>
          <cell r="C5065" t="str">
            <v>ซาติน แขนยาวขายาว Star Sky พื้นฟ้า L</v>
          </cell>
        </row>
        <row r="5066">
          <cell r="A5066" t="str">
            <v>SP0423-M</v>
          </cell>
          <cell r="B5066" t="str">
            <v>P423</v>
          </cell>
          <cell r="C5066" t="str">
            <v>ซาติน แขนยาวขายาว Star Sky พื้นฟ้า M</v>
          </cell>
        </row>
        <row r="5067">
          <cell r="A5067" t="str">
            <v>SP0423-XL</v>
          </cell>
          <cell r="B5067" t="str">
            <v>P423</v>
          </cell>
          <cell r="C5067" t="str">
            <v>ซาติน แขนยาวขายาว Star Sky พื้นฟ้า XL</v>
          </cell>
        </row>
        <row r="5068">
          <cell r="A5068" t="str">
            <v>SP0424-L</v>
          </cell>
          <cell r="B5068" t="str">
            <v>P424</v>
          </cell>
          <cell r="C5068" t="str">
            <v>ซาติน แขนยาวขายาว Star Sky พื้นชมพู L</v>
          </cell>
        </row>
        <row r="5069">
          <cell r="A5069" t="str">
            <v>SP0424-M</v>
          </cell>
          <cell r="B5069" t="str">
            <v>P424</v>
          </cell>
          <cell r="C5069" t="str">
            <v>ซาติน แขนยาวขายาว Star Sky พื้นชมพู M</v>
          </cell>
        </row>
        <row r="5070">
          <cell r="A5070" t="str">
            <v>SP0424-XL</v>
          </cell>
          <cell r="B5070" t="str">
            <v>P424</v>
          </cell>
          <cell r="C5070" t="str">
            <v>ซาติน แขนยาวขายาว Star Sky พื้นชมพู XL</v>
          </cell>
        </row>
        <row r="5071">
          <cell r="A5071" t="str">
            <v>SP0426-L</v>
          </cell>
          <cell r="B5071" t="str">
            <v>P426</v>
          </cell>
          <cell r="C5071" t="str">
            <v>ซาติน แขนยาวขายาว สีกรม กุ๊นขาว L</v>
          </cell>
        </row>
        <row r="5072">
          <cell r="A5072" t="str">
            <v>SP0426-M</v>
          </cell>
          <cell r="B5072" t="str">
            <v>P426</v>
          </cell>
          <cell r="C5072" t="str">
            <v>ซาติน แขนยาวขายาว สีกรม กุ๊นขาว M</v>
          </cell>
        </row>
        <row r="5073">
          <cell r="A5073" t="str">
            <v>SP0432-L</v>
          </cell>
          <cell r="B5073" t="str">
            <v>P432</v>
          </cell>
          <cell r="C5073" t="str">
            <v>ซาติน แขนยาวขายาว Montel พื้นครีม L</v>
          </cell>
        </row>
        <row r="5074">
          <cell r="A5074" t="str">
            <v>SP0432-M</v>
          </cell>
          <cell r="B5074" t="str">
            <v>P432</v>
          </cell>
          <cell r="C5074" t="str">
            <v>ซาติน แขนยาวขายาว Montel พื้นครีม M</v>
          </cell>
        </row>
        <row r="5075">
          <cell r="A5075" t="str">
            <v>SP0433-L</v>
          </cell>
          <cell r="B5075" t="str">
            <v>P433</v>
          </cell>
          <cell r="C5075" t="str">
            <v>ซาติน แขนยาวขายาว Montel พื้นดำ L</v>
          </cell>
        </row>
        <row r="5076">
          <cell r="A5076" t="str">
            <v>SP0433-M</v>
          </cell>
          <cell r="B5076" t="str">
            <v>P433</v>
          </cell>
          <cell r="C5076" t="str">
            <v>ซาติน แขนยาวขายาว Montel พื้นดำ M</v>
          </cell>
        </row>
        <row r="5077">
          <cell r="A5077" t="str">
            <v>SP0434-L</v>
          </cell>
          <cell r="B5077" t="str">
            <v>P434</v>
          </cell>
          <cell r="C5077" t="str">
            <v>ซาติน แขนยาวขายาว Montel พื้นชมพู L</v>
          </cell>
        </row>
        <row r="5078">
          <cell r="A5078" t="str">
            <v>SP0434-M</v>
          </cell>
          <cell r="B5078" t="str">
            <v>P434</v>
          </cell>
          <cell r="C5078" t="str">
            <v>ซาติน แขนยาวขายาว Montel พื้นชมพู M</v>
          </cell>
        </row>
        <row r="5079">
          <cell r="A5079" t="str">
            <v>SP0435-L</v>
          </cell>
          <cell r="B5079" t="str">
            <v>P435</v>
          </cell>
          <cell r="C5079" t="str">
            <v>ซาติน แขนยาวขายาว Montel พื้นขาว L</v>
          </cell>
        </row>
        <row r="5080">
          <cell r="A5080" t="str">
            <v>SP0435-M</v>
          </cell>
          <cell r="B5080" t="str">
            <v>P435</v>
          </cell>
          <cell r="C5080" t="str">
            <v>ซาติน แขนยาวขายาว Montel พื้นขาว M</v>
          </cell>
        </row>
        <row r="5081">
          <cell r="A5081" t="str">
            <v>SP0436-L</v>
          </cell>
          <cell r="B5081" t="str">
            <v>P436</v>
          </cell>
          <cell r="C5081" t="str">
            <v>ซาติน แขนยาวขายาว พื้นชมพู กุ๊นเงิน L</v>
          </cell>
        </row>
        <row r="5082">
          <cell r="A5082" t="str">
            <v>SP0436-M</v>
          </cell>
          <cell r="B5082" t="str">
            <v>P436</v>
          </cell>
          <cell r="C5082" t="str">
            <v>ซาติน แขนยาวขายาว พื้นชมพู กุ๊นเงิน M</v>
          </cell>
        </row>
        <row r="5083">
          <cell r="A5083" t="str">
            <v>SP0437-L</v>
          </cell>
          <cell r="B5083" t="str">
            <v>P437</v>
          </cell>
          <cell r="C5083" t="str">
            <v>ซาติน แขนยาวขายาว พื้นครีม กุ๊นทอง L</v>
          </cell>
        </row>
        <row r="5084">
          <cell r="A5084" t="str">
            <v>SP0437-M</v>
          </cell>
          <cell r="B5084" t="str">
            <v>P437</v>
          </cell>
          <cell r="C5084" t="str">
            <v>ซาติน แขนยาวขายาว พื้นครีม กุ๊นทอง M (กปก)</v>
          </cell>
        </row>
        <row r="5085">
          <cell r="A5085" t="str">
            <v>SP0438-L</v>
          </cell>
          <cell r="B5085" t="str">
            <v>P438</v>
          </cell>
          <cell r="C5085" t="str">
            <v>ซาติน แขนยาวขายาว พื้นเหลือง กุ๊นเขียว L (กปก)</v>
          </cell>
        </row>
        <row r="5086">
          <cell r="A5086" t="str">
            <v>SP0438-M</v>
          </cell>
          <cell r="B5086" t="str">
            <v>P438</v>
          </cell>
          <cell r="C5086" t="str">
            <v>ซาติน แขนยาวขายาว พื้นเหลือง กุ๊นเขียว M (กปก)</v>
          </cell>
        </row>
        <row r="5087">
          <cell r="A5087" t="str">
            <v>SP0440-L</v>
          </cell>
          <cell r="B5087" t="str">
            <v>P440</v>
          </cell>
          <cell r="C5087" t="str">
            <v>ซาติน แขนยาวขายาว rabbit smile พื้นฟ้า L</v>
          </cell>
        </row>
        <row r="5088">
          <cell r="A5088" t="str">
            <v>SP0440-M</v>
          </cell>
          <cell r="B5088" t="str">
            <v>P440</v>
          </cell>
          <cell r="C5088" t="str">
            <v>ซาติน แขนยาวขายาว rabbit smile พื้นฟ้า M</v>
          </cell>
        </row>
        <row r="5089">
          <cell r="A5089" t="str">
            <v>SP0440-XL</v>
          </cell>
          <cell r="B5089" t="str">
            <v>P440</v>
          </cell>
          <cell r="C5089" t="str">
            <v>ซาติน แขนยาวขายาว rabbit smile พื้นฟ้า XL</v>
          </cell>
        </row>
        <row r="5090">
          <cell r="A5090" t="str">
            <v>SP0441-L</v>
          </cell>
          <cell r="B5090" t="str">
            <v>JP441</v>
          </cell>
          <cell r="C5090" t="str">
            <v>ซาติน แขนยาวขายาว rabbit smile พื้นขาว L ตัวโชว์</v>
          </cell>
        </row>
        <row r="5091">
          <cell r="A5091" t="str">
            <v>SP0441-M</v>
          </cell>
          <cell r="B5091" t="str">
            <v>JP441</v>
          </cell>
          <cell r="C5091" t="str">
            <v>ซาติน แขนยาวขายาว rabbit smile พื้นขาว M ตัวโชว์</v>
          </cell>
        </row>
        <row r="5092">
          <cell r="A5092" t="str">
            <v>SP0441-XL</v>
          </cell>
          <cell r="B5092" t="str">
            <v>JP441</v>
          </cell>
          <cell r="C5092" t="str">
            <v>ซาติน แขนยาวขายาว rabbit smile พื้นขาว XL ตัวโชว์</v>
          </cell>
        </row>
        <row r="5093">
          <cell r="A5093" t="str">
            <v>SP0442-L</v>
          </cell>
          <cell r="B5093" t="str">
            <v>P442</v>
          </cell>
          <cell r="C5093" t="str">
            <v>ซาติน แขนยาวขายาว จุดแมว ปกฟ้า L</v>
          </cell>
        </row>
        <row r="5094">
          <cell r="A5094" t="str">
            <v>SP0442-M</v>
          </cell>
          <cell r="B5094" t="str">
            <v>P442</v>
          </cell>
          <cell r="C5094" t="str">
            <v>ซาติน แขนยาวขายาว จุดแมว ปกฟ้า M</v>
          </cell>
        </row>
        <row r="5095">
          <cell r="A5095" t="str">
            <v>SP0442-XL</v>
          </cell>
          <cell r="B5095" t="str">
            <v>P442</v>
          </cell>
          <cell r="C5095" t="str">
            <v>ซาติน แขนยาวขายาว จุดแมว ปกฟ้า XL</v>
          </cell>
        </row>
        <row r="5096">
          <cell r="A5096" t="str">
            <v>SP0443-L</v>
          </cell>
          <cell r="B5096" t="str">
            <v>P443</v>
          </cell>
          <cell r="C5096" t="str">
            <v>ซาติน แขนยาวขายาว จุดแมว ปกชมพู L</v>
          </cell>
        </row>
        <row r="5097">
          <cell r="A5097" t="str">
            <v>SP0443-M</v>
          </cell>
          <cell r="B5097" t="str">
            <v>P443</v>
          </cell>
          <cell r="C5097" t="str">
            <v>ซาติน แขนยาวขายาว จุดแมว ปกชมพู M</v>
          </cell>
        </row>
        <row r="5098">
          <cell r="A5098" t="str">
            <v>SP0443-XL</v>
          </cell>
          <cell r="B5098" t="str">
            <v>P443</v>
          </cell>
          <cell r="C5098" t="str">
            <v>ซาติน แขนยาวขายาว จุดแมว ปกชมพู XL</v>
          </cell>
        </row>
        <row r="5099">
          <cell r="A5099" t="str">
            <v>SP0444-L</v>
          </cell>
          <cell r="B5099" t="str">
            <v>P444</v>
          </cell>
          <cell r="C5099" t="str">
            <v>ซาติน แขนยาวขายาว Mint green L</v>
          </cell>
        </row>
        <row r="5100">
          <cell r="A5100" t="str">
            <v>SP0444-M</v>
          </cell>
          <cell r="B5100" t="str">
            <v>P444</v>
          </cell>
          <cell r="C5100" t="str">
            <v>ซาติน แขนยาวขายาว Mint green M</v>
          </cell>
        </row>
        <row r="5101">
          <cell r="A5101" t="str">
            <v>SP0444-XL</v>
          </cell>
          <cell r="B5101" t="str">
            <v>P444</v>
          </cell>
          <cell r="C5101" t="str">
            <v>ซาติน แขนยาวขายาว Mint green XL</v>
          </cell>
        </row>
        <row r="5102">
          <cell r="A5102" t="str">
            <v>SP0448-L</v>
          </cell>
          <cell r="B5102" t="str">
            <v>P448</v>
          </cell>
          <cell r="C5102" t="str">
            <v>ซาติน แขนยาวขายาว&amp;nbsp;ส้ม พื้นชมพู L</v>
          </cell>
        </row>
        <row r="5103">
          <cell r="A5103" t="str">
            <v>SP0449-L</v>
          </cell>
          <cell r="B5103" t="str">
            <v>P449</v>
          </cell>
          <cell r="C5103" t="str">
            <v>ซาติน แขนยาวขายาว&amp;nbsp;ส้ม พื้นม่วง L</v>
          </cell>
        </row>
        <row r="5104">
          <cell r="A5104" t="str">
            <v>SP0449-M</v>
          </cell>
          <cell r="B5104" t="str">
            <v>P449</v>
          </cell>
          <cell r="C5104" t="str">
            <v>ซาติน แขนยาวขายาว&amp;nbsp;ส้ม พื้นม่วง M</v>
          </cell>
        </row>
        <row r="5105">
          <cell r="A5105" t="str">
            <v>SP0450-L</v>
          </cell>
          <cell r="B5105" t="str">
            <v>P450</v>
          </cell>
          <cell r="C5105" t="str">
            <v>ซาติน แขนยาวขายาว Stawberry พื้นชมพู L</v>
          </cell>
        </row>
        <row r="5106">
          <cell r="A5106" t="str">
            <v>SP0450-M</v>
          </cell>
          <cell r="B5106" t="str">
            <v>P450</v>
          </cell>
          <cell r="C5106" t="str">
            <v>ซาติน แขนยาวขายาว Stawberry พื้นชมพู M</v>
          </cell>
        </row>
        <row r="5107">
          <cell r="A5107" t="str">
            <v>SP0451-L</v>
          </cell>
          <cell r="B5107" t="str">
            <v>P451</v>
          </cell>
          <cell r="C5107" t="str">
            <v>ซาติน แขนยาวขายาว Stawberry พื้นม่วง L</v>
          </cell>
        </row>
        <row r="5108">
          <cell r="A5108" t="str">
            <v>SP0451-M</v>
          </cell>
          <cell r="B5108" t="str">
            <v>P451</v>
          </cell>
          <cell r="C5108" t="str">
            <v>ซาติน แขนยาวขายาว Stawberry พื้นม่วง M</v>
          </cell>
        </row>
        <row r="5109">
          <cell r="A5109" t="str">
            <v>SP0452-L</v>
          </cell>
          <cell r="B5109" t="str">
            <v>P452</v>
          </cell>
          <cell r="C5109" t="str">
            <v>ซาติน แขนยาวขายาว Stawberry พื้นขาว L</v>
          </cell>
        </row>
        <row r="5110">
          <cell r="A5110" t="str">
            <v>SP0456-L</v>
          </cell>
          <cell r="B5110" t="str">
            <v>P456</v>
          </cell>
          <cell r="C5110" t="str">
            <v>ซาติน แขนยาวขายาว Waffle พื้นเทา L</v>
          </cell>
        </row>
        <row r="5111">
          <cell r="A5111" t="str">
            <v>SP0457-L</v>
          </cell>
          <cell r="B5111" t="str">
            <v>P457</v>
          </cell>
          <cell r="C5111" t="str">
            <v>ซาติน แขนยาวขายาว&amp;nbsp;Waffle พื้นฟ้า L</v>
          </cell>
        </row>
        <row r="5112">
          <cell r="A5112" t="str">
            <v>SP0457-M</v>
          </cell>
          <cell r="B5112" t="str">
            <v>P457</v>
          </cell>
          <cell r="C5112" t="str">
            <v>ซาติน แขนยาวขายาว Waffle พื้นฟ้า M</v>
          </cell>
        </row>
        <row r="5113">
          <cell r="A5113" t="str">
            <v>SP0458-L</v>
          </cell>
          <cell r="B5113" t="str">
            <v>P458</v>
          </cell>
          <cell r="C5113" t="str">
            <v>ซาติน แขนยาวขายาว&amp;nbsp;Waffle พื้นชมพู L</v>
          </cell>
        </row>
        <row r="5114">
          <cell r="A5114" t="str">
            <v>SP0458-M</v>
          </cell>
          <cell r="B5114" t="str">
            <v>P458</v>
          </cell>
          <cell r="C5114" t="str">
            <v>ซาติน แขนยาวขายาว Waffle พื้นชมพู M</v>
          </cell>
        </row>
        <row r="5115">
          <cell r="A5115" t="str">
            <v>SP0460-L</v>
          </cell>
          <cell r="B5115" t="str">
            <v>P460</v>
          </cell>
          <cell r="C5115" t="str">
            <v>ซาติน แขนยาวขายาว&amp;nbsp;ดอกเก็กฮวย L</v>
          </cell>
        </row>
        <row r="5116">
          <cell r="A5116" t="str">
            <v>SP0460-M</v>
          </cell>
          <cell r="B5116" t="str">
            <v>P460</v>
          </cell>
          <cell r="C5116" t="str">
            <v>ซาติน แขนยาวขายาว ดอกเก็กฮวย M</v>
          </cell>
        </row>
        <row r="5117">
          <cell r="A5117" t="str">
            <v>SP0471-L</v>
          </cell>
          <cell r="B5117" t="str">
            <v>P471</v>
          </cell>
          <cell r="C5117" t="str">
            <v>ซาติน แขนยาวขายาว ลายทางดอกไม้ พื้นฟ้า L</v>
          </cell>
        </row>
        <row r="5118">
          <cell r="A5118" t="str">
            <v>SP0471-M</v>
          </cell>
          <cell r="B5118" t="str">
            <v>P471</v>
          </cell>
          <cell r="C5118" t="str">
            <v>ซาติน แขนยาวขายาว ลายทางดอกไม้ พื้นฟ้า M</v>
          </cell>
        </row>
        <row r="5119">
          <cell r="A5119" t="str">
            <v>SP0472-L</v>
          </cell>
          <cell r="B5119" t="str">
            <v>P472</v>
          </cell>
          <cell r="C5119" t="str">
            <v>ซาติน แขนยาวขายาว ลายทางดอกไม้ พื้นชมพู L</v>
          </cell>
        </row>
        <row r="5120">
          <cell r="A5120" t="str">
            <v>SP0472-M</v>
          </cell>
          <cell r="B5120" t="str">
            <v>P472</v>
          </cell>
          <cell r="C5120" t="str">
            <v>ซาติน แขนยาวขายาว ลายทางดอกไม้ พื้นชมพู M</v>
          </cell>
        </row>
        <row r="5121">
          <cell r="A5121" t="str">
            <v>SP0473-L</v>
          </cell>
          <cell r="B5121" t="str">
            <v>P473</v>
          </cell>
          <cell r="C5121" t="str">
            <v>ซาติน แขนยาวขายาว ซากุระ พื้นม่วง L</v>
          </cell>
        </row>
        <row r="5122">
          <cell r="A5122" t="str">
            <v>SP0473-M</v>
          </cell>
          <cell r="B5122" t="str">
            <v>P473</v>
          </cell>
          <cell r="C5122" t="str">
            <v>ซาติน แขนยาวขายาว ซากุระ พื้นม่วง M</v>
          </cell>
        </row>
        <row r="5123">
          <cell r="A5123" t="str">
            <v>SP0474-L</v>
          </cell>
          <cell r="B5123" t="str">
            <v>P474</v>
          </cell>
          <cell r="C5123" t="str">
            <v>ซาติน แขนยาวขายาว Good Night Dog พื้นชมพู L</v>
          </cell>
        </row>
        <row r="5124">
          <cell r="A5124" t="str">
            <v>SP0475-L</v>
          </cell>
          <cell r="B5124" t="str">
            <v>P475</v>
          </cell>
          <cell r="C5124" t="str">
            <v>ซาติน แขนยาวขายาว Good Night Dog พื้นขาว L</v>
          </cell>
        </row>
        <row r="5125">
          <cell r="A5125" t="str">
            <v>SP0475-M</v>
          </cell>
          <cell r="B5125" t="str">
            <v>P475</v>
          </cell>
          <cell r="C5125" t="str">
            <v>ซาติน แขนยาวขายาว Good Night Dog พื้นขาว M</v>
          </cell>
        </row>
        <row r="5126">
          <cell r="A5126" t="str">
            <v>SP0486-L</v>
          </cell>
          <cell r="B5126" t="str">
            <v>P486</v>
          </cell>
          <cell r="C5126" t="str">
            <v>ซาติน แขนยาวขายาว G FLOWER RED L</v>
          </cell>
        </row>
        <row r="5127">
          <cell r="A5127" t="str">
            <v>SP0486-XL</v>
          </cell>
          <cell r="B5127" t="str">
            <v>P486</v>
          </cell>
          <cell r="C5127" t="str">
            <v>ซาติน แขนยาวขายาว G FLOWER  RED XL</v>
          </cell>
        </row>
        <row r="5128">
          <cell r="A5128" t="str">
            <v>SP0487-L</v>
          </cell>
          <cell r="B5128" t="str">
            <v>P487</v>
          </cell>
          <cell r="C5128" t="str">
            <v>ซาติน แขนยาวขายาว ORCHID BLACK L</v>
          </cell>
        </row>
        <row r="5129">
          <cell r="A5129" t="str">
            <v>SP0487-M</v>
          </cell>
          <cell r="B5129" t="str">
            <v>P487</v>
          </cell>
          <cell r="C5129" t="str">
            <v>ซาติน แขนยาวขายาว ORCHID BLACK M</v>
          </cell>
        </row>
        <row r="5130">
          <cell r="A5130" t="str">
            <v>SP0487-Xl</v>
          </cell>
          <cell r="B5130" t="str">
            <v>P487</v>
          </cell>
          <cell r="C5130" t="str">
            <v>ซาติน แขนยาวขายาว ORCHID BLACK XL</v>
          </cell>
        </row>
        <row r="5131">
          <cell r="A5131" t="str">
            <v>SP0488-L</v>
          </cell>
          <cell r="B5131" t="str">
            <v>JP488</v>
          </cell>
          <cell r="C5131" t="str">
            <v>ซาติน แขนยาวขายาว VINTAGE พื้นดำ L ตัวโชว์</v>
          </cell>
        </row>
        <row r="5132">
          <cell r="A5132" t="str">
            <v>SP0488-M</v>
          </cell>
          <cell r="B5132" t="str">
            <v>JP488</v>
          </cell>
          <cell r="C5132" t="str">
            <v>ซาติน แขนยาวขายาว VINTAGE พื้นดำ M ตัวโชว์</v>
          </cell>
        </row>
        <row r="5133">
          <cell r="A5133" t="str">
            <v>SP0488-S</v>
          </cell>
          <cell r="B5133" t="str">
            <v>JP488</v>
          </cell>
          <cell r="C5133" t="str">
            <v>ซาติน แขนยาวขายาว VINTAGE พื้นดำ S ตัวโชว์</v>
          </cell>
        </row>
        <row r="5134">
          <cell r="A5134" t="str">
            <v>SP0488-XL</v>
          </cell>
          <cell r="B5134" t="str">
            <v>JP488</v>
          </cell>
          <cell r="C5134" t="str">
            <v>ซาติน แขนยาวขายาว VINTAGE พื้นดำ XL ตัวโชว์</v>
          </cell>
        </row>
        <row r="5135">
          <cell r="A5135" t="str">
            <v>SP0489-L</v>
          </cell>
          <cell r="B5135" t="str">
            <v>P489</v>
          </cell>
          <cell r="C5135" t="str">
            <v>ซาติน แขนยาวขายาว ตาราง ฟ้าขาว L</v>
          </cell>
        </row>
        <row r="5136">
          <cell r="A5136" t="str">
            <v>SP0489-M</v>
          </cell>
          <cell r="B5136" t="str">
            <v>P489</v>
          </cell>
          <cell r="C5136" t="str">
            <v>ซาติน แขนยาวขายาว ตาราง ฟ้าขาว M</v>
          </cell>
        </row>
        <row r="5137">
          <cell r="A5137" t="str">
            <v>SP0490-L</v>
          </cell>
          <cell r="B5137" t="str">
            <v>P490</v>
          </cell>
          <cell r="C5137" t="str">
            <v>ซิลค์แจ็คการ์ด แขนยาวขายาว Summer Tiger L</v>
          </cell>
        </row>
        <row r="5138">
          <cell r="A5138" t="str">
            <v>SP0490-M</v>
          </cell>
          <cell r="B5138" t="str">
            <v>P490</v>
          </cell>
          <cell r="C5138" t="str">
            <v>ซิลค์แจ็คการ์ด แขนยาวขายาว Summer Tiger M</v>
          </cell>
        </row>
        <row r="5139">
          <cell r="A5139" t="str">
            <v>SP0490-XL</v>
          </cell>
          <cell r="B5139" t="str">
            <v>P490</v>
          </cell>
          <cell r="C5139" t="str">
            <v>ซิลค์แจ็คการ์ด แขนยาวขายาว Summer Tiger XL</v>
          </cell>
        </row>
        <row r="5140">
          <cell r="A5140" t="str">
            <v>SP0505-L</v>
          </cell>
          <cell r="B5140" t="str">
            <v>P505</v>
          </cell>
          <cell r="C5140" t="str">
            <v>ซาติน แขนยาวขายาว ลายทาง ชมพู พาสเทล L</v>
          </cell>
        </row>
        <row r="5141">
          <cell r="A5141" t="str">
            <v>SP0505-M</v>
          </cell>
          <cell r="B5141" t="str">
            <v>P505</v>
          </cell>
          <cell r="C5141" t="str">
            <v>ซาติน แขนยาวขายาว ลายทาง ชมพู พาสเทล M</v>
          </cell>
        </row>
        <row r="5142">
          <cell r="A5142" t="str">
            <v>SP0520-F</v>
          </cell>
          <cell r="B5142" t="str">
            <v>P520</v>
          </cell>
          <cell r="C5142" t="str">
            <v>ซิลค์แจ็คการ์ด แขนยาวขายาว นักบินอวกาศ พื้นเทา F</v>
          </cell>
        </row>
        <row r="5143">
          <cell r="A5143" t="str">
            <v>SP0525-L</v>
          </cell>
          <cell r="B5143" t="str">
            <v>P525</v>
          </cell>
          <cell r="C5143" t="str">
            <v>ซาติน แขนยาวขายาว ภาพวาดกุหลาบ พื้นส้ม L</v>
          </cell>
        </row>
        <row r="5144">
          <cell r="A5144" t="str">
            <v>SP0525-M</v>
          </cell>
          <cell r="B5144" t="str">
            <v>P525</v>
          </cell>
          <cell r="C5144" t="str">
            <v>ซาติน แขนยาวขายาว ภาพวาดกุหลาบ พื้นส้ม M</v>
          </cell>
        </row>
        <row r="5145">
          <cell r="A5145" t="str">
            <v>SP0525-XL</v>
          </cell>
          <cell r="B5145" t="str">
            <v>P525</v>
          </cell>
          <cell r="C5145" t="str">
            <v>ซาติน แขนยาวขายาว ภาพวาดกุหลาบ พื้นส้ม XL</v>
          </cell>
        </row>
        <row r="5146">
          <cell r="A5146" t="str">
            <v>SP0527-2XL</v>
          </cell>
          <cell r="B5146" t="str">
            <v>P527</v>
          </cell>
          <cell r="C5146" t="str">
            <v>ซาติน แขนยาวขายาว ใบไม้เขียว พื้นชมพู 2XL</v>
          </cell>
        </row>
        <row r="5147">
          <cell r="A5147" t="str">
            <v>SP0527-3XL</v>
          </cell>
          <cell r="B5147" t="str">
            <v>P527</v>
          </cell>
          <cell r="C5147" t="str">
            <v>ซาติน แขนยาวขายาว ใบไม้เขียว พื้นชมพู 3XL</v>
          </cell>
        </row>
        <row r="5148">
          <cell r="A5148" t="str">
            <v>SP0527-L</v>
          </cell>
          <cell r="B5148" t="str">
            <v>P527</v>
          </cell>
          <cell r="C5148" t="str">
            <v>ซาติน แขนยาวขายาว ใบไม้เขียว พื้นชมพู L</v>
          </cell>
        </row>
        <row r="5149">
          <cell r="A5149" t="str">
            <v>SP0527-M</v>
          </cell>
          <cell r="B5149" t="str">
            <v>P527</v>
          </cell>
          <cell r="C5149" t="str">
            <v>ซาติน แขนยาวขายาว ใบไม้เขียว พื้นชมพู M</v>
          </cell>
        </row>
        <row r="5150">
          <cell r="A5150" t="str">
            <v>SP0527-XL</v>
          </cell>
          <cell r="B5150" t="str">
            <v>P527</v>
          </cell>
          <cell r="C5150" t="str">
            <v>ซาติน แขนยาวขายาว ใบไม้เขียว พื้นชมพู XL</v>
          </cell>
        </row>
        <row r="5151">
          <cell r="A5151" t="str">
            <v>SP0528</v>
          </cell>
          <cell r="B5151" t="str">
            <v>P528</v>
          </cell>
          <cell r="C5151" t="str">
            <v>SP0528-XL ซาติน แขนยาวขายาว อาชา น้ำตาล XL</v>
          </cell>
        </row>
        <row r="5152">
          <cell r="A5152" t="str">
            <v>SP0528-M</v>
          </cell>
          <cell r="B5152" t="str">
            <v>P528</v>
          </cell>
          <cell r="C5152" t="str">
            <v>ซาติน แขนยาวขายาว อาชา น้ำตาล M</v>
          </cell>
        </row>
        <row r="5153">
          <cell r="A5153" t="str">
            <v>SP0528-XL</v>
          </cell>
          <cell r="B5153" t="str">
            <v>P528</v>
          </cell>
          <cell r="C5153" t="str">
            <v>ซาติน แขนยาวขายาว อาชา น้ำตาล XL</v>
          </cell>
        </row>
        <row r="5154">
          <cell r="A5154" t="str">
            <v>SP0529-L</v>
          </cell>
          <cell r="B5154" t="str">
            <v>P529</v>
          </cell>
          <cell r="C5154" t="str">
            <v>ซาติน แขนยาวขายาว อาชา ดำ L</v>
          </cell>
        </row>
        <row r="5155">
          <cell r="A5155" t="str">
            <v>SP0529-M</v>
          </cell>
          <cell r="B5155" t="str">
            <v>P529</v>
          </cell>
          <cell r="C5155" t="str">
            <v>ซาติน แขนยาวขายาว อาชา ดำ M</v>
          </cell>
        </row>
        <row r="5156">
          <cell r="A5156" t="str">
            <v>SP0529-XL</v>
          </cell>
          <cell r="B5156" t="str">
            <v>P529</v>
          </cell>
          <cell r="C5156" t="str">
            <v>ซาติน แขนยาวขายาว อาชา ดำ XL</v>
          </cell>
        </row>
        <row r="5157">
          <cell r="A5157" t="str">
            <v>SP0530-M</v>
          </cell>
          <cell r="B5157" t="str">
            <v>P530</v>
          </cell>
          <cell r="C5157" t="str">
            <v>ซาติน แขนยาวขายาว ภาพวาด เสือ M</v>
          </cell>
        </row>
        <row r="5158">
          <cell r="A5158" t="str">
            <v>SP0530-XL</v>
          </cell>
          <cell r="B5158" t="str">
            <v>P530</v>
          </cell>
          <cell r="C5158" t="str">
            <v>ซาติน แขนยาวขายาว ภาพวาด เสือ XL</v>
          </cell>
        </row>
        <row r="5159">
          <cell r="A5159" t="str">
            <v>SP0531-M</v>
          </cell>
          <cell r="B5159" t="str">
            <v>P531</v>
          </cell>
          <cell r="C5159" t="str">
            <v>ซาติน แขนยาวขายาว Winter Tiger M</v>
          </cell>
        </row>
        <row r="5160">
          <cell r="A5160" t="str">
            <v>SP0531-XL</v>
          </cell>
          <cell r="B5160" t="str">
            <v>P531</v>
          </cell>
          <cell r="C5160" t="str">
            <v>ซาติน แขนยาวขายาว Winter Tiger XL</v>
          </cell>
        </row>
        <row r="5161">
          <cell r="A5161" t="str">
            <v>SP0534-M</v>
          </cell>
          <cell r="B5161" t="str">
            <v>P534</v>
          </cell>
          <cell r="C5161" t="str">
            <v>ซาติน แขนยาวขายาว ข้าวหลามตัด หัวใจ พื้นส้ม M</v>
          </cell>
        </row>
        <row r="5162">
          <cell r="A5162" t="str">
            <v>SP0534-S</v>
          </cell>
          <cell r="B5162" t="str">
            <v>P534</v>
          </cell>
          <cell r="C5162" t="str">
            <v>ซาติน แขนยาวขายาว ข้าวหลามตัด หัวใจ พื้นส้ม S</v>
          </cell>
        </row>
        <row r="5163">
          <cell r="A5163" t="str">
            <v>SP0544-M</v>
          </cell>
          <cell r="B5163" t="str">
            <v>P544</v>
          </cell>
        </row>
        <row r="5164">
          <cell r="A5164" t="str">
            <v>SP0544-S</v>
          </cell>
          <cell r="B5164" t="str">
            <v>P544</v>
          </cell>
        </row>
        <row r="5165">
          <cell r="A5165" t="str">
            <v>SP0554-L</v>
          </cell>
          <cell r="B5165" t="str">
            <v>P554</v>
          </cell>
          <cell r="C5165" t="str">
            <v>ซาติน แขนยาวขายาว ลายเสือ ชมพูนู้ด ลูกไม้ (กปก) L</v>
          </cell>
        </row>
        <row r="5166">
          <cell r="A5166" t="str">
            <v>SP0554-M</v>
          </cell>
          <cell r="B5166" t="str">
            <v>P554</v>
          </cell>
          <cell r="C5166" t="str">
            <v>ซาติน แขนยาวขายาว ลายเสือ ชมพูนู้ด ลูกไม้ (กปก) M</v>
          </cell>
        </row>
        <row r="5167">
          <cell r="A5167" t="str">
            <v>SP0575-M</v>
          </cell>
          <cell r="B5167" t="str">
            <v>P575</v>
          </cell>
          <cell r="C5167" t="str">
            <v>ซาติน แขนยาวขายาว ลายเส้น พาสเทล พื้นดำ M</v>
          </cell>
        </row>
        <row r="5168">
          <cell r="A5168" t="str">
            <v>SP0575-S</v>
          </cell>
          <cell r="B5168" t="str">
            <v>P575</v>
          </cell>
          <cell r="C5168" t="str">
            <v>ซาติน แขนยาวขายาว ลายเส้น พาสเทล พื้นดำ S</v>
          </cell>
        </row>
        <row r="5169">
          <cell r="A5169" t="str">
            <v>SP0578-L</v>
          </cell>
          <cell r="B5169" t="str">
            <v>P578</v>
          </cell>
          <cell r="C5169" t="str">
            <v>ซาติน แขนยาวขายาว ชมพูดำเล็ก พื้นขาว Dreamy L</v>
          </cell>
        </row>
        <row r="5170">
          <cell r="A5170" t="str">
            <v>SP0578-M</v>
          </cell>
          <cell r="B5170" t="str">
            <v>P578</v>
          </cell>
          <cell r="C5170" t="str">
            <v>ซาติน แขนยาวขายาว ชมพูดำเล็ก พื้นขาว Dreamy M</v>
          </cell>
        </row>
        <row r="5171">
          <cell r="A5171" t="str">
            <v>SP0578-S</v>
          </cell>
          <cell r="B5171" t="str">
            <v>P578</v>
          </cell>
          <cell r="C5171" t="str">
            <v>ซาติน แขนยาวขายาว ชมพูดำเล็ก พื้นขาว Dreamy S</v>
          </cell>
        </row>
        <row r="5172">
          <cell r="A5172" t="str">
            <v>SP0594-L</v>
          </cell>
          <cell r="B5172" t="str">
            <v>P594</v>
          </cell>
          <cell r="C5172" t="str">
            <v>ซาติน แขนยาวขายาว ปกหนาเหลือง พื้นม่วง L</v>
          </cell>
        </row>
        <row r="5173">
          <cell r="A5173" t="str">
            <v>SP0594-M</v>
          </cell>
          <cell r="B5173" t="str">
            <v>P594</v>
          </cell>
          <cell r="C5173" t="str">
            <v>ซาติน แขนยาวขายาว ปกหนาเหลือง พื้นม่วง M</v>
          </cell>
        </row>
        <row r="5174">
          <cell r="A5174" t="str">
            <v>SP0595-L</v>
          </cell>
          <cell r="B5174" t="str">
            <v>JP595</v>
          </cell>
          <cell r="C5174" t="str">
            <v>ซาติน แขนยาวขายาว ปกหนาดำ พื้นครีม L ตัวโชว์</v>
          </cell>
        </row>
        <row r="5175">
          <cell r="A5175" t="str">
            <v>SP0595-M</v>
          </cell>
          <cell r="B5175" t="str">
            <v>JP595</v>
          </cell>
          <cell r="C5175" t="str">
            <v>ซาติน แขนยาวขายาว ปกหนาดำ พื้นครีม M ตัวโชว์</v>
          </cell>
        </row>
        <row r="5176">
          <cell r="A5176" t="str">
            <v>SP0596-L</v>
          </cell>
          <cell r="B5176" t="str">
            <v>P596</v>
          </cell>
          <cell r="C5176" t="str">
            <v>ซาติน แขนยาวขายาว ลูกไม้ ฉลุ พื้นดำ L (กปก)</v>
          </cell>
        </row>
        <row r="5177">
          <cell r="A5177" t="str">
            <v>SP0596-M</v>
          </cell>
          <cell r="B5177" t="str">
            <v>P596</v>
          </cell>
          <cell r="C5177" t="str">
            <v>ซาติน แขนยาวขายาว ลูกไม้ ฉลุ พื้นดำ M (กปก)</v>
          </cell>
        </row>
        <row r="5178">
          <cell r="A5178" t="str">
            <v>SP0597-L</v>
          </cell>
          <cell r="B5178" t="str">
            <v>P597</v>
          </cell>
          <cell r="C5178" t="str">
            <v>ซาติน แขนยาวขายาว ลูกไม้ ฉลุ พื้นม่วง L (กปก)</v>
          </cell>
        </row>
        <row r="5179">
          <cell r="A5179" t="str">
            <v>SP0597-M</v>
          </cell>
          <cell r="B5179" t="str">
            <v>P597</v>
          </cell>
          <cell r="C5179" t="str">
            <v>ซาติน แขนยาวขายาว ลูกไม้ ฉลุ พื้นม่วง M</v>
          </cell>
        </row>
        <row r="5180">
          <cell r="A5180" t="str">
            <v>SP0598-L</v>
          </cell>
          <cell r="B5180" t="str">
            <v>P598</v>
          </cell>
          <cell r="C5180" t="str">
            <v>ซาติน แขนยาวขายาว ลูกไม้ ฉลุ พื้นขาว L</v>
          </cell>
        </row>
        <row r="5181">
          <cell r="A5181" t="str">
            <v>SP0598-M</v>
          </cell>
          <cell r="B5181" t="str">
            <v>P598</v>
          </cell>
          <cell r="C5181" t="str">
            <v>ซาติน แขนยาวขายาว ลูกไม้ ฉลุ พื้นขาว M</v>
          </cell>
        </row>
        <row r="5182">
          <cell r="A5182" t="str">
            <v>SP0599-L</v>
          </cell>
          <cell r="B5182" t="str">
            <v>JP599</v>
          </cell>
          <cell r="C5182" t="str">
            <v>ซาติน แขนยาวขายาว ลูกไม้ ฉลุ พื้นครีม L (กปก) ตัวโชว์</v>
          </cell>
        </row>
        <row r="5183">
          <cell r="A5183" t="str">
            <v>SP0599-M</v>
          </cell>
          <cell r="B5183" t="str">
            <v>P599</v>
          </cell>
          <cell r="C5183" t="str">
            <v>ซาติน แขนยาวขายาว ลูกไม้ ฉลุ พื้นครีม M</v>
          </cell>
        </row>
        <row r="5184">
          <cell r="A5184" t="str">
            <v>SP0638-L</v>
          </cell>
          <cell r="B5184" t="str">
            <v>JP638</v>
          </cell>
          <cell r="C5184" t="str">
            <v>ซาติน แขนยาวขายาว เรนโบว์ L ตัวโชว์</v>
          </cell>
        </row>
        <row r="5185">
          <cell r="A5185" t="str">
            <v>SP0638-M</v>
          </cell>
          <cell r="B5185" t="str">
            <v>P638</v>
          </cell>
          <cell r="C5185" t="str">
            <v>ซาติน แขนยาวขายาว เรนโบว์ M</v>
          </cell>
        </row>
        <row r="5186">
          <cell r="A5186" t="str">
            <v>SP0656-L</v>
          </cell>
          <cell r="B5186" t="str">
            <v>P656</v>
          </cell>
          <cell r="C5186" t="str">
            <v>ซาติน แขนยาวขายาว ผีเสื้อสีน้ำ พื้นขาวฟ้า L</v>
          </cell>
        </row>
        <row r="5187">
          <cell r="A5187" t="str">
            <v>SP0656-M</v>
          </cell>
          <cell r="B5187" t="str">
            <v>P656</v>
          </cell>
          <cell r="C5187" t="str">
            <v>ซาติน แขนยาวขายาว ผีเสื้อสีน้ำ พื้นขาวฟ้า M</v>
          </cell>
        </row>
        <row r="5188">
          <cell r="A5188" t="str">
            <v>SP0656-XL</v>
          </cell>
          <cell r="B5188" t="str">
            <v>P656</v>
          </cell>
          <cell r="C5188" t="str">
            <v>ซาติน แขนยาวขายาว ผีเสื้อสีน้ำ พื้นขาวฟ้า XL</v>
          </cell>
        </row>
        <row r="5189">
          <cell r="A5189" t="str">
            <v>SP0657-L</v>
          </cell>
          <cell r="B5189" t="str">
            <v>P657</v>
          </cell>
          <cell r="C5189" t="str">
            <v>ซาติน แขนยาวขายาว พื้นดำ ดอกไม้ชมพู เขาวงกต L</v>
          </cell>
        </row>
        <row r="5190">
          <cell r="A5190" t="str">
            <v>SP0657-M</v>
          </cell>
          <cell r="B5190" t="str">
            <v>P657</v>
          </cell>
          <cell r="C5190" t="str">
            <v>ซาติน แขนยาวขายาว พื้นดำ ดอกไม้ชมพู เขาวงกต M</v>
          </cell>
        </row>
        <row r="5191">
          <cell r="A5191" t="str">
            <v>SP0657-XL</v>
          </cell>
          <cell r="B5191" t="str">
            <v>P657</v>
          </cell>
          <cell r="C5191" t="str">
            <v>ซาติน แขนยาวขายาว พื้นดำ ดอกไม้ชมพู เขาวงกต XL</v>
          </cell>
        </row>
        <row r="5192">
          <cell r="A5192" t="str">
            <v>SP0658-L</v>
          </cell>
          <cell r="B5192" t="str">
            <v>P658</v>
          </cell>
          <cell r="C5192" t="str">
            <v>ซาติน แขนยาวขายาว แอปเปิ้ล พื้นชมพู L</v>
          </cell>
        </row>
        <row r="5193">
          <cell r="A5193" t="str">
            <v>SP0658-M</v>
          </cell>
          <cell r="B5193" t="str">
            <v>P658</v>
          </cell>
          <cell r="C5193" t="str">
            <v>ซาติน แขนยาวขายาว แอปเปิ้ล พื้นชมพู M</v>
          </cell>
        </row>
        <row r="5194">
          <cell r="A5194" t="str">
            <v>SP0658-XL</v>
          </cell>
          <cell r="B5194" t="str">
            <v>P658</v>
          </cell>
          <cell r="C5194" t="str">
            <v>ซาติน แขนยาวขายาว แอปเปิ้ล พื้นชมพู XL</v>
          </cell>
        </row>
        <row r="5195">
          <cell r="A5195" t="str">
            <v>SP0659-L</v>
          </cell>
          <cell r="B5195" t="str">
            <v>P659</v>
          </cell>
          <cell r="C5195" t="str">
            <v>ซาติน แขนยาวขายาว ดอกไม้ โมโนโทน L</v>
          </cell>
        </row>
        <row r="5196">
          <cell r="A5196" t="str">
            <v>SP0659-M</v>
          </cell>
          <cell r="B5196" t="str">
            <v>P659</v>
          </cell>
          <cell r="C5196" t="str">
            <v>ซาติน แขนยาวขายาว ดอกไม้ โมโนโทน M</v>
          </cell>
        </row>
        <row r="5197">
          <cell r="A5197" t="str">
            <v>SP0659-XL</v>
          </cell>
          <cell r="B5197" t="str">
            <v>P659</v>
          </cell>
          <cell r="C5197" t="str">
            <v>ซาติน แขนยาวขายาว ดอกไม้ โมโนโทน XL</v>
          </cell>
        </row>
        <row r="5198">
          <cell r="A5198" t="str">
            <v>SP0673-L</v>
          </cell>
          <cell r="B5198" t="str">
            <v>P673</v>
          </cell>
          <cell r="C5198" t="str">
            <v>ซาติน แขนยาวขายาว พื้นเขียว ใบไม้เหลือง L</v>
          </cell>
        </row>
        <row r="5199">
          <cell r="A5199" t="str">
            <v>SP0673-M</v>
          </cell>
          <cell r="B5199" t="str">
            <v>P673</v>
          </cell>
          <cell r="C5199" t="str">
            <v>ซาติน แขนยาวขายาว พื้นเขียว ใบไม้เหลือง M</v>
          </cell>
        </row>
        <row r="5200">
          <cell r="A5200" t="str">
            <v>SP0673-XL</v>
          </cell>
          <cell r="B5200" t="str">
            <v>P673</v>
          </cell>
          <cell r="C5200" t="str">
            <v>ซาติน แขนยาวขายาว พื้นเขียว ใบไม้เหลือง XL</v>
          </cell>
        </row>
        <row r="5201">
          <cell r="A5201" t="str">
            <v>SP0686-F</v>
          </cell>
          <cell r="B5201" t="str">
            <v>P686</v>
          </cell>
          <cell r="C5201" t="str">
            <v>ซาติน แขนยาวขายาว Cartoon Party กางเกงแดง F</v>
          </cell>
        </row>
        <row r="5202">
          <cell r="A5202" t="str">
            <v>SP0688-F</v>
          </cell>
          <cell r="B5202" t="str">
            <v>P688</v>
          </cell>
          <cell r="C5202" t="str">
            <v>ซิลค์แจ็คการ์ด แขนยาวขายาว Pink Magic F</v>
          </cell>
        </row>
        <row r="5203">
          <cell r="A5203" t="str">
            <v>SP0689-L</v>
          </cell>
          <cell r="B5203" t="str">
            <v>P689</v>
          </cell>
          <cell r="C5203" t="str">
            <v>ซิลค์แจ็คการ์ด แขนยาวขายาว ดอกไม้ พลับ พื้นครีม L</v>
          </cell>
        </row>
        <row r="5204">
          <cell r="A5204" t="str">
            <v>SP0689-M</v>
          </cell>
          <cell r="B5204" t="str">
            <v>P689</v>
          </cell>
          <cell r="C5204" t="str">
            <v>ซิลค์แจ็คการ์ด แขนยาวขายาว ดอกไม้ พลับ พื้นครีม M</v>
          </cell>
        </row>
        <row r="5205">
          <cell r="A5205" t="str">
            <v>SP0690-M</v>
          </cell>
          <cell r="B5205" t="str">
            <v>P690</v>
          </cell>
          <cell r="C5205" t="str">
            <v>ซาติน แขนยาวขายาว กระต่าย ทักซิโด M</v>
          </cell>
        </row>
        <row r="5206">
          <cell r="A5206" t="str">
            <v>SP0691-L</v>
          </cell>
          <cell r="B5206" t="str">
            <v>P691</v>
          </cell>
          <cell r="C5206" t="str">
            <v>ซิลค์แจ็คการ์ด แขนยาวขายาว Unicorn ขอบแดง L</v>
          </cell>
        </row>
        <row r="5207">
          <cell r="A5207" t="str">
            <v>SP0691-M</v>
          </cell>
          <cell r="B5207" t="str">
            <v>P691</v>
          </cell>
          <cell r="C5207" t="str">
            <v>ซิลค์แจ็คการ์ด แขนยาวขายาว Unicorn ขอบแดง M</v>
          </cell>
        </row>
        <row r="5208">
          <cell r="A5208" t="str">
            <v>SP0692-F</v>
          </cell>
          <cell r="B5208" t="str">
            <v>P692</v>
          </cell>
          <cell r="C5208" t="str">
            <v>ซิลค์แจ็คการ์ด แขนยาวขายาว Japanese Style พื้นชมพู F</v>
          </cell>
        </row>
        <row r="5209">
          <cell r="A5209" t="str">
            <v>SP0693-F</v>
          </cell>
          <cell r="B5209" t="str">
            <v>P693</v>
          </cell>
          <cell r="C5209" t="str">
            <v>ซาติน แขนยาวขายาว Brown Bear ตาราง F</v>
          </cell>
        </row>
        <row r="5210">
          <cell r="A5210" t="str">
            <v>SP0696-F</v>
          </cell>
          <cell r="B5210" t="str">
            <v>P696</v>
          </cell>
          <cell r="C5210" t="str">
            <v>ซิลค์แจ็คการ์ด แขนยาวขายาว เย็บปัก อิโมจิ F</v>
          </cell>
        </row>
        <row r="5211">
          <cell r="A5211" t="str">
            <v>SP0706-XL</v>
          </cell>
          <cell r="B5211" t="str">
            <v>P706</v>
          </cell>
          <cell r="C5211" t="str">
            <v>ซาติน แขนยาวขายาว พื้นฟ้า เส้นขาว น้ำตาล XL</v>
          </cell>
        </row>
        <row r="5212">
          <cell r="A5212" t="str">
            <v>SP0707-F</v>
          </cell>
          <cell r="B5212" t="str">
            <v>P707</v>
          </cell>
          <cell r="C5212" t="str">
            <v>ซิลค์แจ็คการ์ด แขนยาวขายาว Heaven Garden F</v>
          </cell>
        </row>
        <row r="5213">
          <cell r="A5213" t="str">
            <v>SP0710-F</v>
          </cell>
          <cell r="B5213" t="str">
            <v>P710</v>
          </cell>
          <cell r="C5213" t="str">
            <v>ซาติน แขนยาวขายาว ลายไพ่ Cute F</v>
          </cell>
        </row>
        <row r="5214">
          <cell r="A5214" t="str">
            <v>SP0711-F</v>
          </cell>
          <cell r="B5214" t="str">
            <v>P711</v>
          </cell>
          <cell r="C5214" t="str">
            <v>ซิลค์แจ็คการ์ด แขนยาวขายาว ใบไม้เขียว พื้นชมพู F</v>
          </cell>
        </row>
        <row r="5215">
          <cell r="A5215" t="str">
            <v>SP0712-L</v>
          </cell>
          <cell r="B5215" t="str">
            <v>P712</v>
          </cell>
          <cell r="C5215" t="str">
            <v>ซาติน แขนยาวขายาว ลายคลื่น ใบไม้ Lavender L</v>
          </cell>
        </row>
        <row r="5216">
          <cell r="A5216" t="str">
            <v>SP0712-M</v>
          </cell>
          <cell r="B5216" t="str">
            <v>P712</v>
          </cell>
          <cell r="C5216" t="str">
            <v>ซาติน แขนยาวขายาว ลายคลื่น ใบไม้ Lavender M</v>
          </cell>
        </row>
        <row r="5217">
          <cell r="A5217" t="str">
            <v>SP0712-XL</v>
          </cell>
          <cell r="B5217" t="str">
            <v>P712</v>
          </cell>
          <cell r="C5217" t="str">
            <v>ซาติน แขนยาวขายาว ลายคลื่น ใบไม้ Lavender XL</v>
          </cell>
        </row>
        <row r="5218">
          <cell r="A5218" t="str">
            <v>SP0713-F</v>
          </cell>
          <cell r="B5218" t="str">
            <v>P713</v>
          </cell>
          <cell r="C5218" t="str">
            <v>ซิลค์แจ็คการ์ด แขนยาวขายาว กุหลาบ พื้นชมพู F</v>
          </cell>
        </row>
        <row r="5219">
          <cell r="A5219" t="str">
            <v>SP0714-F</v>
          </cell>
          <cell r="B5219" t="str">
            <v>P714</v>
          </cell>
          <cell r="C5219" t="str">
            <v>ซิลค์แจ็คการ์ด แขนยาวขายาว ดอกมะลิ ปกน้ำตาล F</v>
          </cell>
        </row>
        <row r="5220">
          <cell r="A5220" t="str">
            <v>SP0715-F</v>
          </cell>
          <cell r="B5220" t="str">
            <v>P715</v>
          </cell>
          <cell r="C5220" t="str">
            <v>ซิลค์แจ็คการ์ด แขนยาวขายาว ดอกไม้ชมพู ขอบชมพู F</v>
          </cell>
        </row>
        <row r="5221">
          <cell r="A5221" t="str">
            <v>SP0726-L</v>
          </cell>
          <cell r="B5221" t="str">
            <v>JP726</v>
          </cell>
          <cell r="C5221" t="str">
            <v>ซาติน แขนยาวขายาว พื้นม่วงล้วน ขอบขาว  L ตัวโชว์</v>
          </cell>
        </row>
        <row r="5222">
          <cell r="A5222" t="str">
            <v>SP0726-M</v>
          </cell>
          <cell r="B5222" t="str">
            <v>P726</v>
          </cell>
          <cell r="C5222" t="str">
            <v>ซาติน แขนยาวขายาว พื้นม่วงล้วน ขอบขาว  M</v>
          </cell>
        </row>
        <row r="5223">
          <cell r="A5223" t="str">
            <v>SP0726-S</v>
          </cell>
          <cell r="B5223" t="str">
            <v>JP726</v>
          </cell>
          <cell r="C5223" t="str">
            <v>ซาติน แขนยาวขายาว พื้นม่วงล้วน ขอบขาว  S ตัวโชว์</v>
          </cell>
        </row>
        <row r="5224">
          <cell r="A5224" t="str">
            <v>SP0727-L</v>
          </cell>
          <cell r="B5224" t="str">
            <v>P727</v>
          </cell>
          <cell r="C5224" t="str">
            <v>ซาติน แขนยาวขายาว พื้นชมพูล้วน ขอบขาว  L</v>
          </cell>
        </row>
        <row r="5225">
          <cell r="A5225" t="str">
            <v>SP0727-M</v>
          </cell>
          <cell r="B5225" t="str">
            <v>P727</v>
          </cell>
          <cell r="C5225" t="str">
            <v>ซาติน แขนยาวขายาว พื้นชมพูล้วน ขอบขาว  M</v>
          </cell>
        </row>
        <row r="5226">
          <cell r="A5226" t="str">
            <v>SP0727-S</v>
          </cell>
          <cell r="B5226" t="str">
            <v>P727</v>
          </cell>
          <cell r="C5226" t="str">
            <v>ซาติน แขนยาวขายาว พื้นชมพูล้วน ขอบขาว  S</v>
          </cell>
        </row>
        <row r="5227">
          <cell r="A5227" t="str">
            <v>SP0728-L</v>
          </cell>
          <cell r="B5227" t="str">
            <v>P728</v>
          </cell>
          <cell r="C5227" t="str">
            <v>ซาติน แขนยาวขายาว พื้นขาว ลายจุด กระเป๋าลูกไม้ Couple L (กปก)</v>
          </cell>
        </row>
        <row r="5228">
          <cell r="A5228" t="str">
            <v>SP0728-M</v>
          </cell>
          <cell r="B5228" t="str">
            <v>JP728</v>
          </cell>
          <cell r="C5228" t="str">
            <v>ซาติน แขนยาวขายาว พื้นขาว ลายจุด กระเป๋าลูกไม้ Couple M (กปก) ตัวโชว์</v>
          </cell>
        </row>
        <row r="5229">
          <cell r="A5229" t="str">
            <v>SP0729-L</v>
          </cell>
          <cell r="B5229" t="str">
            <v>P729</v>
          </cell>
          <cell r="C5229" t="str">
            <v>ซาติน แขนยาวขายาว พื้นชมพู ลายจุด กระเป๋าลูกไม้ Couple L (กปก)</v>
          </cell>
        </row>
        <row r="5230">
          <cell r="A5230" t="str">
            <v>SP0729-M</v>
          </cell>
          <cell r="B5230" t="str">
            <v>P729</v>
          </cell>
          <cell r="C5230" t="str">
            <v>ซาติน แขนยาวขายาว พื้นชมพู ลายจุด กระเป๋าลูกไม้ Couple M (กปก)</v>
          </cell>
        </row>
        <row r="5231">
          <cell r="A5231" t="str">
            <v>SP0730-L</v>
          </cell>
          <cell r="B5231" t="str">
            <v>P730</v>
          </cell>
          <cell r="C5231" t="str">
            <v>ซาติน แขนยาวขายาว พื้นครีม ดอกไม้หลาก ขอบชมพูนู้ด L</v>
          </cell>
        </row>
        <row r="5232">
          <cell r="A5232" t="str">
            <v>SP0730-M</v>
          </cell>
          <cell r="B5232" t="str">
            <v>P730</v>
          </cell>
          <cell r="C5232" t="str">
            <v>ซาติน แขนยาวขายาว พื้นครีม ดอกไม้หลาก ขอบชมพูนู้ด M</v>
          </cell>
        </row>
        <row r="5233">
          <cell r="A5233" t="str">
            <v>SP0731-F</v>
          </cell>
          <cell r="B5233" t="str">
            <v>JP731</v>
          </cell>
          <cell r="C5233" t="str">
            <v>ซาติน แขนยาวขายาว Pastel Dessert  F ตัวโชว์</v>
          </cell>
        </row>
        <row r="5234">
          <cell r="A5234" t="str">
            <v>SP0732-F</v>
          </cell>
          <cell r="B5234" t="str">
            <v>JP732</v>
          </cell>
          <cell r="C5234" t="str">
            <v>ซาติน แขนยาวขายาว กระรอก พาสเทล Rose F ตัวโชว์</v>
          </cell>
        </row>
        <row r="5235">
          <cell r="A5235" t="str">
            <v>SP0733-F</v>
          </cell>
          <cell r="B5235" t="str">
            <v>P733</v>
          </cell>
          <cell r="C5235" t="str">
            <v>ซิลค์แจ็คการ์ด แขนยาวขายาว ดอกลิลลี่ พื้นชมพู F</v>
          </cell>
        </row>
        <row r="5236">
          <cell r="A5236" t="str">
            <v>SP0734-F</v>
          </cell>
          <cell r="B5236" t="str">
            <v>P734</v>
          </cell>
          <cell r="C5236" t="str">
            <v>ซิลค์แจ็คการ์ด แขนยาวขายาว White Rose ระบายชมพู F</v>
          </cell>
        </row>
        <row r="5237">
          <cell r="A5237" t="str">
            <v>SP0735-F</v>
          </cell>
          <cell r="B5237" t="str">
            <v>P735</v>
          </cell>
          <cell r="C5237" t="str">
            <v>ซิลค์แจ็คการ์ด แขนยาวขายาว ดอกไม้คราม ปกเขียว F</v>
          </cell>
        </row>
        <row r="5238">
          <cell r="A5238" t="str">
            <v>SP0736-F</v>
          </cell>
          <cell r="B5238" t="str">
            <v>P736</v>
          </cell>
          <cell r="C5238" t="str">
            <v>ซิลค์แจ็คการ์ด แขนยาวขายาว น้องแมวโบว์เหลือง F</v>
          </cell>
        </row>
        <row r="5239">
          <cell r="A5239" t="str">
            <v>SP0737-F</v>
          </cell>
          <cell r="B5239" t="str">
            <v>P737</v>
          </cell>
          <cell r="C5239" t="str">
            <v>ซิลค์แจ็คการ์ด แขนยาวขายาว ดอกไม้ Colorful พื้นเขียวอ่อน F</v>
          </cell>
        </row>
        <row r="5240">
          <cell r="A5240" t="str">
            <v>SP0738-L</v>
          </cell>
          <cell r="B5240" t="str">
            <v>P738</v>
          </cell>
          <cell r="C5240" t="str">
            <v>ซาติน แขนยาวขายาว ดอกลิลลี่ พื้นชมพู L</v>
          </cell>
        </row>
        <row r="5241">
          <cell r="A5241" t="str">
            <v>SP0738-M</v>
          </cell>
          <cell r="B5241" t="str">
            <v>P738</v>
          </cell>
          <cell r="C5241" t="str">
            <v>ซาติน แขนยาวขายาว ดอกลิลลี่ พื้นชมพู M</v>
          </cell>
        </row>
        <row r="5242">
          <cell r="A5242" t="str">
            <v>SP0738-XL</v>
          </cell>
          <cell r="B5242" t="str">
            <v>P738</v>
          </cell>
          <cell r="C5242" t="str">
            <v>ซาติน แขนยาวขายาว ดอกลิลลี่ พื้นชมพู XL</v>
          </cell>
        </row>
        <row r="5243">
          <cell r="A5243" t="str">
            <v>SP0739-L</v>
          </cell>
          <cell r="B5243" t="str">
            <v>P739</v>
          </cell>
          <cell r="C5243" t="str">
            <v>ซาติน แขนยาวขายาว Tiger Flower พื้นชมพู L</v>
          </cell>
        </row>
        <row r="5244">
          <cell r="A5244" t="str">
            <v>SP0739-M</v>
          </cell>
          <cell r="B5244" t="str">
            <v>P739</v>
          </cell>
          <cell r="C5244" t="str">
            <v>ซาติน แขนยาวขายาว Tiger Flower พื้นชมพู M</v>
          </cell>
        </row>
        <row r="5245">
          <cell r="A5245" t="str">
            <v>SP0739-XL</v>
          </cell>
          <cell r="B5245" t="str">
            <v>JP739</v>
          </cell>
          <cell r="C5245" t="str">
            <v>ซาติน แขนยาวขายาว Tiger Flower พื้นชมพู XL ตัวโชว์</v>
          </cell>
        </row>
        <row r="5246">
          <cell r="A5246" t="str">
            <v>SP0741-F</v>
          </cell>
          <cell r="B5246" t="str">
            <v>P741</v>
          </cell>
          <cell r="C5246" t="str">
            <v>ซิลค์แจ็คการ์ด แขนยาวขายาว Brown Lotus พื้นขาว F</v>
          </cell>
        </row>
        <row r="5247">
          <cell r="A5247" t="str">
            <v>SP0742-L</v>
          </cell>
          <cell r="B5247" t="str">
            <v>P742</v>
          </cell>
          <cell r="C5247" t="str">
            <v>ซิลค์แจ็คการ์ด แขนยาวขายาว คิวปิด พื้นฟ้า L</v>
          </cell>
        </row>
        <row r="5248">
          <cell r="A5248" t="str">
            <v>SP0742-M</v>
          </cell>
          <cell r="B5248" t="str">
            <v>P742</v>
          </cell>
          <cell r="C5248" t="str">
            <v>ซิลค์แจ็คการ์ด แขนยาวขายาว คิวปิด พื้นฟ้า M</v>
          </cell>
        </row>
        <row r="5249">
          <cell r="A5249" t="str">
            <v>SP0742-XL</v>
          </cell>
          <cell r="B5249" t="str">
            <v>BP742</v>
          </cell>
          <cell r="C5249" t="str">
            <v>ซิลค์แจ็คการ์ด แขนยาวขายาว คิวปิด พื้นฟ้า XL</v>
          </cell>
        </row>
        <row r="5250">
          <cell r="A5250" t="str">
            <v>SP0744-L</v>
          </cell>
          <cell r="B5250" t="str">
            <v>BP744</v>
          </cell>
          <cell r="C5250" t="str">
            <v>ซาติน แขนยาวขายาว Black Flower tropical พื้นครีม L</v>
          </cell>
        </row>
        <row r="5251">
          <cell r="A5251" t="str">
            <v>SP0744-M</v>
          </cell>
          <cell r="B5251" t="str">
            <v>P744</v>
          </cell>
          <cell r="C5251" t="str">
            <v>ซาติน แขนยาวขายาว Black Flower tropical พื้นครีม M</v>
          </cell>
        </row>
        <row r="5252">
          <cell r="A5252" t="str">
            <v>SP0747-L</v>
          </cell>
          <cell r="B5252" t="str">
            <v>P747</v>
          </cell>
          <cell r="C5252" t="str">
            <v>ซาติน แขนยาวขายาว KAWS Bear ขอบดำ (กปก) L</v>
          </cell>
        </row>
        <row r="5253">
          <cell r="A5253" t="str">
            <v>SP0747-M</v>
          </cell>
          <cell r="B5253" t="str">
            <v>P747</v>
          </cell>
          <cell r="C5253" t="str">
            <v>ซาติน แขนยาวขายาว KAWS Bear ขอบดำ (กปก) M</v>
          </cell>
        </row>
        <row r="5254">
          <cell r="A5254" t="str">
            <v>SP0748-L</v>
          </cell>
          <cell r="B5254" t="str">
            <v>P748</v>
          </cell>
          <cell r="C5254" t="str">
            <v>ซาติน แขนยาวขายาว KAWS Bear ขอบฟ้า (กปก) L</v>
          </cell>
        </row>
        <row r="5255">
          <cell r="A5255" t="str">
            <v>SP0748-M</v>
          </cell>
          <cell r="B5255" t="str">
            <v>JP748</v>
          </cell>
          <cell r="C5255" t="str">
            <v>ซาติน แขนยาวขายาว KAWS Bear ขอบฟ้า (กปก) M ตัวโชว์</v>
          </cell>
        </row>
        <row r="5256">
          <cell r="A5256" t="str">
            <v>SP0749-L</v>
          </cell>
          <cell r="B5256" t="str">
            <v>P749</v>
          </cell>
          <cell r="C5256" t="str">
            <v>ซาติน แขนยาวขายาว ดอกไม้เล็ก เขียวชมพู พื้นครีม L</v>
          </cell>
        </row>
        <row r="5257">
          <cell r="A5257" t="str">
            <v>SP0749-M</v>
          </cell>
          <cell r="B5257" t="str">
            <v>P749</v>
          </cell>
          <cell r="C5257" t="str">
            <v>ซาติน แขนยาวขายาว ดอกไม้เล็ก เขียวชมพู พื้นครีม M</v>
          </cell>
        </row>
        <row r="5258">
          <cell r="A5258" t="str">
            <v>SP0750-L</v>
          </cell>
          <cell r="B5258" t="str">
            <v>P750</v>
          </cell>
          <cell r="C5258" t="str">
            <v>ซาติน แขนยาวขายาว โยคะแบร์ พื้นส้ม L</v>
          </cell>
        </row>
        <row r="5259">
          <cell r="A5259" t="str">
            <v>SP0750-M</v>
          </cell>
          <cell r="B5259" t="str">
            <v>P750</v>
          </cell>
          <cell r="C5259" t="str">
            <v>ซาติน แขนยาวขายาว โยคะแบร์ พื้นส้ม M</v>
          </cell>
        </row>
        <row r="5260">
          <cell r="A5260" t="str">
            <v>SP0752-F</v>
          </cell>
          <cell r="B5260" t="str">
            <v>P752</v>
          </cell>
          <cell r="C5260" t="str">
            <v>ซิลค์แจ็คการ์ด แขนยาวขายาว เชือก ส้ม ฟ้า F</v>
          </cell>
        </row>
        <row r="5261">
          <cell r="A5261" t="str">
            <v>SP0753-F</v>
          </cell>
          <cell r="B5261" t="str">
            <v>JP753</v>
          </cell>
          <cell r="C5261" t="str">
            <v>ซิลค์แจ็คการ์ด แขนยาวขายาว โซ่ ตาราง พื้นครีม ขอบแดง F ตัวโชว์</v>
          </cell>
        </row>
        <row r="5262">
          <cell r="A5262" t="str">
            <v>SP0754-F</v>
          </cell>
          <cell r="B5262" t="str">
            <v>P754</v>
          </cell>
          <cell r="C5262" t="str">
            <v>ซาติน แขนยาวขายาว Puzzle F</v>
          </cell>
        </row>
        <row r="5263">
          <cell r="A5263" t="str">
            <v>SP0755-F</v>
          </cell>
          <cell r="B5263" t="str">
            <v>P755</v>
          </cell>
          <cell r="C5263" t="str">
            <v>ซิลค์แจ็คการ์ด แขนยาวขายาว เสือ พืนชมพู ปกส้มฟ้า F</v>
          </cell>
        </row>
        <row r="5264">
          <cell r="A5264" t="str">
            <v>SP0756-L</v>
          </cell>
          <cell r="B5264" t="str">
            <v>P756</v>
          </cell>
          <cell r="C5264" t="str">
            <v>ซาติน แขนยาวขายาว โยคะแบร์ พื้นครีม L</v>
          </cell>
        </row>
        <row r="5265">
          <cell r="A5265" t="str">
            <v>SP0756-M</v>
          </cell>
          <cell r="B5265" t="str">
            <v>P756</v>
          </cell>
          <cell r="C5265" t="str">
            <v>ซาติน แขนยาวขายาว โยคะแบร์ พื้นครีม M</v>
          </cell>
        </row>
        <row r="5266">
          <cell r="A5266" t="str">
            <v>SP0757-L</v>
          </cell>
          <cell r="B5266" t="str">
            <v>P757</v>
          </cell>
          <cell r="C5266" t="str">
            <v>ซาติน แขนยาวขายาว Baby Bear พื้นครีม หัวใจฟ้า L</v>
          </cell>
        </row>
        <row r="5267">
          <cell r="A5267" t="str">
            <v>SP0757-M</v>
          </cell>
          <cell r="B5267" t="str">
            <v>JP757</v>
          </cell>
          <cell r="C5267" t="str">
            <v>ซาติน แขนยาวขายาว Baby Bear พื้นครีม หัวใจฟ้า M ตัวโชว์</v>
          </cell>
        </row>
        <row r="5268">
          <cell r="A5268" t="str">
            <v>SP0758-F</v>
          </cell>
          <cell r="B5268" t="str">
            <v>P758</v>
          </cell>
          <cell r="C5268" t="str">
            <v>ซิลค์แจ็คการ์ด แขนยาวขายาว แมวมารี ชมพู F</v>
          </cell>
        </row>
        <row r="5269">
          <cell r="A5269" t="str">
            <v>SP0759-F</v>
          </cell>
          <cell r="B5269" t="str">
            <v>JP759</v>
          </cell>
          <cell r="C5269" t="str">
            <v>ซิลค์แจ็คการ์ด แขนยาวขายาว น้อนหมีชมพูจุด F ตัวโชว์</v>
          </cell>
        </row>
        <row r="5270">
          <cell r="A5270" t="str">
            <v>SP0760-F</v>
          </cell>
          <cell r="B5270" t="str">
            <v>P760</v>
          </cell>
          <cell r="C5270" t="str">
            <v>ซิลค์แจ็คการ์ด แขนยาวขายาว มิ๊กกี้ ปกชมพู F</v>
          </cell>
        </row>
        <row r="5271">
          <cell r="A5271" t="str">
            <v>SP0763-L</v>
          </cell>
          <cell r="B5271" t="str">
            <v>JP763</v>
          </cell>
          <cell r="C5271" t="str">
            <v>ซาติน แขนยาวขายาว ก้อนเมฆ ลายพราง พื้นฟ้า L ตัวโชว์</v>
          </cell>
        </row>
        <row r="5272">
          <cell r="A5272" t="str">
            <v>SP0763-M</v>
          </cell>
          <cell r="B5272" t="str">
            <v>P763</v>
          </cell>
          <cell r="C5272" t="str">
            <v>ซาติน แขนยาวขายาว ก้อนเมฆ ลายพราง พื้นฟ้า M</v>
          </cell>
        </row>
        <row r="5273">
          <cell r="A5273" t="str">
            <v>SP0764-L</v>
          </cell>
          <cell r="B5273" t="str">
            <v>P764</v>
          </cell>
          <cell r="C5273" t="str">
            <v>ซาติน แขนยาวขายาว ก้อนเมฆ ลายพราง พื้นเหลือง L</v>
          </cell>
        </row>
        <row r="5274">
          <cell r="A5274" t="str">
            <v>SP0764-M</v>
          </cell>
          <cell r="B5274" t="str">
            <v>P764</v>
          </cell>
          <cell r="C5274" t="str">
            <v>ซาติน แขนยาวขายาว ก้อนเมฆ ลายพราง พื้นเหลือง M</v>
          </cell>
        </row>
        <row r="5275">
          <cell r="A5275" t="str">
            <v>SP0770-L</v>
          </cell>
          <cell r="B5275" t="str">
            <v>P770</v>
          </cell>
          <cell r="C5275" t="str">
            <v>ซาติน แขนยาวขายาว พื้นเขียว หมีมุก (กปก) L</v>
          </cell>
        </row>
        <row r="5276">
          <cell r="A5276" t="str">
            <v>SP0770-M</v>
          </cell>
          <cell r="B5276" t="str">
            <v>P770</v>
          </cell>
          <cell r="C5276" t="str">
            <v>ซาติน แขนยาวขายาว พื้นเขียว หมีมุก (กปก) M</v>
          </cell>
        </row>
        <row r="5277">
          <cell r="A5277" t="str">
            <v>SP0771-L</v>
          </cell>
          <cell r="B5277" t="str">
            <v>P771</v>
          </cell>
          <cell r="C5277" t="str">
            <v>ซาติน แขนยาวขายาว ตาราง หัวใจ เขียว (กปก) L</v>
          </cell>
        </row>
        <row r="5278">
          <cell r="A5278" t="str">
            <v>SP0771-M</v>
          </cell>
          <cell r="B5278" t="str">
            <v>JP771</v>
          </cell>
          <cell r="C5278" t="str">
            <v>ซาติน แขนยาวขายาว ตาราง หัวใจ เขียว (กปก) M ตัวโชว์</v>
          </cell>
        </row>
        <row r="5279">
          <cell r="A5279" t="str">
            <v>SP0773-F</v>
          </cell>
          <cell r="B5279" t="str">
            <v>JP773</v>
          </cell>
          <cell r="C5279" t="str">
            <v>ซิลค์แจ็คการ์ด แขนยาวขายาว ชิโนริ เบลท์ F ตัวโชว์</v>
          </cell>
        </row>
        <row r="5280">
          <cell r="A5280" t="str">
            <v>SP0774-F</v>
          </cell>
          <cell r="B5280" t="str">
            <v>JP774</v>
          </cell>
          <cell r="C5280" t="str">
            <v>ซิลค์แจ็คการ์ด แขนยาวขายาว ดอกบัวม่วง F ตัวโชว์</v>
          </cell>
        </row>
        <row r="5281">
          <cell r="A5281" t="str">
            <v>SP0775-F</v>
          </cell>
          <cell r="B5281" t="str">
            <v>JP775</v>
          </cell>
          <cell r="C5281" t="str">
            <v>ซิลค์แจ็คการ์ด แขนยาวขายาว อลิซ พื้นครีม F ตัวโชว์</v>
          </cell>
        </row>
        <row r="5282">
          <cell r="A5282" t="str">
            <v>SP0777-L</v>
          </cell>
          <cell r="B5282" t="str">
            <v>JP777</v>
          </cell>
          <cell r="C5282" t="str">
            <v>ซาติน แขนยาวขายาว ตาราง ชมพู กระเป๋า V L ตัวโชว์</v>
          </cell>
        </row>
        <row r="5283">
          <cell r="A5283" t="str">
            <v>SP0777-M</v>
          </cell>
          <cell r="B5283" t="str">
            <v>JP777</v>
          </cell>
          <cell r="C5283" t="str">
            <v>ซาติน แขนยาวขายาว ตาราง ชมพู กระเป๋า V M ตัวโชว์</v>
          </cell>
        </row>
        <row r="5284">
          <cell r="A5284" t="str">
            <v>SP0778-L</v>
          </cell>
          <cell r="B5284" t="str">
            <v>P778</v>
          </cell>
          <cell r="C5284" t="str">
            <v>ซาติน แขนยาวขายาว พื้นชมพู กระเป๋าสนูปปี้ คอระบาย L</v>
          </cell>
        </row>
        <row r="5285">
          <cell r="A5285" t="str">
            <v>SP0778-M</v>
          </cell>
          <cell r="B5285" t="str">
            <v>JP778</v>
          </cell>
          <cell r="C5285" t="str">
            <v>ซาติน แขนยาวขายาว พื้นชมพู กระเป๋าสนูปปี้ คอระบาย M ตัวโชว์</v>
          </cell>
        </row>
        <row r="5286">
          <cell r="A5286" t="str">
            <v>SP0778-XL</v>
          </cell>
          <cell r="B5286" t="str">
            <v>JP778</v>
          </cell>
          <cell r="C5286" t="str">
            <v>ซาติน แขนยาวขายาว พื้นชมพู กระเป๋าสนูปปี้ คอระบาย XL ตัวโชว์</v>
          </cell>
        </row>
        <row r="5287">
          <cell r="A5287" t="str">
            <v>SP0779-L</v>
          </cell>
          <cell r="B5287" t="str">
            <v>JP779</v>
          </cell>
          <cell r="C5287" t="str">
            <v>ซาติน แขนยาวขายาว พื้นดำ ขอบชมพู L ตัวโชว์</v>
          </cell>
        </row>
        <row r="5288">
          <cell r="A5288" t="str">
            <v>SP0779-M</v>
          </cell>
          <cell r="B5288" t="str">
            <v>BP779</v>
          </cell>
          <cell r="C5288" t="str">
            <v>ซาติน แขนยาวขายาว พื้นดำ ขอบชมพู M</v>
          </cell>
        </row>
        <row r="5289">
          <cell r="A5289" t="str">
            <v>SP0779-XL</v>
          </cell>
          <cell r="B5289" t="str">
            <v>JP779</v>
          </cell>
          <cell r="C5289" t="str">
            <v>ซาติน แขนยาวขายาว พื้นดำ ขอบชมพู XL</v>
          </cell>
        </row>
        <row r="5290">
          <cell r="A5290" t="str">
            <v>SP0782-L</v>
          </cell>
          <cell r="B5290" t="str">
            <v>JP782</v>
          </cell>
          <cell r="C5290" t="str">
            <v>ซาติน แขนยาวขายาว Wild Animal พื้นเขียว L ตัวโชว์</v>
          </cell>
        </row>
        <row r="5291">
          <cell r="A5291" t="str">
            <v>SP0782-M</v>
          </cell>
          <cell r="B5291" t="str">
            <v>JP782</v>
          </cell>
          <cell r="C5291" t="str">
            <v>ซาติน แขนยาวขายาว Wild Animal พื้นเขียว M ตัวโชว์</v>
          </cell>
        </row>
        <row r="5292">
          <cell r="A5292" t="str">
            <v>SP0782-XL</v>
          </cell>
          <cell r="B5292" t="str">
            <v>JP782</v>
          </cell>
          <cell r="C5292" t="str">
            <v>ซาติน แขนยาวขายาว Wild Animal พื้นเขียว XL ตัวโชว์</v>
          </cell>
        </row>
        <row r="5293">
          <cell r="A5293" t="str">
            <v>SP0785-F</v>
          </cell>
          <cell r="B5293" t="str">
            <v>JP785</v>
          </cell>
          <cell r="C5293" t="str">
            <v>ซิลค์แจ็คการ์ด แขนยาวขายาว ลายหัวใจ พื้นขาว ปกเขียว F ตัวโชว์</v>
          </cell>
        </row>
        <row r="5294">
          <cell r="A5294" t="str">
            <v>SP0786-L</v>
          </cell>
          <cell r="B5294" t="str">
            <v>P786</v>
          </cell>
          <cell r="C5294" t="str">
            <v>ซาติน แขนยาวขายาว พื้นแดง ลายดอกไม้ฟ้า L</v>
          </cell>
        </row>
        <row r="5295">
          <cell r="A5295" t="str">
            <v>SP0786-M</v>
          </cell>
          <cell r="B5295" t="str">
            <v>P786</v>
          </cell>
          <cell r="C5295" t="str">
            <v>ซาติน แขนยาวขายาว พื้นแดง ลายดอกไม้ฟ้า M</v>
          </cell>
        </row>
        <row r="5296">
          <cell r="A5296" t="str">
            <v>SP0786-XL</v>
          </cell>
          <cell r="B5296" t="str">
            <v>P786</v>
          </cell>
          <cell r="C5296" t="str">
            <v>ซาติน แขนยาวขายาว พื้นแดง ลายดอกไม้ฟ้า XL</v>
          </cell>
        </row>
        <row r="5297">
          <cell r="A5297" t="str">
            <v>SP0788-L</v>
          </cell>
          <cell r="B5297" t="str">
            <v>P788</v>
          </cell>
          <cell r="C5297" t="str">
            <v>ซาติน แขนยาวขายาว ดอกกุหลาบ ปกชมพู L</v>
          </cell>
        </row>
        <row r="5298">
          <cell r="A5298" t="str">
            <v>SP0788-M</v>
          </cell>
          <cell r="B5298" t="str">
            <v>JP788</v>
          </cell>
          <cell r="C5298" t="str">
            <v>ซาติน แขนยาวขายาว ดอกกุหลาบ ปกชมพู M ตัวโชว์</v>
          </cell>
        </row>
        <row r="5299">
          <cell r="A5299" t="str">
            <v>SP0788-XL</v>
          </cell>
          <cell r="B5299" t="str">
            <v>P788</v>
          </cell>
          <cell r="C5299" t="str">
            <v>ซาติน แขนยาวขายาว ดอกกุหลาบ ปกชมพู XL</v>
          </cell>
        </row>
        <row r="5300">
          <cell r="A5300" t="str">
            <v>SP0791-L</v>
          </cell>
          <cell r="B5300" t="str">
            <v>P791</v>
          </cell>
          <cell r="C5300" t="str">
            <v>ซาติน แขนยาวขายาว COCKTAIL PEACH L</v>
          </cell>
        </row>
        <row r="5301">
          <cell r="A5301" t="str">
            <v>SP0791-M</v>
          </cell>
          <cell r="B5301" t="str">
            <v>P791</v>
          </cell>
          <cell r="C5301" t="str">
            <v>ซาติน แขนยาวขายาว COCKTAIL PEACH M</v>
          </cell>
        </row>
        <row r="5302">
          <cell r="A5302" t="str">
            <v>SP0791-XL</v>
          </cell>
          <cell r="B5302" t="str">
            <v>P791</v>
          </cell>
          <cell r="C5302" t="str">
            <v>ซาติน แขนยาวขายาว COCKTAIL PEACH XL</v>
          </cell>
        </row>
        <row r="5303">
          <cell r="A5303" t="str">
            <v>SP0792-L</v>
          </cell>
          <cell r="B5303" t="str">
            <v>P792</v>
          </cell>
          <cell r="C5303" t="str">
            <v>ซาติน แขนยาวขายาว ป่าหิมพาน ปกตาราง L</v>
          </cell>
        </row>
        <row r="5304">
          <cell r="A5304" t="str">
            <v>SP0792-M</v>
          </cell>
          <cell r="B5304" t="str">
            <v>P792</v>
          </cell>
          <cell r="C5304" t="str">
            <v>ซาติน แขนยาวขายาว ป่าหิมพาน ปกตาราง M</v>
          </cell>
        </row>
        <row r="5305">
          <cell r="A5305" t="str">
            <v>SP0792-XL</v>
          </cell>
          <cell r="B5305" t="str">
            <v>P792</v>
          </cell>
          <cell r="C5305" t="str">
            <v>ซาติน แขนยาวขายาว ป่าหิมพาน ปกตาราง XL</v>
          </cell>
        </row>
        <row r="5306">
          <cell r="A5306" t="str">
            <v>SP0793-L</v>
          </cell>
          <cell r="B5306" t="str">
            <v>JP793</v>
          </cell>
          <cell r="C5306" t="str">
            <v>ซาติน แขนยาวขายาว บอนไซ ปกเขียว L</v>
          </cell>
        </row>
        <row r="5307">
          <cell r="A5307" t="str">
            <v>SP0793-M</v>
          </cell>
          <cell r="B5307" t="str">
            <v>JP793</v>
          </cell>
          <cell r="C5307" t="str">
            <v>ซาติน แขนยาวขายาว บอนไซ ปกเขียว M</v>
          </cell>
        </row>
        <row r="5308">
          <cell r="A5308" t="str">
            <v>SP0794-F</v>
          </cell>
          <cell r="B5308" t="str">
            <v>JP794</v>
          </cell>
          <cell r="C5308" t="str">
            <v>ซิลค์แจ็คการ์ด แขนยาวขายาว โกดั๊ก เหลือง F ตัวโชว์</v>
          </cell>
        </row>
        <row r="5309">
          <cell r="A5309" t="str">
            <v>SP0795-F</v>
          </cell>
          <cell r="B5309" t="str">
            <v>P795</v>
          </cell>
          <cell r="C5309" t="str">
            <v>ซิลค์แจ็คการ์ด แขนยาวขายาว โพล่าแบร์ ปกชมพู F</v>
          </cell>
        </row>
        <row r="5310">
          <cell r="A5310" t="str">
            <v>SP0796-F</v>
          </cell>
          <cell r="B5310" t="str">
            <v>JP796</v>
          </cell>
          <cell r="C5310" t="str">
            <v>ซิลค์แจ็คการ์ด แขนยาวขายาว เดซี่ พื้นชมพู F ตัวโชว์</v>
          </cell>
        </row>
        <row r="5311">
          <cell r="A5311" t="str">
            <v>SP0797-2XL</v>
          </cell>
          <cell r="B5311" t="str">
            <v>P797</v>
          </cell>
          <cell r="C5311" t="str">
            <v>ซาติน แขนยาวขายาว Green Village (กปก) 2XL</v>
          </cell>
        </row>
        <row r="5312">
          <cell r="A5312" t="str">
            <v>SP0797-3XL</v>
          </cell>
          <cell r="B5312" t="str">
            <v>P797</v>
          </cell>
          <cell r="C5312" t="str">
            <v>ซาติน แขนยาวขายาว Green Village (กปก) 3XL</v>
          </cell>
        </row>
        <row r="5313">
          <cell r="A5313" t="str">
            <v>SP0797-L</v>
          </cell>
          <cell r="B5313" t="str">
            <v>P797</v>
          </cell>
          <cell r="C5313" t="str">
            <v>ซาติน แขนยาวขายาว Green Village (กปก) L</v>
          </cell>
        </row>
        <row r="5314">
          <cell r="A5314" t="str">
            <v>SP0797-M</v>
          </cell>
          <cell r="B5314" t="str">
            <v>P797</v>
          </cell>
          <cell r="C5314" t="str">
            <v>ซาติน แขนยาวขายาว Green Village (กปก) M</v>
          </cell>
        </row>
        <row r="5315">
          <cell r="A5315" t="str">
            <v>SP0797-XL</v>
          </cell>
          <cell r="B5315" t="str">
            <v>P797</v>
          </cell>
          <cell r="C5315" t="str">
            <v>ซาติน แขนยาวขายาว Green Village (กปก) XL</v>
          </cell>
        </row>
        <row r="5316">
          <cell r="A5316" t="str">
            <v>SP0798-2XL</v>
          </cell>
          <cell r="B5316" t="str">
            <v>P798</v>
          </cell>
          <cell r="C5316" t="str">
            <v>ซาติน แขนยาวขายาว Red Village (กปก) 2XL</v>
          </cell>
        </row>
        <row r="5317">
          <cell r="A5317" t="str">
            <v>SP0798-3XL</v>
          </cell>
          <cell r="B5317" t="str">
            <v>P798</v>
          </cell>
          <cell r="C5317" t="str">
            <v>ซาติน แขนยาวขายาว Red Village (กปก) 3XL</v>
          </cell>
        </row>
        <row r="5318">
          <cell r="A5318" t="str">
            <v>SP0798-L</v>
          </cell>
          <cell r="B5318" t="str">
            <v>P798</v>
          </cell>
          <cell r="C5318" t="str">
            <v>ซาติน แขนยาวขายาว Red Village (กปก) L</v>
          </cell>
        </row>
        <row r="5319">
          <cell r="A5319" t="str">
            <v>SP0798-M</v>
          </cell>
          <cell r="B5319" t="str">
            <v>P798</v>
          </cell>
          <cell r="C5319" t="str">
            <v>ซาติน แขนยาวขายาว Red Village (กปก) M</v>
          </cell>
        </row>
        <row r="5320">
          <cell r="A5320" t="str">
            <v>SP0798-XL</v>
          </cell>
          <cell r="B5320" t="str">
            <v>P798</v>
          </cell>
          <cell r="C5320" t="str">
            <v>ซาติน แขนยาวขายาว Red Village (กปก) XL</v>
          </cell>
        </row>
        <row r="5321">
          <cell r="A5321" t="str">
            <v>SP0799-L</v>
          </cell>
          <cell r="B5321" t="str">
            <v>P799</v>
          </cell>
          <cell r="C5321" t="str">
            <v>ซาติน แขนยาวขายาว พื้นดำคราม ขอบครีม L</v>
          </cell>
        </row>
        <row r="5322">
          <cell r="A5322" t="str">
            <v>SP0799-M</v>
          </cell>
          <cell r="B5322" t="str">
            <v>P799</v>
          </cell>
          <cell r="C5322" t="str">
            <v>ซาติน แขนยาวขายาว พื้นดำคราม ขอบครีม M</v>
          </cell>
        </row>
        <row r="5323">
          <cell r="A5323" t="str">
            <v>SP0799-XL</v>
          </cell>
          <cell r="B5323" t="str">
            <v>P799</v>
          </cell>
          <cell r="C5323" t="str">
            <v>ซาติน แขนยาวขายาว พื้นดำคราม ขอบครีม XL</v>
          </cell>
        </row>
        <row r="5324">
          <cell r="A5324" t="str">
            <v>SP0801-L</v>
          </cell>
          <cell r="B5324" t="str">
            <v>P801</v>
          </cell>
          <cell r="C5324" t="str">
            <v>ซาติน แขนยาวขายาว พื้นฟ้าคราม สีครีม L</v>
          </cell>
        </row>
        <row r="5325">
          <cell r="A5325" t="str">
            <v>SP0801-M</v>
          </cell>
          <cell r="B5325" t="str">
            <v>P801</v>
          </cell>
          <cell r="C5325" t="str">
            <v>ซาติน แขนยาวขายาว พื้นฟ้าคราม สีครีม M</v>
          </cell>
        </row>
        <row r="5326">
          <cell r="A5326" t="str">
            <v>SP0801-XL</v>
          </cell>
          <cell r="B5326" t="str">
            <v>P801</v>
          </cell>
          <cell r="C5326" t="str">
            <v>ซาติน แขนยาวขายาว พื้นฟ้าคราม สีครีม XL</v>
          </cell>
        </row>
        <row r="5327">
          <cell r="A5327" t="str">
            <v>SP0804-L</v>
          </cell>
          <cell r="B5327" t="str">
            <v>P804</v>
          </cell>
          <cell r="C5327" t="str">
            <v>ซาติน แขนยาวขายาว พื้นชมพูคราม สีครีม L</v>
          </cell>
        </row>
        <row r="5328">
          <cell r="A5328" t="str">
            <v>SP0804-M</v>
          </cell>
          <cell r="B5328" t="str">
            <v>JP804</v>
          </cell>
          <cell r="C5328" t="str">
            <v>ซาติน แขนยาวขายาว พื้นชมพูคราม สีครีม M ตัวโชว์</v>
          </cell>
        </row>
        <row r="5329">
          <cell r="A5329" t="str">
            <v>SP0804-XL</v>
          </cell>
          <cell r="B5329" t="str">
            <v>P804</v>
          </cell>
          <cell r="C5329" t="str">
            <v>ซาติน แขนยาวขายาว พื้นชมพูคราม สีครีม XL</v>
          </cell>
        </row>
        <row r="5330">
          <cell r="A5330" t="str">
            <v>SP0805-L</v>
          </cell>
          <cell r="B5330" t="str">
            <v>P805</v>
          </cell>
          <cell r="C5330" t="str">
            <v>ซาติน แขนยาวขายาว Royal Zebra ปกดำ L</v>
          </cell>
        </row>
        <row r="5331">
          <cell r="A5331" t="str">
            <v>SP0805-M</v>
          </cell>
          <cell r="B5331" t="str">
            <v>P805</v>
          </cell>
          <cell r="C5331" t="str">
            <v>ซาติน แขนยาวขายาว Royal Zebra ปกดำ M ตัวโชว์</v>
          </cell>
        </row>
        <row r="5332">
          <cell r="A5332" t="str">
            <v>SP0805-XL</v>
          </cell>
          <cell r="B5332" t="str">
            <v>P805</v>
          </cell>
          <cell r="C5332" t="str">
            <v>ซาติน แขนยาวขายาว Royal Zebra ปกดำ XL</v>
          </cell>
        </row>
        <row r="5333">
          <cell r="A5333" t="str">
            <v>SP0809-F</v>
          </cell>
          <cell r="B5333" t="str">
            <v>JP809</v>
          </cell>
          <cell r="C5333" t="str">
            <v>ซิลค์แจ็คการ์ด แขนยาวขายาว ดอกไม้ชมพู พื้นฟ้า F ตัวโชว์</v>
          </cell>
        </row>
        <row r="5334">
          <cell r="A5334" t="str">
            <v>SP0810-F</v>
          </cell>
          <cell r="B5334" t="str">
            <v>JP810</v>
          </cell>
          <cell r="C5334" t="str">
            <v>ซิลค์แจ็คการ์ด แขนยาวขายาว เป็ด พื้นครีม F ตัวโชว์</v>
          </cell>
        </row>
        <row r="5335">
          <cell r="A5335" t="str">
            <v>SP0811-F</v>
          </cell>
          <cell r="B5335" t="str">
            <v>JP811</v>
          </cell>
          <cell r="C5335" t="str">
            <v>ซิลค์แจ็คการ์ด แขนยาวขายาว ดาว พาสเทล F ตัวโชว์</v>
          </cell>
        </row>
        <row r="5336">
          <cell r="A5336" t="str">
            <v>SP0812-F</v>
          </cell>
          <cell r="B5336" t="str">
            <v>P812</v>
          </cell>
          <cell r="C5336" t="str">
            <v>ซิลค์แจ็คการ์ด แขนยาวขายาว ปกชมพู จุดหลากสี F</v>
          </cell>
        </row>
        <row r="5337">
          <cell r="A5337" t="str">
            <v>SP0813-L</v>
          </cell>
          <cell r="B5337" t="str">
            <v>P813</v>
          </cell>
          <cell r="C5337" t="str">
            <v>ซาติน แขนยาวขายาว ดอกโสน พื้นฟ้า L</v>
          </cell>
        </row>
        <row r="5338">
          <cell r="A5338" t="str">
            <v>SP0813-M</v>
          </cell>
          <cell r="B5338" t="str">
            <v>P813</v>
          </cell>
          <cell r="C5338" t="str">
            <v>ซาติน แขนยาวขายาว ดอกโสน พื้นฟ้า M</v>
          </cell>
        </row>
        <row r="5339">
          <cell r="A5339" t="str">
            <v>SP0813-S</v>
          </cell>
          <cell r="B5339" t="str">
            <v>P813</v>
          </cell>
          <cell r="C5339" t="str">
            <v>ซาติน แขนยาวขายาว ดอกโสน พื้นฟ้า S</v>
          </cell>
        </row>
        <row r="5340">
          <cell r="A5340" t="str">
            <v>SP0813-XL</v>
          </cell>
          <cell r="B5340" t="str">
            <v>P813</v>
          </cell>
          <cell r="C5340" t="str">
            <v>ซาติน แขนยาวขายาว ดอกโสน พื้นฟ้า XL</v>
          </cell>
        </row>
        <row r="5341">
          <cell r="A5341" t="str">
            <v>SP0814-L</v>
          </cell>
          <cell r="B5341" t="str">
            <v>P814</v>
          </cell>
          <cell r="C5341" t="str">
            <v>ซาติน แขนยาวขายาว ทานตะวันม่วง L</v>
          </cell>
        </row>
        <row r="5342">
          <cell r="A5342" t="str">
            <v>SP0814-M</v>
          </cell>
          <cell r="B5342" t="str">
            <v>P814</v>
          </cell>
          <cell r="C5342" t="str">
            <v>ซาติน แขนยาวขายาว ทานตะวันม่วง M</v>
          </cell>
        </row>
        <row r="5343">
          <cell r="A5343" t="str">
            <v>SP0814-S</v>
          </cell>
          <cell r="B5343" t="str">
            <v>P814</v>
          </cell>
          <cell r="C5343" t="str">
            <v>ซาติน แขนยาวขายาว ทานตะวันม่วง S</v>
          </cell>
        </row>
        <row r="5344">
          <cell r="A5344" t="str">
            <v>SP0814-XL</v>
          </cell>
          <cell r="B5344" t="str">
            <v>P814</v>
          </cell>
          <cell r="C5344" t="str">
            <v>ซาติน แขนยาวขายาว ทานตะวันม่วง XL</v>
          </cell>
        </row>
        <row r="5345">
          <cell r="A5345" t="str">
            <v>SP0815-L</v>
          </cell>
          <cell r="B5345" t="str">
            <v>P815</v>
          </cell>
          <cell r="C5345" t="str">
            <v>ซาติน แขนยาวขายาว ลายเมฆ ฟ้าเหลือง L</v>
          </cell>
        </row>
        <row r="5346">
          <cell r="A5346" t="str">
            <v>SP0815-M</v>
          </cell>
          <cell r="B5346" t="str">
            <v>ป5</v>
          </cell>
          <cell r="C5346" t="str">
            <v>ซาติน แขนยาวขายาว ลายเมฆ ฟ้าเหลือง M</v>
          </cell>
        </row>
        <row r="5347">
          <cell r="A5347" t="str">
            <v>SP0815-XL</v>
          </cell>
          <cell r="B5347" t="str">
            <v>P815</v>
          </cell>
          <cell r="C5347" t="str">
            <v>ซาติน แขนยาวขายาว ลายเมฆ ฟ้าเหลือง XL</v>
          </cell>
        </row>
        <row r="5348">
          <cell r="A5348" t="str">
            <v>SP0816-L</v>
          </cell>
          <cell r="B5348" t="str">
            <v>P816</v>
          </cell>
          <cell r="C5348" t="str">
            <v>ซาติน แขนยาวขายาว ใบไม้เขียว ขอบเหลือง พื้นขาว L</v>
          </cell>
        </row>
        <row r="5349">
          <cell r="A5349" t="str">
            <v>SP0816-M</v>
          </cell>
          <cell r="B5349" t="str">
            <v>P816</v>
          </cell>
          <cell r="C5349" t="str">
            <v>ซาติน แขนยาวขายาว ใบไม้เขียว ขอบเหลือง พื้นขาว M</v>
          </cell>
        </row>
        <row r="5350">
          <cell r="A5350" t="str">
            <v>SP0816-S</v>
          </cell>
          <cell r="B5350" t="str">
            <v>P816</v>
          </cell>
          <cell r="C5350" t="str">
            <v>ซาติน แขนยาวขายาว ใบไม้เขียว ขอบเหลือง พื้นขาว S</v>
          </cell>
        </row>
        <row r="5351">
          <cell r="A5351" t="str">
            <v>SP0816-XL</v>
          </cell>
          <cell r="B5351" t="str">
            <v>P816</v>
          </cell>
          <cell r="C5351" t="str">
            <v>ซาติน แขนยาวขายาว ใบไม้เขียว ขอบเหลือง พื้นขาว XL</v>
          </cell>
        </row>
        <row r="5352">
          <cell r="A5352" t="str">
            <v>SP0817-L</v>
          </cell>
          <cell r="B5352" t="str">
            <v>P817</v>
          </cell>
          <cell r="C5352" t="str">
            <v>ซาติน แขนยาวขายาว ดอกไม้ ขาวดำ พื้นเขียว L</v>
          </cell>
        </row>
        <row r="5353">
          <cell r="A5353" t="str">
            <v>SP0817-M</v>
          </cell>
          <cell r="B5353" t="str">
            <v>P817</v>
          </cell>
          <cell r="C5353" t="str">
            <v>ซาติน แขนยาวขายาว ดอกไม้ ขาวดำ พื้นเขียว M</v>
          </cell>
        </row>
        <row r="5354">
          <cell r="A5354" t="str">
            <v>SP0817-S</v>
          </cell>
          <cell r="B5354" t="str">
            <v>P817</v>
          </cell>
          <cell r="C5354" t="str">
            <v>ซาติน แขนยาวขายาว ดอกไม้ ขาวดำ พื้นเขียว S</v>
          </cell>
        </row>
        <row r="5355">
          <cell r="A5355" t="str">
            <v>SP0817-XL</v>
          </cell>
          <cell r="B5355" t="str">
            <v>P817</v>
          </cell>
          <cell r="C5355" t="str">
            <v>ซาติน แขนยาวขายาว ดอกไม้ ขาวดำ พื้นเขียว XL</v>
          </cell>
        </row>
        <row r="5356">
          <cell r="A5356" t="str">
            <v>SP0821-L</v>
          </cell>
          <cell r="B5356" t="str">
            <v>P821</v>
          </cell>
          <cell r="C5356" t="str">
            <v>ซาติน แขนยาวขายาว Golden Maze พื้นแดง L</v>
          </cell>
        </row>
        <row r="5357">
          <cell r="A5357" t="str">
            <v>SP0821-M</v>
          </cell>
          <cell r="B5357" t="str">
            <v>P821</v>
          </cell>
          <cell r="C5357" t="str">
            <v>ซาติน แขนยาวขายาว Golden Maze พื้นแดง M</v>
          </cell>
        </row>
        <row r="5358">
          <cell r="A5358" t="str">
            <v>SP0821-XL</v>
          </cell>
          <cell r="B5358" t="str">
            <v>P821</v>
          </cell>
          <cell r="C5358" t="str">
            <v>ซาติน แขนยาวขายาว Golden Maze พื้นแดง XL</v>
          </cell>
        </row>
        <row r="5359">
          <cell r="A5359" t="str">
            <v>SP0822-L</v>
          </cell>
          <cell r="B5359" t="str">
            <v>P822</v>
          </cell>
          <cell r="C5359" t="str">
            <v>ซาติน แขนยาวขายาว Purple Cat L</v>
          </cell>
        </row>
        <row r="5360">
          <cell r="A5360" t="str">
            <v>SP0822-M</v>
          </cell>
          <cell r="B5360" t="str">
            <v>P822</v>
          </cell>
          <cell r="C5360" t="str">
            <v>ซาติน แขนยาวขายาว Purple Cat M</v>
          </cell>
        </row>
        <row r="5361">
          <cell r="A5361" t="str">
            <v>SP0822-XL</v>
          </cell>
          <cell r="B5361" t="str">
            <v>P822</v>
          </cell>
          <cell r="C5361" t="str">
            <v>ซาติน แขนยาวขายาว Purple Cat XL</v>
          </cell>
        </row>
        <row r="5362">
          <cell r="A5362" t="str">
            <v>SP0823-L</v>
          </cell>
          <cell r="B5362" t="str">
            <v>P823</v>
          </cell>
          <cell r="C5362" t="str">
            <v>ซาติน แขนยาวขายาว Pinky Cat L</v>
          </cell>
        </row>
        <row r="5363">
          <cell r="A5363" t="str">
            <v>SP0823-M</v>
          </cell>
          <cell r="B5363" t="str">
            <v>P823</v>
          </cell>
          <cell r="C5363" t="str">
            <v>ซาติน แขนยาวขายาว Pinky Cat M</v>
          </cell>
        </row>
        <row r="5364">
          <cell r="A5364" t="str">
            <v>SP0823-XL</v>
          </cell>
          <cell r="B5364" t="str">
            <v>P823</v>
          </cell>
          <cell r="C5364" t="str">
            <v>ซาติน แขนยาวขายาว Pinky Cat XL</v>
          </cell>
        </row>
        <row r="5365">
          <cell r="A5365" t="str">
            <v>SP0824-L</v>
          </cell>
          <cell r="B5365" t="str">
            <v>P824</v>
          </cell>
          <cell r="C5365" t="str">
            <v>ซาติน แขนยาวขายาว Golden Maze พื้นดำ L</v>
          </cell>
        </row>
        <row r="5366">
          <cell r="A5366" t="str">
            <v>SP0824-M</v>
          </cell>
          <cell r="B5366" t="str">
            <v>P824</v>
          </cell>
          <cell r="C5366" t="str">
            <v>ซาติน แขนยาวขายาว Golden Maze พื้นดำ M</v>
          </cell>
        </row>
        <row r="5367">
          <cell r="A5367" t="str">
            <v>SP0824-XL</v>
          </cell>
          <cell r="B5367" t="str">
            <v>P824</v>
          </cell>
          <cell r="C5367" t="str">
            <v>ซาติน แขนยาวขายาว Golden Maze พื้นดำ XL</v>
          </cell>
        </row>
        <row r="5368">
          <cell r="A5368" t="str">
            <v>SP0825-2XL</v>
          </cell>
          <cell r="B5368" t="str">
            <v>P825</v>
          </cell>
          <cell r="C5368" t="str">
            <v>ซาติน แขนยาวขายาว เสือ ดำครีม 2XL</v>
          </cell>
        </row>
        <row r="5369">
          <cell r="A5369" t="str">
            <v>SP0825-L</v>
          </cell>
          <cell r="B5369" t="str">
            <v>P825</v>
          </cell>
          <cell r="C5369" t="str">
            <v>ซาติน แขนยาวขายาว เสือ ดำครีม L</v>
          </cell>
        </row>
        <row r="5370">
          <cell r="A5370" t="str">
            <v>SP0825-M</v>
          </cell>
          <cell r="B5370" t="str">
            <v>P825</v>
          </cell>
          <cell r="C5370" t="str">
            <v>ซาติน แขนยาวขายาว เสือ ดำครีม M</v>
          </cell>
        </row>
        <row r="5371">
          <cell r="A5371" t="str">
            <v>SP0825-XL</v>
          </cell>
          <cell r="B5371" t="str">
            <v>P825</v>
          </cell>
          <cell r="C5371" t="str">
            <v>ซาติน แขนยาวขายาว เสือ ดำครีม XL</v>
          </cell>
        </row>
        <row r="5372">
          <cell r="A5372" t="str">
            <v>SP0829-L</v>
          </cell>
          <cell r="B5372" t="str">
            <v>P829</v>
          </cell>
          <cell r="C5372" t="str">
            <v>ซาติน แขนยาวขายาว เมฆ ขาวดำ L</v>
          </cell>
        </row>
        <row r="5373">
          <cell r="A5373" t="str">
            <v>SP0829-M</v>
          </cell>
          <cell r="B5373" t="str">
            <v>P829</v>
          </cell>
          <cell r="C5373" t="str">
            <v>ซาติน แขนยาวขายาว เมฆ ขาวดำ M</v>
          </cell>
        </row>
        <row r="5374">
          <cell r="A5374" t="str">
            <v>SP0829-XL</v>
          </cell>
          <cell r="B5374" t="str">
            <v>P829</v>
          </cell>
          <cell r="C5374" t="str">
            <v>ซาติน แขนยาวขายาว เมฆ ขาวดำ XL</v>
          </cell>
        </row>
        <row r="5375">
          <cell r="A5375" t="str">
            <v>SP0830-L</v>
          </cell>
          <cell r="B5375" t="str">
            <v>P830</v>
          </cell>
          <cell r="C5375" t="str">
            <v>ซาติน แขนยาวขายาว Snow Pastel L</v>
          </cell>
        </row>
        <row r="5376">
          <cell r="A5376" t="str">
            <v>SP0830-M</v>
          </cell>
          <cell r="B5376" t="str">
            <v>P830</v>
          </cell>
          <cell r="C5376" t="str">
            <v>ซาติน แขนยาวขายาว Snow Pastel M</v>
          </cell>
        </row>
        <row r="5377">
          <cell r="A5377" t="str">
            <v>SP0831-L</v>
          </cell>
          <cell r="B5377" t="str">
            <v>P831</v>
          </cell>
          <cell r="C5377" t="str">
            <v>ซาติน แขนยาวขายาว Little Clound พื้นฟ้า (กปก) L</v>
          </cell>
        </row>
        <row r="5378">
          <cell r="A5378" t="str">
            <v>SP0831-M</v>
          </cell>
          <cell r="B5378" t="str">
            <v>P831</v>
          </cell>
          <cell r="C5378" t="str">
            <v>ซาติน แขนยาวขายาว Little Clound พื้นฟ้า (กปก) M</v>
          </cell>
        </row>
        <row r="5379">
          <cell r="A5379" t="str">
            <v>SP0832-L</v>
          </cell>
          <cell r="B5379" t="str">
            <v>P832</v>
          </cell>
          <cell r="C5379" t="str">
            <v>ซาติน แขนยาวขายาว พื้นกรม ปกกลม L</v>
          </cell>
        </row>
        <row r="5380">
          <cell r="A5380" t="str">
            <v>SP0832-M</v>
          </cell>
          <cell r="B5380" t="str">
            <v>P832</v>
          </cell>
          <cell r="C5380" t="str">
            <v>ซาติน แขนยาวขายาว พื้นกรม ปกกลม M</v>
          </cell>
        </row>
        <row r="5381">
          <cell r="A5381" t="str">
            <v>SP0833-L</v>
          </cell>
          <cell r="B5381" t="str">
            <v>P833</v>
          </cell>
          <cell r="C5381" t="str">
            <v>ซาติน แขนยาวขายาว พื้นครีม ปกกลม L</v>
          </cell>
        </row>
        <row r="5382">
          <cell r="A5382" t="str">
            <v>SP0833-M</v>
          </cell>
          <cell r="B5382" t="str">
            <v>P833</v>
          </cell>
          <cell r="C5382" t="str">
            <v>ซาติน แขนยาวขายาว พื้นครีม ปกกลม M</v>
          </cell>
        </row>
        <row r="5383">
          <cell r="A5383" t="str">
            <v>SP0834-L</v>
          </cell>
          <cell r="B5383" t="str">
            <v>P834</v>
          </cell>
          <cell r="C5383" t="str">
            <v>ซาติน แขนยาวขายาว พื้นขาว ปกกลม L</v>
          </cell>
        </row>
        <row r="5384">
          <cell r="A5384" t="str">
            <v>SP0834-M</v>
          </cell>
          <cell r="B5384" t="str">
            <v>BP834</v>
          </cell>
          <cell r="C5384" t="str">
            <v>ซาติน แขนยาวขายาว พื้นขาว ปกกลม M</v>
          </cell>
        </row>
        <row r="5385">
          <cell r="A5385" t="str">
            <v>SP0835-L</v>
          </cell>
          <cell r="B5385" t="str">
            <v>P835</v>
          </cell>
          <cell r="C5385" t="str">
            <v>ซาติน แขนยาวขายาว พื้นแดง ปกกลม L</v>
          </cell>
        </row>
        <row r="5386">
          <cell r="A5386" t="str">
            <v>SP0835-M</v>
          </cell>
          <cell r="B5386" t="str">
            <v>P835</v>
          </cell>
          <cell r="C5386" t="str">
            <v>ซาติน แขนยาวขายาว พื้นแดง ปกกลม M</v>
          </cell>
        </row>
        <row r="5387">
          <cell r="A5387" t="str">
            <v>SP0839-L</v>
          </cell>
          <cell r="B5387" t="str">
            <v>P839</v>
          </cell>
          <cell r="C5387" t="str">
            <v>ซิลค์แจ็คการ์ด แขนยาวขายาว ดอกไม้น้อย สีชมพู พื้นวนิลา L</v>
          </cell>
        </row>
        <row r="5388">
          <cell r="A5388" t="str">
            <v>SP0839-M</v>
          </cell>
          <cell r="B5388" t="str">
            <v>P839</v>
          </cell>
          <cell r="C5388" t="str">
            <v>ซิลค์แจ็คการ์ด แขนยาวขายาว ดอกไม้น้อย สีชมพู พื้นวนิลา M</v>
          </cell>
        </row>
        <row r="5389">
          <cell r="A5389" t="str">
            <v>SP0839-XL</v>
          </cell>
          <cell r="B5389" t="str">
            <v>P839</v>
          </cell>
          <cell r="C5389" t="str">
            <v>ซิลค์แจ็คการ์ด แขนยาวขายาว ดอกไม้น้อย สีชมพู พื้นวนิลา XL</v>
          </cell>
        </row>
        <row r="5390">
          <cell r="A5390" t="str">
            <v>SP0840-L</v>
          </cell>
          <cell r="B5390" t="str">
            <v>P840</v>
          </cell>
          <cell r="C5390" t="str">
            <v>ซาติน แขนยาวขายาว Gray Lotus พื้นชมพู L</v>
          </cell>
        </row>
        <row r="5391">
          <cell r="A5391" t="str">
            <v>SP0840-M</v>
          </cell>
          <cell r="B5391" t="str">
            <v>P840</v>
          </cell>
          <cell r="C5391" t="str">
            <v>ซาติน แขนยาวขายาว Gray Lotus พื้นชมพู M</v>
          </cell>
        </row>
        <row r="5392">
          <cell r="A5392" t="str">
            <v>SP0840-XL</v>
          </cell>
          <cell r="B5392" t="str">
            <v>P840</v>
          </cell>
          <cell r="C5392" t="str">
            <v>ซาติน แขนยาวขายาว Gray Lotus พื้นชมพู XL</v>
          </cell>
        </row>
        <row r="5393">
          <cell r="A5393" t="str">
            <v>SP0841-2XL</v>
          </cell>
          <cell r="B5393" t="str">
            <v>P841</v>
          </cell>
          <cell r="C5393" t="str">
            <v>ซาติน แขนยาวขายาว Green Forest 2XL</v>
          </cell>
        </row>
        <row r="5394">
          <cell r="A5394" t="str">
            <v>SP0841-3XL</v>
          </cell>
          <cell r="B5394" t="str">
            <v>P841</v>
          </cell>
          <cell r="C5394" t="str">
            <v>ซาติน แขนยาวขายาว Green Forest 3XL</v>
          </cell>
        </row>
        <row r="5395">
          <cell r="A5395" t="str">
            <v>SP0841-L</v>
          </cell>
          <cell r="B5395" t="str">
            <v>P841</v>
          </cell>
          <cell r="C5395" t="str">
            <v>ซาติน แขนยาวขายาว Green Forest L</v>
          </cell>
        </row>
        <row r="5396">
          <cell r="A5396" t="str">
            <v>SP0841-M</v>
          </cell>
          <cell r="B5396" t="str">
            <v>P841</v>
          </cell>
          <cell r="C5396" t="str">
            <v>ซาติน แขนยาวขายาว Green Forest M</v>
          </cell>
        </row>
        <row r="5397">
          <cell r="A5397" t="str">
            <v>SP0841-XL</v>
          </cell>
          <cell r="B5397" t="str">
            <v>P841</v>
          </cell>
          <cell r="C5397" t="str">
            <v>ซาติน แขนยาวขายาว Green Forest XL</v>
          </cell>
        </row>
        <row r="5398">
          <cell r="A5398" t="str">
            <v>SP0842-F</v>
          </cell>
          <cell r="B5398" t="str">
            <v>P842</v>
          </cell>
          <cell r="C5398" t="str">
            <v>ซิลค์แจ็คการ์ด แขนยาวขายาว หมีน้อยหมวกแดง F</v>
          </cell>
        </row>
        <row r="5399">
          <cell r="A5399" t="str">
            <v>SP0843-F</v>
          </cell>
          <cell r="B5399" t="str">
            <v>P843</v>
          </cell>
          <cell r="C5399" t="str">
            <v>ซิลค์แจ็คการ์ด แขนยาวขายาว Haring Doodle Art F</v>
          </cell>
        </row>
        <row r="5400">
          <cell r="A5400" t="str">
            <v>SP0846-L</v>
          </cell>
          <cell r="B5400" t="str">
            <v>BP846</v>
          </cell>
          <cell r="C5400" t="str">
            <v>ซาติน แขนยาวขายาว ภาพหญ้าแห้ง L</v>
          </cell>
        </row>
        <row r="5401">
          <cell r="A5401" t="str">
            <v>SP0846-M</v>
          </cell>
          <cell r="B5401" t="str">
            <v>BP846</v>
          </cell>
          <cell r="C5401" t="str">
            <v>ซาติน แขนยาวขายาว ภาพหญ้าแห้ง M</v>
          </cell>
        </row>
        <row r="5402">
          <cell r="A5402" t="str">
            <v>SP0846-XL</v>
          </cell>
          <cell r="B5402" t="str">
            <v>P846</v>
          </cell>
          <cell r="C5402" t="str">
            <v>ซาติน แขนยาวขายาว ภาพหญ้าแห้ง XL</v>
          </cell>
        </row>
        <row r="5403">
          <cell r="A5403" t="str">
            <v>SP0847-L</v>
          </cell>
          <cell r="B5403" t="str">
            <v>P847</v>
          </cell>
          <cell r="C5403" t="str">
            <v>ซาติน แขนยาวขายาว ดอกมะลิ พื้นฟ้าม่วง L</v>
          </cell>
        </row>
        <row r="5404">
          <cell r="A5404" t="str">
            <v>SP0847-M</v>
          </cell>
          <cell r="B5404" t="str">
            <v>P847</v>
          </cell>
          <cell r="C5404" t="str">
            <v>ซาติน แขนยาวขายาว ดอกมะลิ พื้นฟ้าม่วง M</v>
          </cell>
        </row>
        <row r="5405">
          <cell r="A5405" t="str">
            <v>SP0847-S</v>
          </cell>
          <cell r="B5405" t="str">
            <v>P847</v>
          </cell>
          <cell r="C5405" t="str">
            <v>ซาติน แขนยาวขายาว ดอกมะลิ พื้นฟ้าม่วง S</v>
          </cell>
        </row>
        <row r="5406">
          <cell r="A5406" t="str">
            <v>SP0847-XL</v>
          </cell>
          <cell r="B5406" t="str">
            <v>P847</v>
          </cell>
          <cell r="C5406" t="str">
            <v>ซาติน แขนยาวขายาว ดอกมะลิ พื้นฟ้าม่วง XL</v>
          </cell>
        </row>
        <row r="5407">
          <cell r="A5407" t="str">
            <v>SP0848-L</v>
          </cell>
          <cell r="B5407" t="str">
            <v>P848</v>
          </cell>
          <cell r="C5407" t="str">
            <v>ซาติน แขนยาวขายาว Blue Rome L</v>
          </cell>
        </row>
        <row r="5408">
          <cell r="A5408" t="str">
            <v>SP0848-M</v>
          </cell>
          <cell r="B5408" t="str">
            <v>P848</v>
          </cell>
          <cell r="C5408" t="str">
            <v>ซาติน แขนยาวขายาว Blue Rome M</v>
          </cell>
        </row>
        <row r="5409">
          <cell r="A5409" t="str">
            <v>SP0848-XL</v>
          </cell>
          <cell r="B5409" t="str">
            <v>P848</v>
          </cell>
          <cell r="C5409" t="str">
            <v>ซาติน แขนยาวขายาว Blue Rome XL</v>
          </cell>
        </row>
        <row r="5410">
          <cell r="A5410" t="str">
            <v>SP0849-L</v>
          </cell>
          <cell r="B5410" t="str">
            <v>P849</v>
          </cell>
          <cell r="C5410" t="str">
            <v>ซาติน แขนยาวขายาว Green to tones L</v>
          </cell>
        </row>
        <row r="5411">
          <cell r="A5411" t="str">
            <v>SP0849-M</v>
          </cell>
          <cell r="B5411" t="str">
            <v>P849</v>
          </cell>
          <cell r="C5411" t="str">
            <v>ซาติน แขนยาวขายาว Green to tones M</v>
          </cell>
        </row>
        <row r="5412">
          <cell r="A5412" t="str">
            <v>SP0849-XL</v>
          </cell>
          <cell r="B5412" t="str">
            <v>P849</v>
          </cell>
          <cell r="C5412" t="str">
            <v>ซาติน แขนยาวขายาว Green to tones XL</v>
          </cell>
        </row>
        <row r="5413">
          <cell r="A5413" t="str">
            <v>SP0850-L</v>
          </cell>
          <cell r="B5413" t="str">
            <v>P850</v>
          </cell>
          <cell r="C5413" t="str">
            <v>ซาติน แขนยาวขายาว Rainy Season L</v>
          </cell>
        </row>
        <row r="5414">
          <cell r="A5414" t="str">
            <v>SP0850-M</v>
          </cell>
          <cell r="B5414" t="str">
            <v>P850</v>
          </cell>
          <cell r="C5414" t="str">
            <v>ซาติน แขนยาวขายาว Rainy Season M</v>
          </cell>
        </row>
        <row r="5415">
          <cell r="A5415" t="str">
            <v>SP0850-XL</v>
          </cell>
          <cell r="B5415" t="str">
            <v>P850</v>
          </cell>
          <cell r="C5415" t="str">
            <v>ซาติน แขนยาวขายาว Rainy Season XL</v>
          </cell>
        </row>
        <row r="5416">
          <cell r="A5416" t="str">
            <v>SP0851-L</v>
          </cell>
          <cell r="B5416" t="str">
            <v>P851</v>
          </cell>
          <cell r="C5416" t="str">
            <v>ซาติน แขนยาวขายาว Dry Season L</v>
          </cell>
        </row>
        <row r="5417">
          <cell r="A5417" t="str">
            <v>SP0851-M</v>
          </cell>
          <cell r="B5417" t="str">
            <v>P851</v>
          </cell>
          <cell r="C5417" t="str">
            <v>ซาติน แขนยาวขายาว Dry Season M</v>
          </cell>
        </row>
        <row r="5418">
          <cell r="A5418" t="str">
            <v>SP0851-S</v>
          </cell>
          <cell r="B5418" t="str">
            <v>P851</v>
          </cell>
          <cell r="C5418" t="str">
            <v>ซาติน แขนยาวขายาว Dry Season S</v>
          </cell>
        </row>
        <row r="5419">
          <cell r="A5419" t="str">
            <v>SP0851-XL</v>
          </cell>
          <cell r="B5419" t="str">
            <v>JP851</v>
          </cell>
          <cell r="C5419" t="str">
            <v>ซาติน แขนยาวขายาว Dry Season XL ตัวโชว์</v>
          </cell>
        </row>
        <row r="5420">
          <cell r="A5420" t="str">
            <v>SP0854-2XL</v>
          </cell>
          <cell r="B5420" t="str">
            <v>P854</v>
          </cell>
          <cell r="C5420" t="str">
            <v>ซาติน แขนยาวขายาว Women พื้นชมพู 2XL</v>
          </cell>
        </row>
        <row r="5421">
          <cell r="A5421" t="str">
            <v>SP0854-L</v>
          </cell>
          <cell r="B5421" t="str">
            <v>P854</v>
          </cell>
          <cell r="C5421" t="str">
            <v>ซาติน แขนยาวขายาว Women พื้นชมพู L</v>
          </cell>
        </row>
        <row r="5422">
          <cell r="A5422" t="str">
            <v>SP0854-M</v>
          </cell>
          <cell r="B5422" t="str">
            <v>P854</v>
          </cell>
          <cell r="C5422" t="str">
            <v>ซาติน แขนยาวขายาว Women พื้นชมพู M</v>
          </cell>
        </row>
        <row r="5423">
          <cell r="A5423" t="str">
            <v>SP0854-XL</v>
          </cell>
          <cell r="B5423" t="str">
            <v>P854</v>
          </cell>
          <cell r="C5423" t="str">
            <v>ซาติน แขนยาวขายาว Women พื้นชมพู XL</v>
          </cell>
        </row>
        <row r="5424">
          <cell r="A5424" t="str">
            <v>SP0855-2XL</v>
          </cell>
          <cell r="B5424" t="str">
            <v>P855</v>
          </cell>
          <cell r="C5424" t="str">
            <v>ซาติน แขนยาวขายาว ซากุระ พื้นชมพู 2XL</v>
          </cell>
        </row>
        <row r="5425">
          <cell r="A5425" t="str">
            <v>SP0855-L</v>
          </cell>
          <cell r="B5425" t="str">
            <v>P855</v>
          </cell>
          <cell r="C5425" t="str">
            <v>ซาติน แขนยาวขายาว ซากุระ พื้นชมพู L</v>
          </cell>
        </row>
        <row r="5426">
          <cell r="A5426" t="str">
            <v>SP0855-M</v>
          </cell>
          <cell r="B5426" t="str">
            <v>P855</v>
          </cell>
          <cell r="C5426" t="str">
            <v>ซาติน แขนยาวขายาว ซากุระ พื้นชมพู M</v>
          </cell>
        </row>
        <row r="5427">
          <cell r="A5427" t="str">
            <v>SP0855-XL</v>
          </cell>
          <cell r="B5427" t="str">
            <v>P855</v>
          </cell>
          <cell r="C5427" t="str">
            <v>ซาติน แขนยาวขายาว ซากุระ พื้นชมพู XL</v>
          </cell>
        </row>
        <row r="5428">
          <cell r="A5428" t="str">
            <v>SP0858-L</v>
          </cell>
          <cell r="B5428" t="str">
            <v>P858</v>
          </cell>
          <cell r="C5428" t="str">
            <v>ซาติน แขนยาวขายาว Neightbor Garden L</v>
          </cell>
        </row>
        <row r="5429">
          <cell r="A5429" t="str">
            <v>SP0858-M</v>
          </cell>
          <cell r="B5429" t="str">
            <v>P858</v>
          </cell>
          <cell r="C5429" t="str">
            <v>ซาติน แขนยาวขายาว Neightbor Garden M</v>
          </cell>
        </row>
        <row r="5430">
          <cell r="A5430" t="str">
            <v>SP0858-XL</v>
          </cell>
          <cell r="B5430" t="str">
            <v>P858</v>
          </cell>
          <cell r="C5430" t="str">
            <v>ซาติน แขนยาวขายาว Neightbor Garden XL</v>
          </cell>
        </row>
        <row r="5431">
          <cell r="A5431" t="str">
            <v>SP0859-L</v>
          </cell>
          <cell r="B5431" t="str">
            <v>P859</v>
          </cell>
          <cell r="C5431" t="str">
            <v>ซาติน แขนยาวขายาว Forest Maya L</v>
          </cell>
        </row>
        <row r="5432">
          <cell r="A5432" t="str">
            <v>SP0859-M</v>
          </cell>
          <cell r="B5432" t="str">
            <v>P859</v>
          </cell>
          <cell r="C5432" t="str">
            <v>ซาติน แขนยาวขายาว Forest Maya M</v>
          </cell>
        </row>
        <row r="5433">
          <cell r="A5433" t="str">
            <v>SP0859-XL</v>
          </cell>
          <cell r="B5433" t="str">
            <v>P859</v>
          </cell>
          <cell r="C5433" t="str">
            <v>ซาติน แขนยาวขายาว Forest Maya XL</v>
          </cell>
        </row>
        <row r="5434">
          <cell r="A5434" t="str">
            <v>SP0860-L</v>
          </cell>
          <cell r="B5434" t="str">
            <v>P860</v>
          </cell>
          <cell r="C5434" t="str">
            <v>ซิลค์แจ็คการ์ด แขนยาวขายาว Artist Classic L</v>
          </cell>
        </row>
        <row r="5435">
          <cell r="A5435" t="str">
            <v>SP0860-M</v>
          </cell>
          <cell r="B5435" t="str">
            <v>P860</v>
          </cell>
          <cell r="C5435" t="str">
            <v>ซิลค์แจ็คการ์ด แขนยาวขายาว Artist Classic M</v>
          </cell>
        </row>
        <row r="5436">
          <cell r="A5436" t="str">
            <v>SP0860-XL</v>
          </cell>
          <cell r="B5436" t="str">
            <v>P860</v>
          </cell>
          <cell r="C5436" t="str">
            <v>ซิลค์แจ็คการ์ด แขนยาวขายาว Artist Classic XL</v>
          </cell>
        </row>
        <row r="5437">
          <cell r="A5437" t="str">
            <v>SP0861-L</v>
          </cell>
          <cell r="B5437" t="str">
            <v>P861</v>
          </cell>
          <cell r="C5437" t="str">
            <v>ซาติน แขนยาวขายาว Circle white and brown L</v>
          </cell>
        </row>
        <row r="5438">
          <cell r="A5438" t="str">
            <v>SP0861-M</v>
          </cell>
          <cell r="B5438" t="str">
            <v>P861</v>
          </cell>
          <cell r="C5438" t="str">
            <v>ซาติน แขนยาวขายาว Circle white and brown M</v>
          </cell>
        </row>
        <row r="5439">
          <cell r="A5439" t="str">
            <v>SP0861-S</v>
          </cell>
          <cell r="B5439" t="str">
            <v>P861</v>
          </cell>
          <cell r="C5439" t="str">
            <v>ซาติน แขนยาวขายาว Circle white and brown S</v>
          </cell>
        </row>
        <row r="5440">
          <cell r="A5440" t="str">
            <v>SP0861-XL</v>
          </cell>
          <cell r="B5440" t="str">
            <v>P861</v>
          </cell>
          <cell r="C5440" t="str">
            <v>ซาติน แขนยาวขายาว Circle white and brown XL</v>
          </cell>
        </row>
        <row r="5441">
          <cell r="A5441" t="str">
            <v>SP0863-L</v>
          </cell>
          <cell r="B5441" t="str">
            <v>P863</v>
          </cell>
          <cell r="C5441" t="str">
            <v>ซาติน แขนยาวขายาว ดอกไม้เหมันต์ L</v>
          </cell>
        </row>
        <row r="5442">
          <cell r="A5442" t="str">
            <v>SP0863-M</v>
          </cell>
          <cell r="B5442" t="str">
            <v>P863</v>
          </cell>
          <cell r="C5442" t="str">
            <v>ซาติน แขนยาวขายาว ดอกไม้เหมันต์ M</v>
          </cell>
        </row>
        <row r="5443">
          <cell r="A5443" t="str">
            <v>SP0863-S</v>
          </cell>
          <cell r="B5443" t="str">
            <v>P863</v>
          </cell>
          <cell r="C5443" t="str">
            <v>ซาติน แขนยาวขายาว ดอกไม้เหมันต์ S</v>
          </cell>
        </row>
        <row r="5444">
          <cell r="A5444" t="str">
            <v>SP0863-XL</v>
          </cell>
          <cell r="B5444" t="str">
            <v>P863</v>
          </cell>
          <cell r="C5444" t="str">
            <v>ซาติน แขนยาวขายาว ดอกไม้เหมันต์ XL</v>
          </cell>
        </row>
        <row r="5445">
          <cell r="A5445" t="str">
            <v>SP0865-2XL</v>
          </cell>
          <cell r="B5445" t="str">
            <v>P865</v>
          </cell>
          <cell r="C5445" t="str">
            <v>ซาติน แขนยาวขายาว Green Garden and Blue flowers 2XL</v>
          </cell>
        </row>
        <row r="5446">
          <cell r="A5446" t="str">
            <v>SP0865-L</v>
          </cell>
          <cell r="B5446" t="str">
            <v>P865</v>
          </cell>
          <cell r="C5446" t="str">
            <v>ซาติน  แขนยาวขายาว Green Garden and Blue flowers L</v>
          </cell>
        </row>
        <row r="5447">
          <cell r="A5447" t="str">
            <v>SP0865-M</v>
          </cell>
          <cell r="B5447" t="str">
            <v>P865</v>
          </cell>
          <cell r="C5447" t="str">
            <v>ซาติน  แขนยาวขายาว Green Garden and Blue flowers M</v>
          </cell>
        </row>
        <row r="5448">
          <cell r="A5448" t="str">
            <v>SP0865-XL</v>
          </cell>
          <cell r="B5448" t="str">
            <v>P865</v>
          </cell>
          <cell r="C5448" t="str">
            <v>ซาติน แขนยาวขายาว Green Garden and Blue flowers XL</v>
          </cell>
        </row>
        <row r="5449">
          <cell r="A5449" t="str">
            <v>SP0870-L</v>
          </cell>
          <cell r="B5449" t="str">
            <v>P870</v>
          </cell>
          <cell r="C5449" t="str">
            <v>ซาติน แขนยาวขายาว Sky And Pink Rose L</v>
          </cell>
        </row>
        <row r="5450">
          <cell r="A5450" t="str">
            <v>SP0870-M</v>
          </cell>
          <cell r="B5450" t="str">
            <v>P870</v>
          </cell>
          <cell r="C5450" t="str">
            <v>ซาติน แขนยาวขายาว Sky And Pink Rose M</v>
          </cell>
        </row>
        <row r="5451">
          <cell r="A5451" t="str">
            <v>SP0870-XL</v>
          </cell>
          <cell r="B5451" t="str">
            <v>P870</v>
          </cell>
          <cell r="C5451" t="str">
            <v>ซาติน แขนยาวขายาว Sky And Pink Rose XL</v>
          </cell>
        </row>
        <row r="5452">
          <cell r="A5452" t="str">
            <v>SP0871-L</v>
          </cell>
          <cell r="B5452" t="str">
            <v>P871</v>
          </cell>
          <cell r="C5452" t="str">
            <v>ซาติน แขนยาวขายาว ฮัมมิ่งเบิร์ด พื้นเขียว L</v>
          </cell>
        </row>
        <row r="5453">
          <cell r="A5453" t="str">
            <v>SP0871-M</v>
          </cell>
          <cell r="B5453" t="str">
            <v>P871</v>
          </cell>
          <cell r="C5453" t="str">
            <v>ซาติน แขนยาวขายาว ฮัมมิ่งเบิร์ด พื้นเขียว M</v>
          </cell>
        </row>
        <row r="5454">
          <cell r="A5454" t="str">
            <v>SP0871-XL</v>
          </cell>
          <cell r="B5454" t="str">
            <v>P871</v>
          </cell>
          <cell r="C5454" t="str">
            <v>ซาติน แขนยาวขายาว ฮัมมิ่งเบิร์ด พื้นเขียว XL</v>
          </cell>
        </row>
        <row r="5455">
          <cell r="A5455" t="str">
            <v>SP0872-F</v>
          </cell>
          <cell r="B5455" t="str">
            <v>BP872</v>
          </cell>
          <cell r="C5455" t="str">
            <v>ซาติน แขนยาวขายาว ดอกกล้วยไม้ ขอบแดง F</v>
          </cell>
        </row>
        <row r="5456">
          <cell r="A5456" t="str">
            <v>SP0873-F</v>
          </cell>
          <cell r="B5456" t="str">
            <v>P873</v>
          </cell>
          <cell r="C5456" t="str">
            <v>ซิลค์แจ็คการ์ด แขนยาวขายาว Mini Pink Heart F</v>
          </cell>
        </row>
        <row r="5457">
          <cell r="A5457" t="str">
            <v>SP0874-F</v>
          </cell>
          <cell r="B5457" t="str">
            <v>JP874</v>
          </cell>
          <cell r="C5457" t="str">
            <v>ซิลค์แจ็คการ์ด แขนยาวขายาว พื้นขาว กระต่าย ปกฟ้า เหลือง F ตัวโชว์</v>
          </cell>
        </row>
        <row r="5458">
          <cell r="A5458" t="str">
            <v>SP0875-F</v>
          </cell>
          <cell r="B5458" t="str">
            <v>P875</v>
          </cell>
          <cell r="C5458" t="str">
            <v>ซิลค์แจ็คการ์ด แขนยาวขายาว เอลฟ์ปกเขียว F</v>
          </cell>
        </row>
        <row r="5459">
          <cell r="A5459" t="str">
            <v>SP0876-F</v>
          </cell>
          <cell r="B5459" t="str">
            <v>P876</v>
          </cell>
          <cell r="C5459" t="str">
            <v>ซิลค์แจ็คการ์ด แขนยาวขายาว ยีราฟ ข้าวหลามตัดฟ้า F</v>
          </cell>
        </row>
        <row r="5460">
          <cell r="A5460" t="str">
            <v>SP0877-F</v>
          </cell>
          <cell r="B5460" t="str">
            <v>P877</v>
          </cell>
          <cell r="C5460" t="str">
            <v>ซิลค์แจ็คการ์ด แขนยาวขายาว Window and Flowers F</v>
          </cell>
        </row>
        <row r="5461">
          <cell r="A5461" t="str">
            <v>SP0878-2XL</v>
          </cell>
          <cell r="B5461" t="str">
            <v>P878</v>
          </cell>
          <cell r="C5461" t="str">
            <v>ซาติน แขนยาวขายาว Romance Flowers 2XL</v>
          </cell>
        </row>
        <row r="5462">
          <cell r="A5462" t="str">
            <v>SP0878-L</v>
          </cell>
          <cell r="B5462" t="str">
            <v>P878</v>
          </cell>
          <cell r="C5462" t="str">
            <v>ซาติน แขนยาวขายาว Romance Flowers L</v>
          </cell>
        </row>
        <row r="5463">
          <cell r="A5463" t="str">
            <v>SP0878-M</v>
          </cell>
          <cell r="B5463" t="str">
            <v>P878</v>
          </cell>
          <cell r="C5463" t="str">
            <v>ซาติน แขนยาวขายาว Romance Flowers M</v>
          </cell>
        </row>
        <row r="5464">
          <cell r="A5464" t="str">
            <v>SP0878-XL</v>
          </cell>
          <cell r="B5464" t="str">
            <v>P878</v>
          </cell>
          <cell r="C5464" t="str">
            <v>ซาติน แขนยาวขายาว Romance Flowers XL</v>
          </cell>
        </row>
        <row r="5465">
          <cell r="A5465" t="str">
            <v>SP0879-L</v>
          </cell>
          <cell r="B5465" t="str">
            <v>P879</v>
          </cell>
          <cell r="C5465" t="str">
            <v>ซาติน แขนยาวขายาว ดอกกาสะลองคำ L</v>
          </cell>
        </row>
        <row r="5466">
          <cell r="A5466" t="str">
            <v>SP0879-M</v>
          </cell>
          <cell r="B5466" t="str">
            <v>P879</v>
          </cell>
          <cell r="C5466" t="str">
            <v>ซาติน แขนยาวขายาว ดอกกาสะลองคำ M</v>
          </cell>
        </row>
        <row r="5467">
          <cell r="A5467" t="str">
            <v>SP0879-XL</v>
          </cell>
          <cell r="B5467" t="str">
            <v>P879</v>
          </cell>
          <cell r="C5467" t="str">
            <v>ซาติน แขนยาวขายาว ดอกกาสะลองคำ XL</v>
          </cell>
        </row>
        <row r="5468">
          <cell r="A5468" t="str">
            <v>SP0885-2XL</v>
          </cell>
          <cell r="B5468" t="str">
            <v>P885</v>
          </cell>
          <cell r="C5468" t="str">
            <v>ซาติน แขนยาวขายาว สุนัขรวม พื้นชมพู 2XL</v>
          </cell>
        </row>
        <row r="5469">
          <cell r="A5469" t="str">
            <v>SP0885-3XL</v>
          </cell>
          <cell r="B5469" t="str">
            <v>P885</v>
          </cell>
          <cell r="C5469" t="str">
            <v>ซาติน แขนยาวขายาว สุนัขรวม พื้นชมพู 3XL</v>
          </cell>
        </row>
        <row r="5470">
          <cell r="A5470" t="str">
            <v>SP0885-L</v>
          </cell>
          <cell r="B5470" t="str">
            <v>P885</v>
          </cell>
          <cell r="C5470" t="str">
            <v>ซาติน แขนยาวขายาว สุนัขรวม พื้นชมพู L</v>
          </cell>
        </row>
        <row r="5471">
          <cell r="A5471" t="str">
            <v>SP0885-M</v>
          </cell>
          <cell r="B5471" t="str">
            <v>P885</v>
          </cell>
          <cell r="C5471" t="str">
            <v>ซาติน แขนยาวขายาว สุนัขรวม พื้นชมพู M</v>
          </cell>
        </row>
        <row r="5472">
          <cell r="A5472" t="str">
            <v>SP0885-XL</v>
          </cell>
          <cell r="B5472" t="str">
            <v>P885</v>
          </cell>
          <cell r="C5472" t="str">
            <v>ซาติน แขนยาวขายาว สุนัขรวม พื้นชมพู XL</v>
          </cell>
        </row>
        <row r="5473">
          <cell r="A5473" t="str">
            <v>SP0886-2XL</v>
          </cell>
          <cell r="B5473" t="str">
            <v>P886</v>
          </cell>
          <cell r="C5473" t="str">
            <v>ซาติน แขนยาวขายาว แพนกวินรวม พื้นเขียว 2XL</v>
          </cell>
        </row>
        <row r="5474">
          <cell r="A5474" t="str">
            <v>SP0886-L</v>
          </cell>
          <cell r="B5474" t="str">
            <v>P886</v>
          </cell>
          <cell r="C5474" t="str">
            <v>ซาติน แขนยาวขายาว แพนกวินรวม พื้นเขียว L</v>
          </cell>
        </row>
        <row r="5475">
          <cell r="A5475" t="str">
            <v>SP0886-M</v>
          </cell>
          <cell r="B5475" t="str">
            <v>P886</v>
          </cell>
          <cell r="C5475" t="str">
            <v>ซาติน แขนยาวขายาว แพนกวินรวม พื้นเขียว M</v>
          </cell>
        </row>
        <row r="5476">
          <cell r="A5476" t="str">
            <v>SP0886-XL</v>
          </cell>
          <cell r="B5476" t="str">
            <v>P886</v>
          </cell>
          <cell r="C5476" t="str">
            <v>ซาติน แขนยาวขายาว แพนกวินรวม พื้นเขียว XL</v>
          </cell>
        </row>
        <row r="5477">
          <cell r="A5477" t="str">
            <v>SP0887-2XL</v>
          </cell>
          <cell r="B5477" t="str">
            <v>P887</v>
          </cell>
          <cell r="C5477" t="str">
            <v>ซาติน แขนยาวขายาว แมวรวม พื้นเขียวขี้ม้า 2XL</v>
          </cell>
        </row>
        <row r="5478">
          <cell r="A5478" t="str">
            <v>SP0887-3XL</v>
          </cell>
          <cell r="B5478" t="str">
            <v>P887</v>
          </cell>
          <cell r="C5478" t="str">
            <v>ซาติน แขนยาวขายาว แมวรวม พื้นเขียวขี้ม้า 3XL</v>
          </cell>
        </row>
        <row r="5479">
          <cell r="A5479" t="str">
            <v>SP0887-L</v>
          </cell>
          <cell r="B5479" t="str">
            <v>P887</v>
          </cell>
          <cell r="C5479" t="str">
            <v>ซาติน แขนยาวขายาว แมวรวม พื้นเขียวขี้ม้า L</v>
          </cell>
        </row>
        <row r="5480">
          <cell r="A5480" t="str">
            <v>SP0887-M</v>
          </cell>
          <cell r="B5480" t="str">
            <v>P887</v>
          </cell>
          <cell r="C5480" t="str">
            <v>ซาติน แขนยาวขายาว แมวรวม พื้นเขียวขี้ม้า M</v>
          </cell>
        </row>
        <row r="5481">
          <cell r="A5481" t="str">
            <v>SP0887-XL</v>
          </cell>
          <cell r="B5481" t="str">
            <v>P887</v>
          </cell>
          <cell r="C5481" t="str">
            <v>ซาติน แขนยาวขายาว แมวรวม พื้นเขียวขี้ม้า XL</v>
          </cell>
        </row>
        <row r="5482">
          <cell r="A5482" t="str">
            <v>SP0888-2XL</v>
          </cell>
          <cell r="B5482" t="str">
            <v>P888</v>
          </cell>
          <cell r="C5482" t="str">
            <v>ซาติน แขนยาวขายาว ผักรวม พื้นชมพู 2XL</v>
          </cell>
        </row>
        <row r="5483">
          <cell r="A5483" t="str">
            <v>SP0888-L</v>
          </cell>
          <cell r="B5483" t="str">
            <v>P888</v>
          </cell>
          <cell r="C5483" t="str">
            <v>ซาติน แขนยาวขายาว ผักรวม พื้นชมพู L</v>
          </cell>
        </row>
        <row r="5484">
          <cell r="A5484" t="str">
            <v>SP0888-M</v>
          </cell>
          <cell r="B5484" t="str">
            <v>P888</v>
          </cell>
          <cell r="C5484" t="str">
            <v>ซาติน แขนยาวขายาว ผักรวม พื้นชมพู M</v>
          </cell>
        </row>
        <row r="5485">
          <cell r="A5485" t="str">
            <v>SP0888-XL</v>
          </cell>
          <cell r="B5485" t="str">
            <v>P888</v>
          </cell>
          <cell r="C5485" t="str">
            <v>ซาติน แขนยาวขายาว ผักรวม พื้นชมพู XL</v>
          </cell>
        </row>
        <row r="5486">
          <cell r="A5486" t="str">
            <v>SP0889-2XL</v>
          </cell>
          <cell r="B5486" t="str">
            <v>P889</v>
          </cell>
          <cell r="C5486" t="str">
            <v>ซาติน แขนยาวขายาว แมวรวม พื้นฟ้า 2XL</v>
          </cell>
        </row>
        <row r="5487">
          <cell r="A5487" t="str">
            <v>SP0889-L</v>
          </cell>
          <cell r="B5487" t="str">
            <v>P889</v>
          </cell>
          <cell r="C5487" t="str">
            <v>ซาติน แขนยาวขายาว แมวรวม พื้นฟ้า L</v>
          </cell>
        </row>
        <row r="5488">
          <cell r="A5488" t="str">
            <v>SP0889-M</v>
          </cell>
          <cell r="B5488" t="str">
            <v>P889</v>
          </cell>
          <cell r="C5488" t="str">
            <v>ซาติน แขนยาวขายาว แมวรวม พื้นฟ้า M</v>
          </cell>
        </row>
        <row r="5489">
          <cell r="A5489" t="str">
            <v>SP0889-XL</v>
          </cell>
          <cell r="B5489" t="str">
            <v>P889</v>
          </cell>
          <cell r="C5489" t="str">
            <v>ซาติน แขนยาวขายาว แมวรวม พื้นฟ้า XL</v>
          </cell>
        </row>
        <row r="5490">
          <cell r="A5490" t="str">
            <v>SP0893-F</v>
          </cell>
          <cell r="B5490" t="str">
            <v>P893</v>
          </cell>
          <cell r="C5490" t="str">
            <v>ซิลค์แจ็คการ์ด แขนยาวขายาว น้องหมึก ขอบชมพู F</v>
          </cell>
        </row>
        <row r="5491">
          <cell r="A5491" t="str">
            <v>SP0894-F</v>
          </cell>
          <cell r="B5491" t="str">
            <v>P894</v>
          </cell>
          <cell r="C5491" t="str">
            <v>ซิลค์แจ็คการ์ด แขนยาวขายาว เรนเดียร์ พื้นแดง F</v>
          </cell>
        </row>
        <row r="5492">
          <cell r="A5492" t="str">
            <v>SP0895-F</v>
          </cell>
          <cell r="B5492" t="str">
            <v>P895</v>
          </cell>
          <cell r="C5492" t="str">
            <v>ซิลค์แจ็คการ์ด แขนยาวขายาว Pinky Rose F</v>
          </cell>
        </row>
        <row r="5493">
          <cell r="A5493" t="str">
            <v>SP0896-F</v>
          </cell>
          <cell r="B5493" t="str">
            <v>P896</v>
          </cell>
          <cell r="C5493" t="str">
            <v>ซิลค์แจ็คการ์ด แขนยาวขายาว Star พื้นชมพู ขอบขาว F</v>
          </cell>
        </row>
        <row r="5494">
          <cell r="A5494" t="str">
            <v>SP0897-F</v>
          </cell>
          <cell r="B5494" t="str">
            <v>P897</v>
          </cell>
          <cell r="C5494" t="str">
            <v>ซิลค์แจ็คการ์ด แขนยาวขายาว น้องกระต่าย พื้นชมพู F</v>
          </cell>
        </row>
        <row r="5495">
          <cell r="A5495" t="str">
            <v>SP0898-F</v>
          </cell>
          <cell r="B5495" t="str">
            <v>P898</v>
          </cell>
          <cell r="C5495" t="str">
            <v>ซิลค์แจ็คการ์ด แขนยาวขายาว น้องกระต่ายและสตรอเบอร์รี่ พื้นเขียว F</v>
          </cell>
        </row>
        <row r="5496">
          <cell r="A5496" t="str">
            <v>SP0899-L</v>
          </cell>
          <cell r="B5496" t="str">
            <v>P899</v>
          </cell>
          <cell r="C5496" t="str">
            <v>ซาติน แขนยาวขายาว หัวใจม่วงขาว (กปก) L</v>
          </cell>
        </row>
        <row r="5497">
          <cell r="A5497" t="str">
            <v>SP0899-M</v>
          </cell>
          <cell r="B5497" t="str">
            <v>P899</v>
          </cell>
          <cell r="C5497" t="str">
            <v>ซาติน แขนยาวขายาว หัวใจม่วงขาว (กปก) M</v>
          </cell>
        </row>
        <row r="5498">
          <cell r="A5498" t="str">
            <v>SP0900-L</v>
          </cell>
          <cell r="B5498" t="str">
            <v>P900</v>
          </cell>
          <cell r="C5498" t="str">
            <v>ซาติน แขนยาวขายาว ลายทาง ขาว ดำ (กปก) L</v>
          </cell>
        </row>
        <row r="5499">
          <cell r="A5499" t="str">
            <v>SP0900-M</v>
          </cell>
          <cell r="B5499" t="str">
            <v>P900</v>
          </cell>
          <cell r="C5499" t="str">
            <v>ซาติน แขนยาวขายาว ลายทาง ขาว ดำ (กปก) M</v>
          </cell>
        </row>
        <row r="5500">
          <cell r="A5500" t="str">
            <v>SP0901-L</v>
          </cell>
          <cell r="B5500" t="str">
            <v>P901</v>
          </cell>
          <cell r="C5500" t="str">
            <v>ซาติน แขนยาวขายาว กระต่าย พื้นชมพู (กปก) L</v>
          </cell>
        </row>
        <row r="5501">
          <cell r="A5501" t="str">
            <v>SP0901-M</v>
          </cell>
          <cell r="B5501" t="str">
            <v>P901</v>
          </cell>
          <cell r="C5501" t="str">
            <v>ซาติน แขนยาวขายาว กระต่าย พื้นชมพู (กปก) M</v>
          </cell>
        </row>
        <row r="5502">
          <cell r="A5502" t="str">
            <v>SP0902-L</v>
          </cell>
          <cell r="B5502" t="str">
            <v>P902</v>
          </cell>
          <cell r="C5502" t="str">
            <v>ซาติน แขนยาวขายาว กระต่าย พื้นขาว (กปก) L</v>
          </cell>
        </row>
        <row r="5503">
          <cell r="A5503" t="str">
            <v>SP0902-M</v>
          </cell>
          <cell r="B5503" t="str">
            <v>P902</v>
          </cell>
          <cell r="C5503" t="str">
            <v>ซาติน แขนยาวขายาว กระต่าย พื้นขาว (กปก) M</v>
          </cell>
        </row>
        <row r="5504">
          <cell r="A5504" t="str">
            <v>SP0903-L</v>
          </cell>
          <cell r="B5504" t="str">
            <v>P903</v>
          </cell>
          <cell r="C5504" t="str">
            <v>ซาติน แขนยาวขายาว น้องหมี พื้นชมพู L</v>
          </cell>
        </row>
        <row r="5505">
          <cell r="A5505" t="str">
            <v>SP0903-M</v>
          </cell>
          <cell r="B5505" t="str">
            <v>P903</v>
          </cell>
          <cell r="C5505" t="str">
            <v>ซาติน แขนยาวขายาว น้องหมี พื้นชมพู M</v>
          </cell>
        </row>
        <row r="5506">
          <cell r="A5506" t="str">
            <v>SP0907-L</v>
          </cell>
          <cell r="B5506" t="str">
            <v>P907</v>
          </cell>
          <cell r="C5506" t="str">
            <v>ซาติน แขนยาวขายาว หุบเขา ปกน้ำตาล ขอบดำ L</v>
          </cell>
        </row>
        <row r="5507">
          <cell r="A5507" t="str">
            <v>SP0907-M</v>
          </cell>
          <cell r="B5507" t="str">
            <v>P907</v>
          </cell>
          <cell r="C5507" t="str">
            <v>ซาติน แขนยาวขายาว หุบเขา ปกน้ำตาล ขอบดำ M</v>
          </cell>
        </row>
        <row r="5508">
          <cell r="A5508" t="str">
            <v>SP0907-S</v>
          </cell>
          <cell r="B5508" t="str">
            <v>P907</v>
          </cell>
          <cell r="C5508" t="str">
            <v>ซาติน แขนยาวขายาว หุบเขา ปกน้ำตาล ขอบดำ S</v>
          </cell>
        </row>
        <row r="5509">
          <cell r="A5509" t="str">
            <v>SP0907-XL</v>
          </cell>
          <cell r="B5509" t="str">
            <v>P907</v>
          </cell>
          <cell r="C5509" t="str">
            <v>ซาติน แขนยาวขายาว หุบเขา ปกน้ำตาล ขอบดำ XL</v>
          </cell>
        </row>
        <row r="5510">
          <cell r="A5510" t="str">
            <v>SP0909-L</v>
          </cell>
          <cell r="B5510" t="str">
            <v>P909</v>
          </cell>
          <cell r="C5510" t="str">
            <v>ซาติน แขนยาวขายาว ลูกกวาด พื้นม่วง คอระบาย L</v>
          </cell>
        </row>
        <row r="5511">
          <cell r="A5511" t="str">
            <v>SP0909-M</v>
          </cell>
          <cell r="B5511" t="str">
            <v>P909</v>
          </cell>
          <cell r="C5511" t="str">
            <v>ซาติน แขนยาวขายาว ลูกกวาด พื้นม่วง คอระบาย M</v>
          </cell>
        </row>
        <row r="5512">
          <cell r="A5512" t="str">
            <v>SP0910-L</v>
          </cell>
          <cell r="B5512" t="str">
            <v>P910</v>
          </cell>
          <cell r="C5512" t="str">
            <v>ซาติน แขนยาวขายาว ลูกโป่ง พื้นชมพู คอระบาย L</v>
          </cell>
        </row>
        <row r="5513">
          <cell r="A5513" t="str">
            <v>SP0910-M</v>
          </cell>
          <cell r="B5513" t="str">
            <v>P910</v>
          </cell>
          <cell r="C5513" t="str">
            <v>ซาติน แขนยาวขายาว ลูกโป่ง พื้นชมพู คอระบาย M</v>
          </cell>
        </row>
        <row r="5514">
          <cell r="A5514" t="str">
            <v>SP0913-L</v>
          </cell>
          <cell r="B5514" t="str">
            <v>P913</v>
          </cell>
          <cell r="C5514" t="str">
            <v>ซาติน แขนยาวขายาว ตาราง หัวใจ เขียวขาว L (กปก)</v>
          </cell>
        </row>
        <row r="5515">
          <cell r="A5515" t="str">
            <v>SP0913-M</v>
          </cell>
          <cell r="B5515" t="str">
            <v>P913</v>
          </cell>
          <cell r="C5515" t="str">
            <v>ซาติน แขนยาวขายาว ตาราง หัวใจ เขียวขาว M (กปก)</v>
          </cell>
        </row>
        <row r="5516">
          <cell r="A5516" t="str">
            <v>SP0914-F</v>
          </cell>
          <cell r="B5516" t="str">
            <v>P914</v>
          </cell>
          <cell r="C5516" t="str">
            <v>ซิลค์แจ็คการ์ด แขนยาวขายาว Snow พื้นแดง ขอบขาว F</v>
          </cell>
        </row>
        <row r="5517">
          <cell r="A5517" t="str">
            <v>SP0915-F</v>
          </cell>
          <cell r="B5517" t="str">
            <v>P915</v>
          </cell>
          <cell r="C5517" t="str">
            <v>ซิลค์แจ็คการ์ด แขนยาวขายาว Christmas ขอบขาว F</v>
          </cell>
        </row>
        <row r="5518">
          <cell r="A5518" t="str">
            <v>SP0916-F</v>
          </cell>
          <cell r="B5518" t="str">
            <v>P916</v>
          </cell>
          <cell r="C5518" t="str">
            <v>ซิลค์แจ็คการ์ด แขนยาวขายาว ถุงมือ พื้นขาว ขอบเขียว F</v>
          </cell>
        </row>
        <row r="5519">
          <cell r="A5519" t="str">
            <v>SP0917-L</v>
          </cell>
          <cell r="B5519" t="str">
            <v>P917</v>
          </cell>
          <cell r="C5519" t="str">
            <v>ซาติน แขนยาวขายาว ทูโทนฟ้าชมพู L (กปก)</v>
          </cell>
        </row>
        <row r="5520">
          <cell r="A5520" t="str">
            <v>SP0917-M</v>
          </cell>
          <cell r="B5520" t="str">
            <v>P917</v>
          </cell>
          <cell r="C5520" t="str">
            <v>ซาติน แขนยาวขายาว ทูโทนฟ้าชมพู M (กปก)</v>
          </cell>
        </row>
        <row r="5521">
          <cell r="A5521" t="str">
            <v>SP0923-2XL</v>
          </cell>
          <cell r="B5521" t="str">
            <v>P923</v>
          </cell>
          <cell r="C5521" t="str">
            <v>ซาติน แขนยาวขายาว Jungle Cruise ดำ 2XL  (กปก)</v>
          </cell>
        </row>
        <row r="5522">
          <cell r="A5522" t="str">
            <v>SP0923-3XL</v>
          </cell>
          <cell r="B5522" t="str">
            <v>P923</v>
          </cell>
          <cell r="C5522" t="str">
            <v>ซาติน แขนยาวขายาว Jungle Cruise ดำ 3XL  (กปก)</v>
          </cell>
        </row>
        <row r="5523">
          <cell r="A5523" t="str">
            <v>SP0923-L</v>
          </cell>
          <cell r="B5523" t="str">
            <v>P923</v>
          </cell>
          <cell r="C5523" t="str">
            <v>ซาติน แขนยาวขายาว Jungle Cruise ดำ L (กปก)</v>
          </cell>
        </row>
        <row r="5524">
          <cell r="A5524" t="str">
            <v>SP0923-M</v>
          </cell>
          <cell r="B5524" t="str">
            <v>P923</v>
          </cell>
          <cell r="C5524" t="str">
            <v>ซาติน แขนยาวขายาว Jungle Cruise ดำ M (กปก)</v>
          </cell>
        </row>
        <row r="5525">
          <cell r="A5525" t="str">
            <v>SP0923-XL</v>
          </cell>
          <cell r="B5525" t="str">
            <v>P923</v>
          </cell>
          <cell r="C5525" t="str">
            <v>ซาติน แขนยาวขายาว Jungle Cruise ดำ XL (กปก)</v>
          </cell>
        </row>
        <row r="5526">
          <cell r="A5526" t="str">
            <v>SP0924-2XL</v>
          </cell>
          <cell r="B5526" t="str">
            <v>P924</v>
          </cell>
          <cell r="C5526" t="str">
            <v>ซาติน แขนยาวขายาว Jungle Cruise ครีม 2XL  (กปก)</v>
          </cell>
        </row>
        <row r="5527">
          <cell r="A5527" t="str">
            <v>SP0924-3XL</v>
          </cell>
          <cell r="B5527" t="str">
            <v>P924</v>
          </cell>
          <cell r="C5527" t="str">
            <v>ซาติน แขนยาวขายาว Jungle Cruise ครีม 3XL  (กปก)</v>
          </cell>
        </row>
        <row r="5528">
          <cell r="A5528" t="str">
            <v>SP0924-L</v>
          </cell>
          <cell r="B5528" t="str">
            <v>P924</v>
          </cell>
          <cell r="C5528" t="str">
            <v>ซาติน แขนยาวขายาว Jungle Cruise ครีม L (กปก)</v>
          </cell>
        </row>
        <row r="5529">
          <cell r="A5529" t="str">
            <v>SP0924-M</v>
          </cell>
          <cell r="B5529" t="str">
            <v>P924</v>
          </cell>
          <cell r="C5529" t="str">
            <v>ซาติน แขนยาวขายาว Jungle Cruise ครีม M (กปก)</v>
          </cell>
        </row>
        <row r="5530">
          <cell r="A5530" t="str">
            <v>SP0924-XL</v>
          </cell>
          <cell r="B5530" t="str">
            <v>P924</v>
          </cell>
          <cell r="C5530" t="str">
            <v>ซาติน แขนยาวขายาว Jungle Cruise ครีม XL (กปก)</v>
          </cell>
        </row>
        <row r="5531">
          <cell r="A5531" t="str">
            <v>SP0930-2XL</v>
          </cell>
          <cell r="B5531" t="str">
            <v>P930</v>
          </cell>
          <cell r="C5531" t="str">
            <v>ซาติน แขนยาวขายาว pinky 2XL (กปก)</v>
          </cell>
        </row>
        <row r="5532">
          <cell r="A5532" t="str">
            <v>SP0930-L</v>
          </cell>
          <cell r="B5532" t="str">
            <v>P930</v>
          </cell>
          <cell r="C5532" t="str">
            <v>ซาติน แขนยาวขายาว pinky L (กปก)</v>
          </cell>
        </row>
        <row r="5533">
          <cell r="A5533" t="str">
            <v>SP0930-M</v>
          </cell>
          <cell r="B5533" t="str">
            <v>P930</v>
          </cell>
          <cell r="C5533" t="str">
            <v>ซาติน แขนยาวขายาว pinky M (กปก)</v>
          </cell>
        </row>
        <row r="5534">
          <cell r="A5534" t="str">
            <v>SP0930-XL</v>
          </cell>
          <cell r="B5534" t="str">
            <v>P930</v>
          </cell>
          <cell r="C5534" t="str">
            <v>ซาติน แขนยาวขายาว pinky XL (กปก)</v>
          </cell>
        </row>
        <row r="5535">
          <cell r="A5535" t="str">
            <v>SP0931-2XL</v>
          </cell>
          <cell r="B5535" t="str">
            <v>P931</v>
          </cell>
          <cell r="C5535" t="str">
            <v>ซาติน แขนยาวขายาว olivia 2XL (กปก)</v>
          </cell>
        </row>
        <row r="5536">
          <cell r="A5536" t="str">
            <v>SP0931-L</v>
          </cell>
          <cell r="B5536" t="str">
            <v>P931</v>
          </cell>
          <cell r="C5536" t="str">
            <v>ซาติน แขนยาวขายาว olivia L (กปก)</v>
          </cell>
        </row>
        <row r="5537">
          <cell r="A5537" t="str">
            <v>SP0931-M</v>
          </cell>
          <cell r="B5537" t="str">
            <v>P931</v>
          </cell>
          <cell r="C5537" t="str">
            <v>ซาติน แขนยาวขายาว olivia M (กปก)</v>
          </cell>
        </row>
        <row r="5538">
          <cell r="A5538" t="str">
            <v>SP0931-XL</v>
          </cell>
          <cell r="B5538" t="str">
            <v>P931</v>
          </cell>
          <cell r="C5538" t="str">
            <v>ซาติน แขนยาวขายาว olivia XL (กปก)</v>
          </cell>
        </row>
        <row r="5539">
          <cell r="A5539" t="str">
            <v>SP0932-2XL</v>
          </cell>
          <cell r="B5539" t="str">
            <v>P932</v>
          </cell>
          <cell r="C5539" t="str">
            <v>ซาติน แขนยาวขายาว violet 2XL (กปก)</v>
          </cell>
        </row>
        <row r="5540">
          <cell r="A5540" t="str">
            <v>SP0932-L</v>
          </cell>
          <cell r="B5540" t="str">
            <v>P932</v>
          </cell>
          <cell r="C5540" t="str">
            <v>ซาติน แขนยาวขายาว violet L (กปก)</v>
          </cell>
        </row>
        <row r="5541">
          <cell r="A5541" t="str">
            <v>SP0932-M</v>
          </cell>
          <cell r="B5541" t="str">
            <v>P932</v>
          </cell>
          <cell r="C5541" t="str">
            <v>ซาติน แขนยาวขายาว violet M (กปก)</v>
          </cell>
        </row>
        <row r="5542">
          <cell r="A5542" t="str">
            <v>SP0932-XL</v>
          </cell>
          <cell r="B5542" t="str">
            <v>P932</v>
          </cell>
          <cell r="C5542" t="str">
            <v>ซาติน แขนยาวขายาว violet XL (กปก)</v>
          </cell>
        </row>
        <row r="5543">
          <cell r="A5543" t="str">
            <v>SP0934-2XL</v>
          </cell>
          <cell r="B5543" t="str">
            <v>P934</v>
          </cell>
          <cell r="C5543" t="str">
            <v>ซาติน แขนยาวขายาว navy 2XL (กปก)</v>
          </cell>
        </row>
        <row r="5544">
          <cell r="A5544" t="str">
            <v>SP0934-L</v>
          </cell>
          <cell r="B5544" t="str">
            <v>P934</v>
          </cell>
          <cell r="C5544" t="str">
            <v>ซาติน แขนยาวขายาว navy L (กปก)</v>
          </cell>
        </row>
        <row r="5545">
          <cell r="A5545" t="str">
            <v>SP0934-M</v>
          </cell>
          <cell r="B5545" t="str">
            <v>P934</v>
          </cell>
          <cell r="C5545" t="str">
            <v>ซาติน แขนยาวขายาว navy M (กปก)</v>
          </cell>
        </row>
        <row r="5546">
          <cell r="A5546" t="str">
            <v>SP0934-XL</v>
          </cell>
          <cell r="B5546" t="str">
            <v>P934</v>
          </cell>
          <cell r="C5546" t="str">
            <v>ซาติน แขนยาวขายาว navy XL (กปก)</v>
          </cell>
        </row>
        <row r="5547">
          <cell r="A5547" t="str">
            <v>SP0935-2XL</v>
          </cell>
          <cell r="B5547" t="str">
            <v>P935</v>
          </cell>
          <cell r="C5547" t="str">
            <v>ซาติน แขนยาวขายาว Cute old totoro คอวี 2XL</v>
          </cell>
        </row>
        <row r="5548">
          <cell r="A5548" t="str">
            <v>SP0935-3XL</v>
          </cell>
          <cell r="B5548" t="str">
            <v>P935</v>
          </cell>
          <cell r="C5548" t="str">
            <v>ซาติน แขนยาวขายาว Cute old totoro คอวี 3XL</v>
          </cell>
        </row>
        <row r="5549">
          <cell r="A5549" t="str">
            <v>SP0935-L</v>
          </cell>
          <cell r="B5549" t="str">
            <v>P935</v>
          </cell>
          <cell r="C5549" t="str">
            <v>ซาติน แขนยาวขายาว Cute old totoro คอวี L</v>
          </cell>
        </row>
        <row r="5550">
          <cell r="A5550" t="str">
            <v>SP0935-M</v>
          </cell>
          <cell r="B5550" t="str">
            <v>P935</v>
          </cell>
          <cell r="C5550" t="str">
            <v>ซาติน แขนยาวขายาว Cute old totoro คอวี M</v>
          </cell>
        </row>
        <row r="5551">
          <cell r="A5551" t="str">
            <v>SP0935-XL</v>
          </cell>
          <cell r="B5551" t="str">
            <v>P935</v>
          </cell>
          <cell r="C5551" t="str">
            <v>ซาติน แขนยาวขายาว Cute old totoro คอวี XL</v>
          </cell>
        </row>
        <row r="5552">
          <cell r="A5552" t="str">
            <v>SP0937-2XL</v>
          </cell>
          <cell r="B5552" t="str">
            <v>P937</v>
          </cell>
          <cell r="C5552" t="str">
            <v>ซาติน แขนยาวขายาว Little pink tiger 2XL</v>
          </cell>
        </row>
        <row r="5553">
          <cell r="A5553" t="str">
            <v>SP0937-3XL</v>
          </cell>
          <cell r="B5553" t="str">
            <v>P937</v>
          </cell>
          <cell r="C5553" t="str">
            <v>ซาติน แขนยาวขายาว Little pink tiger 3XL</v>
          </cell>
        </row>
        <row r="5554">
          <cell r="A5554" t="str">
            <v>SP0937-L</v>
          </cell>
          <cell r="B5554" t="str">
            <v>P937</v>
          </cell>
          <cell r="C5554" t="str">
            <v>ซาติน แขนยาวขายาว Little pink tiger L</v>
          </cell>
        </row>
        <row r="5555">
          <cell r="A5555" t="str">
            <v>SP0937-M</v>
          </cell>
          <cell r="B5555" t="str">
            <v>P937</v>
          </cell>
          <cell r="C5555" t="str">
            <v>ซาติน แขนยาวขายาว Little pink tiger M</v>
          </cell>
        </row>
        <row r="5556">
          <cell r="A5556" t="str">
            <v>SP0937-XL</v>
          </cell>
          <cell r="B5556" t="str">
            <v>P937</v>
          </cell>
          <cell r="C5556" t="str">
            <v>ซาติน แขนยาวขายาว Little pink tiger XL</v>
          </cell>
        </row>
        <row r="5557">
          <cell r="A5557" t="str">
            <v>SP0939-L</v>
          </cell>
          <cell r="B5557" t="str">
            <v>P939</v>
          </cell>
          <cell r="C5557" t="str">
            <v>ซาติน แขนยาวขายาว สวนดอกไม้ พื้นครีม ขอบเขียว L</v>
          </cell>
        </row>
        <row r="5558">
          <cell r="A5558" t="str">
            <v>SP0939-M</v>
          </cell>
          <cell r="B5558" t="str">
            <v>P939</v>
          </cell>
          <cell r="C5558" t="str">
            <v>ซาติน แขนยาวขายาว สวนดอกไม้ พื้นครีม ขอบเขียว M</v>
          </cell>
        </row>
        <row r="5559">
          <cell r="A5559" t="str">
            <v>SP0939-S</v>
          </cell>
          <cell r="B5559" t="str">
            <v>P939</v>
          </cell>
          <cell r="C5559" t="str">
            <v>ซาติน แขนยาวขายาว สวนดอกไม้ พื้นครีม ขอบเขียว S</v>
          </cell>
        </row>
        <row r="5560">
          <cell r="A5560" t="str">
            <v>SP0939-XL</v>
          </cell>
          <cell r="B5560" t="str">
            <v>P939</v>
          </cell>
          <cell r="C5560" t="str">
            <v>ซาติน แขนยาวขายาว สวนดอกไม้ พื้นครีม ขอบเขียว XL</v>
          </cell>
        </row>
        <row r="5561">
          <cell r="A5561" t="str">
            <v>SP0940-L</v>
          </cell>
          <cell r="B5561" t="str">
            <v>P940</v>
          </cell>
          <cell r="C5561" t="str">
            <v>ซาติน แขนยาวขายาว Zebra ดำ (กปก) L</v>
          </cell>
        </row>
        <row r="5562">
          <cell r="A5562" t="str">
            <v>SP0940-M</v>
          </cell>
          <cell r="B5562" t="str">
            <v>P940</v>
          </cell>
          <cell r="C5562" t="str">
            <v>ซาติน แขนยาวขายาว Zebra ดำ (กปก) M</v>
          </cell>
        </row>
        <row r="5563">
          <cell r="A5563" t="str">
            <v>SP0940-XL</v>
          </cell>
          <cell r="B5563" t="str">
            <v>P940</v>
          </cell>
          <cell r="C5563" t="str">
            <v>ซาติน แขนยาวขายาว Zebra ดำ (กปก) XL</v>
          </cell>
        </row>
        <row r="5564">
          <cell r="A5564" t="str">
            <v>SP0941-L</v>
          </cell>
          <cell r="B5564" t="str">
            <v>P941</v>
          </cell>
          <cell r="C5564" t="str">
            <v>ซาติน แขนยาวขายาว เกสรดอกไม้ ไฟ พื้นกรม L</v>
          </cell>
        </row>
        <row r="5565">
          <cell r="A5565" t="str">
            <v>SP0941-M</v>
          </cell>
          <cell r="B5565" t="str">
            <v>P941</v>
          </cell>
          <cell r="C5565" t="str">
            <v>ซาติน แขนยาวขายาว เกสรดอกไม้ ไฟ พื้นกรม M</v>
          </cell>
        </row>
        <row r="5566">
          <cell r="A5566" t="str">
            <v>SP0941-S</v>
          </cell>
          <cell r="B5566" t="str">
            <v>P941</v>
          </cell>
          <cell r="C5566" t="str">
            <v>ซาติน แขนยาวขายาว เกสรดอกไม้ ไฟ พื้นกรม S</v>
          </cell>
        </row>
        <row r="5567">
          <cell r="A5567" t="str">
            <v>SP0941-XL</v>
          </cell>
          <cell r="B5567" t="str">
            <v>P941</v>
          </cell>
          <cell r="C5567" t="str">
            <v>ซาติน แขนยาวขายาว เกสรดอกไม้ ไฟ พื้นกรม XL</v>
          </cell>
        </row>
        <row r="5568">
          <cell r="A5568" t="str">
            <v>SP0942-L</v>
          </cell>
          <cell r="B5568" t="str">
            <v>P942</v>
          </cell>
          <cell r="C5568" t="str">
            <v>ซาติน แขนยาวขายาว ทุ่งลาเวนเดอร์ พื้นม่วง L</v>
          </cell>
        </row>
        <row r="5569">
          <cell r="A5569" t="str">
            <v>SP0942-M</v>
          </cell>
          <cell r="B5569" t="str">
            <v>P942</v>
          </cell>
          <cell r="C5569" t="str">
            <v>ซาติน แขนยาวขายาว ทุ่งลาเวนเดอร์ พื้นม่วง M</v>
          </cell>
        </row>
        <row r="5570">
          <cell r="A5570" t="str">
            <v>SP0942-XL</v>
          </cell>
          <cell r="B5570" t="str">
            <v>P942</v>
          </cell>
          <cell r="C5570" t="str">
            <v>ซาติน แขนยาวขายาว ทุ่งลาเวนเดอร์ พื้นม่วง XL</v>
          </cell>
        </row>
        <row r="5571">
          <cell r="A5571" t="str">
            <v>SP0943-L</v>
          </cell>
          <cell r="B5571" t="str">
            <v>P943</v>
          </cell>
          <cell r="C5571" t="str">
            <v>ซาติน แขนยาวขายาว ดอกกาสะลอง ระบายม่วง L</v>
          </cell>
        </row>
        <row r="5572">
          <cell r="A5572" t="str">
            <v>SP0943-M</v>
          </cell>
          <cell r="B5572" t="str">
            <v>P943</v>
          </cell>
          <cell r="C5572" t="str">
            <v>ซาติน แขนยาวขายาว ดอกกาสะลอง ระบายม่วง M</v>
          </cell>
        </row>
        <row r="5573">
          <cell r="A5573" t="str">
            <v>SP0943-S</v>
          </cell>
          <cell r="B5573" t="str">
            <v>P943</v>
          </cell>
          <cell r="C5573" t="str">
            <v>ซาติน แขนยาวขายาว ดอกกาสะลอง ระบายม่วง S</v>
          </cell>
        </row>
        <row r="5574">
          <cell r="A5574" t="str">
            <v>SP0943-XL</v>
          </cell>
          <cell r="B5574" t="str">
            <v>P943</v>
          </cell>
          <cell r="C5574" t="str">
            <v>ซาติน แขนยาวขายาว ดอกกาสะลอง ระบายม่วง XL</v>
          </cell>
        </row>
        <row r="5575">
          <cell r="A5575" t="str">
            <v>SP0949-L</v>
          </cell>
          <cell r="B5575" t="str">
            <v>P949</v>
          </cell>
          <cell r="C5575" t="str">
            <v>ซาติน แขนยาวขายาว ดอกไม้ พื้นขาว ขอบน้ำตาล L (กปก)</v>
          </cell>
        </row>
        <row r="5576">
          <cell r="A5576" t="str">
            <v>SP0949-M</v>
          </cell>
          <cell r="B5576" t="str">
            <v>P949</v>
          </cell>
          <cell r="C5576" t="str">
            <v>ซาติน แขนยาวขายาว ดอกไม้ พื้นขาว ขอบน้ำตาล M (กปก)</v>
          </cell>
        </row>
        <row r="5577">
          <cell r="A5577" t="str">
            <v>SP0950-L</v>
          </cell>
          <cell r="B5577" t="str">
            <v>P950</v>
          </cell>
          <cell r="C5577" t="str">
            <v>ซาติน แขนยาวขายาว กระรอกระบำ พื้นดำ L (กปก)</v>
          </cell>
        </row>
        <row r="5578">
          <cell r="A5578" t="str">
            <v>SP0950-M</v>
          </cell>
          <cell r="B5578" t="str">
            <v>P950</v>
          </cell>
          <cell r="C5578" t="str">
            <v>ซาติน แขนยาวขายาว กระรอกระบำ พื้นดำ M (กปก)</v>
          </cell>
        </row>
        <row r="5579">
          <cell r="A5579" t="str">
            <v>SP0951-L</v>
          </cell>
          <cell r="B5579" t="str">
            <v>P951</v>
          </cell>
          <cell r="C5579" t="str">
            <v>ซาติน แขนยาวขายาว พื้นฟ้า ใบเมเปิ้ล L (กปก)</v>
          </cell>
        </row>
        <row r="5580">
          <cell r="A5580" t="str">
            <v>SP0951-M</v>
          </cell>
          <cell r="B5580" t="str">
            <v>P951</v>
          </cell>
          <cell r="C5580" t="str">
            <v>ซาติน แขนยาวขายาว พื้นฟ้า ใบเมเปิ้ล M (กปก)</v>
          </cell>
        </row>
        <row r="5581">
          <cell r="A5581" t="str">
            <v>SP0952-L</v>
          </cell>
          <cell r="B5581" t="str">
            <v>P952</v>
          </cell>
          <cell r="C5581" t="str">
            <v>ซาติน แขนยาวขายาว Blueberry ลายทาง L (กปก)</v>
          </cell>
        </row>
        <row r="5582">
          <cell r="A5582" t="str">
            <v>SP0952-M</v>
          </cell>
          <cell r="B5582" t="str">
            <v>P952</v>
          </cell>
          <cell r="C5582" t="str">
            <v>ซาติน แขนยาวขายาว Blueberry ลายทาง M (กปก)</v>
          </cell>
        </row>
        <row r="5583">
          <cell r="A5583" t="str">
            <v>SP0953-L</v>
          </cell>
          <cell r="B5583" t="str">
            <v>P953</v>
          </cell>
          <cell r="C5583" t="str">
            <v>ซาติน แขนยาวขายาว พื้นดำ กระเป๋าม้าลาย L (กปก)</v>
          </cell>
        </row>
        <row r="5584">
          <cell r="A5584" t="str">
            <v>SP0953-M</v>
          </cell>
          <cell r="B5584" t="str">
            <v>P953</v>
          </cell>
          <cell r="C5584" t="str">
            <v>ซาติน แขนยาวขายาว พื้นดำ กระเป๋าม้าลาย M (กปก)</v>
          </cell>
        </row>
        <row r="5585">
          <cell r="A5585" t="str">
            <v>SR0001-M</v>
          </cell>
          <cell r="B5585" t="str">
            <v>R1</v>
          </cell>
          <cell r="C5585" t="str">
            <v>ซาติน สายเดี่ยว พื้นน้ำเงิน ลายทาง หลายสี M</v>
          </cell>
        </row>
        <row r="5586">
          <cell r="A5586" t="str">
            <v>SR0001-S</v>
          </cell>
          <cell r="B5586" t="str">
            <v>R1</v>
          </cell>
          <cell r="C5586" t="str">
            <v>ซาติน สายเดี่ยว พื้นน้ำเงิน ลายทาง หลายสี S</v>
          </cell>
        </row>
        <row r="5587">
          <cell r="A5587" t="str">
            <v>SR0002-M</v>
          </cell>
          <cell r="B5587" t="str">
            <v>R2</v>
          </cell>
          <cell r="C5587" t="str">
            <v>ซาติน สายเดี่ยว ลายทาง ขาวดำ ระบายลูกไม้ M</v>
          </cell>
        </row>
        <row r="5588">
          <cell r="A5588" t="str">
            <v>SR0002-S</v>
          </cell>
          <cell r="B5588" t="str">
            <v>R2</v>
          </cell>
          <cell r="C5588" t="str">
            <v>ซาติน สายเดี่ยว ลายทาง ขาวดำ ระบายลูกไม้ S</v>
          </cell>
        </row>
        <row r="5589">
          <cell r="A5589" t="str">
            <v>SR0003-M</v>
          </cell>
          <cell r="B5589" t="str">
            <v>R3</v>
          </cell>
          <cell r="C5589" t="str">
            <v>ซาติน สายเดี่ยว ลายทาง ขาวดำ M</v>
          </cell>
        </row>
        <row r="5590">
          <cell r="A5590" t="str">
            <v>SR0003-S</v>
          </cell>
          <cell r="B5590" t="str">
            <v>R3</v>
          </cell>
          <cell r="C5590" t="str">
            <v>ซาติน สายเดี่ยว ลายทาง ขาวดำ S</v>
          </cell>
        </row>
        <row r="5591">
          <cell r="A5591" t="str">
            <v>SR0004-M</v>
          </cell>
          <cell r="B5591" t="str">
            <v>R4</v>
          </cell>
          <cell r="C5591" t="str">
            <v>ซาติน สายเดี่ยว+เสื้อคลุม พื้นชมพูอ่อน ดอกชมพู M</v>
          </cell>
        </row>
        <row r="5592">
          <cell r="A5592" t="str">
            <v>SR0004-S</v>
          </cell>
          <cell r="B5592" t="str">
            <v>R4</v>
          </cell>
          <cell r="C5592" t="str">
            <v>ซาติน สายเดี่ยว+เสื้อคลุม พื้นชมพูอ่อน ดอกชมพู S</v>
          </cell>
        </row>
        <row r="5593">
          <cell r="A5593" t="str">
            <v>SR0005-M</v>
          </cell>
          <cell r="B5593" t="str">
            <v>R5</v>
          </cell>
          <cell r="C5593" t="str">
            <v>ซาติน สายเดี่ยว+กางเกง ใบไม้เขียว ดอกแดง พื้นดำ M</v>
          </cell>
        </row>
        <row r="5594">
          <cell r="A5594" t="str">
            <v>SR0005-S</v>
          </cell>
          <cell r="B5594" t="str">
            <v>R5</v>
          </cell>
          <cell r="C5594" t="str">
            <v>ซาติน สายเดี่ยว+กางเกง ใบไม้เขียว ดอกแดง พื้นดำ S</v>
          </cell>
        </row>
        <row r="5595">
          <cell r="A5595" t="str">
            <v>SR0006-M</v>
          </cell>
          <cell r="B5595" t="str">
            <v>R6</v>
          </cell>
          <cell r="C5595" t="str">
            <v>ซาติน สายเดี่ยว+กางเกง พื้นกรมลาย ต้นมะพร้าว M</v>
          </cell>
        </row>
        <row r="5596">
          <cell r="A5596" t="str">
            <v>SR0006-S</v>
          </cell>
          <cell r="B5596" t="str">
            <v>R6</v>
          </cell>
          <cell r="C5596" t="str">
            <v>ซาติน สายเดี่ยว+กางเกง พื้นกรมลาย ต้นมะพร้าว S</v>
          </cell>
        </row>
        <row r="5597">
          <cell r="A5597" t="str">
            <v>SR0007-M</v>
          </cell>
          <cell r="B5597" t="str">
            <v>R7</v>
          </cell>
          <cell r="C5597" t="str">
            <v>ซาติน สายเดี่ยว+กางเกง สีเทา ลายพุ่มไผ่ M</v>
          </cell>
        </row>
        <row r="5598">
          <cell r="A5598" t="str">
            <v>SR0007-S</v>
          </cell>
          <cell r="B5598" t="str">
            <v>R7</v>
          </cell>
          <cell r="C5598" t="str">
            <v>ซาติน สายเดี่ยว+กางเกง สีเทา ลายพุ่มไผ่ S</v>
          </cell>
        </row>
        <row r="5599">
          <cell r="A5599" t="str">
            <v>SR0008-M</v>
          </cell>
          <cell r="B5599" t="str">
            <v>R8</v>
          </cell>
          <cell r="C5599" t="str">
            <v>ซาติน เซต3ชิ้น สายเดี่ยว+กางเกง พื้นดำ ลายทางเขียว M</v>
          </cell>
        </row>
        <row r="5600">
          <cell r="A5600" t="str">
            <v>SR0008-S</v>
          </cell>
          <cell r="B5600" t="str">
            <v>R8</v>
          </cell>
          <cell r="C5600" t="str">
            <v>ซาติน เซต3ชิ้น สายเดี่ยว+กางเกง พื้นดำ ลายทางเขียว S</v>
          </cell>
        </row>
        <row r="5601">
          <cell r="A5601" t="str">
            <v>SR0009-M</v>
          </cell>
          <cell r="B5601" t="str">
            <v>R9</v>
          </cell>
          <cell r="C5601" t="str">
            <v>ซาติน เซต3ชิ้น สายเดี่ยว+กางเกง ไอติม สีชมพู M</v>
          </cell>
        </row>
        <row r="5602">
          <cell r="A5602" t="str">
            <v>SR0009-S</v>
          </cell>
          <cell r="B5602" t="str">
            <v>R9</v>
          </cell>
          <cell r="C5602" t="str">
            <v>ซาติน เซต3ชิ้น สายเดี่ยว+กางเกง ไอติม สีชมพู S</v>
          </cell>
        </row>
        <row r="5603">
          <cell r="A5603" t="str">
            <v>SR0010-M</v>
          </cell>
          <cell r="B5603" t="str">
            <v>R10</v>
          </cell>
          <cell r="C5603" t="str">
            <v>ซาติน เซต3ชิ้น พื้นน้ำตาลเข้ม ดอกชมพู M</v>
          </cell>
        </row>
        <row r="5604">
          <cell r="A5604" t="str">
            <v>SR0010-S</v>
          </cell>
          <cell r="B5604" t="str">
            <v>R10</v>
          </cell>
          <cell r="C5604" t="str">
            <v>ซาติน เซต3ชิ้น พื้นน้ำตาลเข้ม ดอกชมพู S</v>
          </cell>
        </row>
        <row r="5605">
          <cell r="A5605" t="str">
            <v>SR0011-M</v>
          </cell>
          <cell r="B5605" t="str">
            <v>R11</v>
          </cell>
          <cell r="C5605" t="str">
            <v>ซาติน เซต3ชิ้น แขนยาวขายาว สีกรม ลายโซ่ M</v>
          </cell>
        </row>
        <row r="5606">
          <cell r="A5606" t="str">
            <v>SR0011-S</v>
          </cell>
          <cell r="B5606" t="str">
            <v>R11</v>
          </cell>
          <cell r="C5606" t="str">
            <v>ซาติน เซต3ชิ้น แขนยาวขายาว สีกรม ลายโซ่ S</v>
          </cell>
        </row>
        <row r="5607">
          <cell r="A5607" t="str">
            <v>SR0012-S</v>
          </cell>
          <cell r="B5607" t="str">
            <v>R12</v>
          </cell>
          <cell r="C5607" t="str">
            <v>ซาติน เซต3ชิ้น แขนยาวขายาว กระบองเพชร S</v>
          </cell>
        </row>
        <row r="5608">
          <cell r="A5608" t="str">
            <v>SR0012-XS</v>
          </cell>
          <cell r="B5608" t="str">
            <v>R12</v>
          </cell>
          <cell r="C5608" t="str">
            <v>ซาติน เซต3ชิ้น แขนยาวขายาว กระบองเพชร XS</v>
          </cell>
        </row>
        <row r="5609">
          <cell r="A5609" t="str">
            <v>SR0013-M</v>
          </cell>
          <cell r="B5609" t="str">
            <v>R13</v>
          </cell>
          <cell r="C5609" t="str">
            <v>ซาติน เซต3ชิ้น แขนยาวขายาว สีเหลือง ลายม้าลาย M</v>
          </cell>
        </row>
        <row r="5610">
          <cell r="A5610" t="str">
            <v>SR0013-S</v>
          </cell>
          <cell r="B5610" t="str">
            <v>R13</v>
          </cell>
          <cell r="C5610" t="str">
            <v>ซาติน เซต3ชิ้น แขนยาวขายาว สีเหลือง ลายม้าลาย S</v>
          </cell>
        </row>
        <row r="5611">
          <cell r="A5611" t="str">
            <v>SR0014-M</v>
          </cell>
          <cell r="B5611" t="str">
            <v>R14</v>
          </cell>
          <cell r="C5611" t="str">
            <v>ซาติน เซต3ชิ้น สายเดี่ยว+กางเกง ไอติม สีฟ้า M</v>
          </cell>
        </row>
        <row r="5612">
          <cell r="A5612" t="str">
            <v>SR0014-S</v>
          </cell>
          <cell r="B5612" t="str">
            <v>R14</v>
          </cell>
          <cell r="C5612" t="str">
            <v>ซาติน เซต3ชิ้น สายเดี่ยว+กางเกง ไอติม สีฟ้า S</v>
          </cell>
        </row>
        <row r="5613">
          <cell r="A5613" t="str">
            <v>SR0015-L</v>
          </cell>
          <cell r="B5613" t="str">
            <v>R15</v>
          </cell>
          <cell r="C5613" t="str">
            <v>ซาติน สายเดี่ยว ขายาว ซากุระ พื้นชมพู L</v>
          </cell>
        </row>
        <row r="5614">
          <cell r="A5614" t="str">
            <v>SR0015-M</v>
          </cell>
          <cell r="B5614" t="str">
            <v>R15</v>
          </cell>
          <cell r="C5614" t="str">
            <v>ซาติน สายเดี่ยว ขายาว ซากุระ พื้นชมพู M</v>
          </cell>
        </row>
        <row r="5615">
          <cell r="A5615" t="str">
            <v>SR0016-L</v>
          </cell>
          <cell r="B5615" t="str">
            <v>R16</v>
          </cell>
          <cell r="C5615" t="str">
            <v>ซาติน สายเดี่ยว ขายาว ซากุระ พื้นเขียว L</v>
          </cell>
        </row>
        <row r="5616">
          <cell r="A5616" t="str">
            <v>SR0016-M</v>
          </cell>
          <cell r="B5616" t="str">
            <v>R16</v>
          </cell>
          <cell r="C5616" t="str">
            <v>ซาติน สายเดี่ยว ขายาว ซากุระ พื้นเขียว M</v>
          </cell>
        </row>
        <row r="5617">
          <cell r="A5617" t="str">
            <v>SR0017-M</v>
          </cell>
          <cell r="B5617" t="str">
            <v>R17</v>
          </cell>
          <cell r="C5617" t="str">
            <v>ซาติน สายเดี่ยว กระโปรง พื้นเขียว เลมอน S</v>
          </cell>
        </row>
        <row r="5618">
          <cell r="A5618" t="str">
            <v>SR0017-S</v>
          </cell>
          <cell r="B5618" t="str">
            <v>R17</v>
          </cell>
          <cell r="C5618" t="str">
            <v>ซาติน สายเดี่ยว กระโปรง พื้นเขียว เลมอน M</v>
          </cell>
        </row>
        <row r="5619">
          <cell r="A5619" t="str">
            <v>SR0018-M</v>
          </cell>
          <cell r="B5619" t="str">
            <v>R18</v>
          </cell>
          <cell r="C5619" t="str">
            <v>ซาติน สายเดี่ยว ขาสั้น พื้นโอรส ลายจุด M</v>
          </cell>
        </row>
        <row r="5620">
          <cell r="A5620" t="str">
            <v>SR0018-S</v>
          </cell>
          <cell r="B5620" t="str">
            <v>R18</v>
          </cell>
          <cell r="C5620" t="str">
            <v>ซาติน สายเดี่ยว ขาสั้น พื้นโอรส ลายจุด S</v>
          </cell>
        </row>
        <row r="5621">
          <cell r="A5621" t="str">
            <v>SR0019-2XL</v>
          </cell>
          <cell r="B5621" t="str">
            <v>R19</v>
          </cell>
          <cell r="C5621" t="str">
            <v>ซาติน สายเดี่ยว ขายาว กล้วยไม้ พื้นชมพู 2XL</v>
          </cell>
        </row>
        <row r="5622">
          <cell r="A5622" t="str">
            <v>SR0019-L</v>
          </cell>
          <cell r="B5622" t="str">
            <v>R19</v>
          </cell>
          <cell r="C5622" t="str">
            <v>ซาติน สายเดี่ยว ขายาว กล้วยไม้ พื้นชมพู L</v>
          </cell>
        </row>
        <row r="5623">
          <cell r="A5623" t="str">
            <v>SR0019-M</v>
          </cell>
          <cell r="B5623" t="str">
            <v>R19</v>
          </cell>
          <cell r="C5623" t="str">
            <v>ซาติน สายเดี่ยว ขายาว กล้วยไม้ พื้นชมพู M</v>
          </cell>
        </row>
        <row r="5624">
          <cell r="A5624" t="str">
            <v>SR0019-XL</v>
          </cell>
          <cell r="B5624" t="str">
            <v>R19</v>
          </cell>
          <cell r="C5624" t="str">
            <v>ซาติน สายเดี่ยว ขายาว กล้วยไม้ พื้นชมพู XL</v>
          </cell>
        </row>
        <row r="5625">
          <cell r="A5625" t="str">
            <v>SR0020-L</v>
          </cell>
          <cell r="B5625" t="str">
            <v>R20</v>
          </cell>
          <cell r="C5625" t="str">
            <v>ซาติน สายเดี่ยว ขาสั้น Little Maid พื้นชมพู โบว์ขาว L (กปก)</v>
          </cell>
        </row>
        <row r="5626">
          <cell r="A5626" t="str">
            <v>SR0020-M</v>
          </cell>
          <cell r="B5626" t="str">
            <v>JR20</v>
          </cell>
          <cell r="C5626" t="str">
            <v>ซาติน สายเดี่ยว ขาสั้น Little Maid พื้นชมพู โบว์ขาว M (กปก) ตัวโชว์</v>
          </cell>
        </row>
        <row r="5627">
          <cell r="A5627" t="str">
            <v>SR0021-L</v>
          </cell>
          <cell r="B5627" t="str">
            <v>R21</v>
          </cell>
          <cell r="C5627" t="str">
            <v>ซาติน สายเดี่ยว ขาสั้น Little Maid พื้นขาว โบว์ดำ L (กปก)</v>
          </cell>
        </row>
        <row r="5628">
          <cell r="A5628" t="str">
            <v>SR0021-M</v>
          </cell>
          <cell r="B5628" t="str">
            <v>R21</v>
          </cell>
          <cell r="C5628" t="str">
            <v>ซาติน สายเดี่ยว ขาสั้น Little Maid พื้นขาว โบว์ดำ M (กปก)</v>
          </cell>
        </row>
        <row r="5629">
          <cell r="A5629" t="str">
            <v>SR0022-L</v>
          </cell>
          <cell r="B5629" t="str">
            <v>R22</v>
          </cell>
          <cell r="C5629" t="str">
            <v>ซาติน เดรส สายเดี่ยว ขายาว Paris กางเกงฟ้า L</v>
          </cell>
        </row>
        <row r="5630">
          <cell r="A5630" t="str">
            <v>SR0022-M</v>
          </cell>
          <cell r="B5630" t="str">
            <v>R22</v>
          </cell>
          <cell r="C5630" t="str">
            <v>ซาติน เดรส สายเดี่ยว ขายาว Paris กางเกงฟ้า M</v>
          </cell>
        </row>
        <row r="5631">
          <cell r="A5631" t="str">
            <v>SR0022-XL</v>
          </cell>
          <cell r="B5631" t="str">
            <v>R22</v>
          </cell>
          <cell r="C5631" t="str">
            <v>ซาติน เดรส สายเดี่ยว ขายาว Paris กางเกงฟ้า XL</v>
          </cell>
        </row>
        <row r="5632">
          <cell r="A5632" t="str">
            <v>SR0023-L</v>
          </cell>
          <cell r="B5632" t="str">
            <v>R23</v>
          </cell>
          <cell r="C5632" t="str">
            <v>ซาติน เดรส สายเดี่ยว ขายาว พื้นชมพู ดอกอัญชัน L</v>
          </cell>
        </row>
        <row r="5633">
          <cell r="A5633" t="str">
            <v>SR0023-M</v>
          </cell>
          <cell r="B5633" t="str">
            <v>R23</v>
          </cell>
          <cell r="C5633" t="str">
            <v>ซาติน เดรส สายเดี่ยว ขายาว พื้นชมพู ดอกอัญชัน M</v>
          </cell>
        </row>
        <row r="5634">
          <cell r="A5634" t="str">
            <v>SR0023-XL</v>
          </cell>
          <cell r="B5634" t="str">
            <v>R23</v>
          </cell>
          <cell r="C5634" t="str">
            <v>ซาติน เดรส สายเดี่ยว ขายาว พื้นชมพู ดอกอัญชัน XL</v>
          </cell>
        </row>
        <row r="5635">
          <cell r="A5635" t="str">
            <v>SR0024-2XL</v>
          </cell>
          <cell r="B5635" t="str">
            <v>R24</v>
          </cell>
          <cell r="C5635" t="str">
            <v>ซาติน เดรส สายเดี่ยว ขายาว Carnival 2XL</v>
          </cell>
        </row>
        <row r="5636">
          <cell r="A5636" t="str">
            <v>SR0024-L</v>
          </cell>
          <cell r="B5636" t="str">
            <v>R24</v>
          </cell>
          <cell r="C5636" t="str">
            <v>ซาติน เดรส สายเดี่ยว ขายาว Carnival L</v>
          </cell>
        </row>
        <row r="5637">
          <cell r="A5637" t="str">
            <v>SR0024-M</v>
          </cell>
          <cell r="B5637" t="str">
            <v>R24</v>
          </cell>
          <cell r="C5637" t="str">
            <v>ซาติน เดรส สายเดี่ยว ขายาว Carnival M</v>
          </cell>
        </row>
        <row r="5638">
          <cell r="A5638" t="str">
            <v>SR0024-XL</v>
          </cell>
          <cell r="B5638" t="str">
            <v>R24</v>
          </cell>
          <cell r="C5638" t="str">
            <v>ซาติน เดรส สายเดี่ยว ขายาว Carnival XL</v>
          </cell>
        </row>
        <row r="5639">
          <cell r="A5639" t="str">
            <v>SR0025-L</v>
          </cell>
          <cell r="B5639" t="str">
            <v>R25</v>
          </cell>
          <cell r="C5639" t="str">
            <v>ซาติน เดรส สายเดี่ยว ขายาว พื้นเขียว ดอกอัญชัน L</v>
          </cell>
        </row>
        <row r="5640">
          <cell r="A5640" t="str">
            <v>SR0025-M</v>
          </cell>
          <cell r="B5640" t="str">
            <v>R25</v>
          </cell>
          <cell r="C5640" t="str">
            <v>ซาติน เดรส สายเดี่ยว ขายาว พื้นเขียว ดอกอัญชัน M</v>
          </cell>
        </row>
        <row r="5641">
          <cell r="A5641" t="str">
            <v>SR0025-XL</v>
          </cell>
          <cell r="B5641" t="str">
            <v>R25</v>
          </cell>
          <cell r="C5641" t="str">
            <v>ซาติน เดรส สายเดี่ยว ขายาว พื้นเขียว ดอกอัญชัน XL</v>
          </cell>
        </row>
        <row r="5642">
          <cell r="A5642" t="str">
            <v>SR0026-L</v>
          </cell>
          <cell r="B5642" t="str">
            <v>JR26</v>
          </cell>
          <cell r="C5642" t="str">
            <v>ซาติน เดรส สายเดี่ยว ขายาว หวานใจ หวานเย็น L ตัวโชว์</v>
          </cell>
        </row>
        <row r="5643">
          <cell r="A5643" t="str">
            <v>SR0026-M</v>
          </cell>
          <cell r="B5643" t="str">
            <v>JR26</v>
          </cell>
          <cell r="C5643" t="str">
            <v>ซาติน เดรส สายเดี่ยว ขายาว หวานใจ หวานเย็น M ตัวโชว์</v>
          </cell>
        </row>
        <row r="5644">
          <cell r="A5644" t="str">
            <v>SR0026-XL</v>
          </cell>
          <cell r="B5644" t="str">
            <v>JR26</v>
          </cell>
          <cell r="C5644" t="str">
            <v>ซาติน เดรส สายเดี่ยว ขายาว หวานใจ หวานเย็น XL</v>
          </cell>
        </row>
        <row r="5645">
          <cell r="A5645" t="str">
            <v>SR0027-L</v>
          </cell>
          <cell r="B5645" t="str">
            <v>JR27</v>
          </cell>
          <cell r="C5645" t="str">
            <v>ซาติน เดรส สายเดี่ยว ขาสั้น พื้นชมพู ดอกอัญชัน L ตัวโชว์</v>
          </cell>
        </row>
        <row r="5646">
          <cell r="A5646" t="str">
            <v>SR0027-M</v>
          </cell>
          <cell r="B5646" t="str">
            <v>JR27</v>
          </cell>
          <cell r="C5646" t="str">
            <v>ซาติน เดรส สายเดี่ยว ขาสั้น พื้นชมพู ดอกอัญชัน M ตัวโชว์</v>
          </cell>
        </row>
        <row r="5647">
          <cell r="A5647" t="str">
            <v>SR0027-XL</v>
          </cell>
          <cell r="B5647" t="str">
            <v>JR27</v>
          </cell>
          <cell r="C5647" t="str">
            <v>ซาติน เดรส สายเดี่ยว ขาสั้น พื้นชมพู ดอกอัญชัน XL ตัวโชว์</v>
          </cell>
        </row>
        <row r="5648">
          <cell r="A5648" t="str">
            <v>SR0028-L</v>
          </cell>
          <cell r="B5648" t="str">
            <v>R28</v>
          </cell>
          <cell r="C5648" t="str">
            <v>ซาติน เดรส สายเดี่ยว ขาสั้น พื้นเขียว ดอกอัญชัน L</v>
          </cell>
        </row>
        <row r="5649">
          <cell r="A5649" t="str">
            <v>SR0028-M</v>
          </cell>
          <cell r="B5649" t="str">
            <v>R28</v>
          </cell>
          <cell r="C5649" t="str">
            <v>ซาติน เดรส สายเดี่ยว ขาสั้น พื้นเขียว ดอกอัญชัน M</v>
          </cell>
        </row>
        <row r="5650">
          <cell r="A5650" t="str">
            <v>SR0028-XL</v>
          </cell>
          <cell r="B5650" t="str">
            <v>R28</v>
          </cell>
          <cell r="C5650" t="str">
            <v>ซาติน เดรส สายเดี่ยว ขาสั้น พื้นเขียว ดอกอัญชัน XL</v>
          </cell>
        </row>
        <row r="5651">
          <cell r="A5651" t="str">
            <v>SR0029-L</v>
          </cell>
          <cell r="B5651" t="str">
            <v>R29</v>
          </cell>
          <cell r="C5651" t="str">
            <v>ซาติน เดรส สายเดี่ยว ขายาว Paris กางเกงเชือก ฟ้า L</v>
          </cell>
        </row>
        <row r="5652">
          <cell r="A5652" t="str">
            <v>SR0029-M</v>
          </cell>
          <cell r="B5652" t="str">
            <v>R29</v>
          </cell>
          <cell r="C5652" t="str">
            <v>ซาติน เดรส สายเดี่ยว ขายาว Paris กางเกงเชือก ฟ้า M</v>
          </cell>
        </row>
        <row r="5653">
          <cell r="A5653" t="str">
            <v>SR0029-XL</v>
          </cell>
          <cell r="B5653" t="str">
            <v>R29</v>
          </cell>
          <cell r="C5653" t="str">
            <v>ซาติน เดรส สายเดี่ยว ขายาว Paris กางเกงเชือก ฟ้า XL</v>
          </cell>
        </row>
        <row r="5654">
          <cell r="A5654" t="str">
            <v>SR0030-2XL</v>
          </cell>
          <cell r="B5654" t="str">
            <v>R30</v>
          </cell>
          <cell r="C5654" t="str">
            <v>ซาติน เดรส สายเดี่ยว ขายาว ดอกไม้ขาว พื้นฟ้า 2XL</v>
          </cell>
        </row>
        <row r="5655">
          <cell r="A5655" t="str">
            <v>SR0030-L</v>
          </cell>
          <cell r="B5655" t="str">
            <v>R30</v>
          </cell>
          <cell r="C5655" t="str">
            <v>ซาติน เดรส สายเดี่ยว ขายาว ดอกไม้ขาว พื้นฟ้า L</v>
          </cell>
        </row>
        <row r="5656">
          <cell r="A5656" t="str">
            <v>SR0030-M</v>
          </cell>
          <cell r="B5656" t="str">
            <v>R30</v>
          </cell>
          <cell r="C5656" t="str">
            <v>ซาติน เดรส สายเดี่ยว ขายาว ดอกไม้ขาว พื้นฟ้า M</v>
          </cell>
        </row>
        <row r="5657">
          <cell r="A5657" t="str">
            <v>SR0030-XL</v>
          </cell>
          <cell r="B5657" t="str">
            <v>R30</v>
          </cell>
          <cell r="C5657" t="str">
            <v>ซาติน เดรส สายเดี่ยว ขายาว ดอกไม้ขาว พื้นฟ้า XL</v>
          </cell>
        </row>
        <row r="5658">
          <cell r="A5658" t="str">
            <v>SR0031-2XL</v>
          </cell>
          <cell r="B5658" t="str">
            <v>R31</v>
          </cell>
          <cell r="C5658" t="str">
            <v>ซาติน เดรส สายเดี่ยว ขายาว Blue Palace 2XL</v>
          </cell>
        </row>
        <row r="5659">
          <cell r="A5659" t="str">
            <v>SR0031-L</v>
          </cell>
          <cell r="B5659" t="str">
            <v>R31</v>
          </cell>
          <cell r="C5659" t="str">
            <v>ซาติน เดรส สายเดี่ยว ขายาว Blue Palace L</v>
          </cell>
        </row>
        <row r="5660">
          <cell r="A5660" t="str">
            <v>SR0031-M</v>
          </cell>
          <cell r="B5660" t="str">
            <v>R31</v>
          </cell>
          <cell r="C5660" t="str">
            <v>ซาติน เดรส สายเดี่ยว ขายาว Blue Palace M</v>
          </cell>
        </row>
        <row r="5661">
          <cell r="A5661" t="str">
            <v>SR0031-XL</v>
          </cell>
          <cell r="B5661" t="str">
            <v>R31</v>
          </cell>
          <cell r="C5661" t="str">
            <v>ซาติน เดรส สายเดี่ยว ขายาว Blue Palace XL</v>
          </cell>
        </row>
        <row r="5662">
          <cell r="A5662" t="str">
            <v>SR0032-2XL</v>
          </cell>
          <cell r="B5662" t="str">
            <v>R32</v>
          </cell>
          <cell r="C5662" t="str">
            <v>ซาติน เดรส สายเดี่ยว ขาสั้น ดอกไม้ขาว พื้นฟ้า 2XL</v>
          </cell>
        </row>
        <row r="5663">
          <cell r="A5663" t="str">
            <v>SR0032-L</v>
          </cell>
          <cell r="B5663" t="str">
            <v>R32</v>
          </cell>
          <cell r="C5663" t="str">
            <v>ซาติน เดรส สายเดี่ยว ขาสั้น ดอกไม้ขาว พื้นฟ้า L</v>
          </cell>
        </row>
        <row r="5664">
          <cell r="A5664" t="str">
            <v>SR0032-M</v>
          </cell>
          <cell r="B5664" t="str">
            <v>R32</v>
          </cell>
          <cell r="C5664" t="str">
            <v>ซาติน เดรส สายเดี่ยว ขาสั้น ดอกไม้ขาว พื้นฟ้า M</v>
          </cell>
        </row>
        <row r="5665">
          <cell r="A5665" t="str">
            <v>SR0032-XL</v>
          </cell>
          <cell r="B5665" t="str">
            <v>R32</v>
          </cell>
          <cell r="C5665" t="str">
            <v>ซาติน เดรส สายเดี่ยว ขาสั้น ดอกไม้ขาว พื้นฟ้า XL</v>
          </cell>
        </row>
        <row r="5666">
          <cell r="A5666" t="str">
            <v>SR0033-2XL</v>
          </cell>
          <cell r="B5666" t="str">
            <v>R33</v>
          </cell>
          <cell r="C5666" t="str">
            <v>ซาติน เดรส สายเดี่ยว ขาสั้น พื้นขาวลายคราม 2XL</v>
          </cell>
        </row>
        <row r="5667">
          <cell r="A5667" t="str">
            <v>SR0033-L</v>
          </cell>
          <cell r="B5667" t="str">
            <v>R33</v>
          </cell>
          <cell r="C5667" t="str">
            <v>ซาติน เดรส สายเดี่ยว ขาสั้น พื้นขาวลายคราม L</v>
          </cell>
        </row>
        <row r="5668">
          <cell r="A5668" t="str">
            <v>SR0033-M</v>
          </cell>
          <cell r="B5668" t="str">
            <v>R33</v>
          </cell>
          <cell r="C5668" t="str">
            <v>ซาติน เดรส สายเดี่ยว ขาสั้น พื้นขาวลายคราม M</v>
          </cell>
        </row>
        <row r="5669">
          <cell r="A5669" t="str">
            <v>SR0033-XL</v>
          </cell>
          <cell r="B5669" t="str">
            <v>R33</v>
          </cell>
          <cell r="C5669" t="str">
            <v>ซาติน เดรส สายเดี่ยว ขาสั้น พื้นขาวลายคราม XL</v>
          </cell>
        </row>
        <row r="5670">
          <cell r="A5670" t="str">
            <v>SR0034-2XL</v>
          </cell>
          <cell r="B5670" t="str">
            <v>R34</v>
          </cell>
          <cell r="C5670" t="str">
            <v>ซาติน เดรส สายเดี่ยว ขาสั้น Garder And Sea 2XL</v>
          </cell>
        </row>
        <row r="5671">
          <cell r="A5671" t="str">
            <v>SR0034-L</v>
          </cell>
          <cell r="B5671" t="str">
            <v>R34</v>
          </cell>
          <cell r="C5671" t="str">
            <v>ซาติน เดรส สายเดี่ยว ขาสั้น Garder And Sea L</v>
          </cell>
        </row>
        <row r="5672">
          <cell r="A5672" t="str">
            <v>SR0034-M</v>
          </cell>
          <cell r="B5672" t="str">
            <v>R34</v>
          </cell>
          <cell r="C5672" t="str">
            <v>ซาติน เดรส สายเดี่ยว ขาสั้น Garder And Sea M</v>
          </cell>
        </row>
        <row r="5673">
          <cell r="A5673" t="str">
            <v>SR0034-XL</v>
          </cell>
          <cell r="B5673" t="str">
            <v>R34</v>
          </cell>
          <cell r="C5673" t="str">
            <v>ซาติน เดรส สายเดี่ยว ขาสั้น Garder And Sea XL</v>
          </cell>
        </row>
        <row r="5674">
          <cell r="A5674" t="str">
            <v>SR0035-2XL</v>
          </cell>
          <cell r="B5674" t="str">
            <v>R35</v>
          </cell>
          <cell r="C5674" t="str">
            <v>ซาติน เดรส สายเดี่ยว ขายาว ลายทาง เขียวชมพู 2XL</v>
          </cell>
        </row>
        <row r="5675">
          <cell r="A5675" t="str">
            <v>SR0035-L</v>
          </cell>
          <cell r="B5675" t="str">
            <v>R35</v>
          </cell>
          <cell r="C5675" t="str">
            <v>ซาติน เดรส สายเดี่ยว ขายาว ลายทาง เขียวชมพู L</v>
          </cell>
        </row>
        <row r="5676">
          <cell r="A5676" t="str">
            <v>SR0035-M</v>
          </cell>
          <cell r="B5676" t="str">
            <v>R35</v>
          </cell>
          <cell r="C5676" t="str">
            <v>ซาติน เดรส สายเดี่ยว ขายาว ลายทาง เขียวชมพู M</v>
          </cell>
        </row>
        <row r="5677">
          <cell r="A5677" t="str">
            <v>SR0035-XL</v>
          </cell>
          <cell r="B5677" t="str">
            <v>R35</v>
          </cell>
          <cell r="C5677" t="str">
            <v>ซาติน เดรส สายเดี่ยว ขายาว ลายทาง เขียวชมพู XL</v>
          </cell>
        </row>
        <row r="5678">
          <cell r="A5678" t="str">
            <v>SR0036-2XL</v>
          </cell>
          <cell r="B5678" t="str">
            <v>R36</v>
          </cell>
          <cell r="C5678" t="str">
            <v>ซาติน เดรส สายเดี่ยว ขายาว pink folorel ปลายขาลูกไม้ 2XL</v>
          </cell>
        </row>
        <row r="5679">
          <cell r="A5679" t="str">
            <v>SR0036-L</v>
          </cell>
          <cell r="B5679" t="str">
            <v>R36</v>
          </cell>
          <cell r="C5679" t="str">
            <v>ซาติน เดรส สายเดี่ยว ขายาว pink folorel ปลายขาลูกไม้ L</v>
          </cell>
        </row>
        <row r="5680">
          <cell r="A5680" t="str">
            <v>SR0036-M</v>
          </cell>
          <cell r="B5680" t="str">
            <v>R36</v>
          </cell>
          <cell r="C5680" t="str">
            <v>ซาติน เดรส สายเดี่ยว ขายาว pink folorel ปลายขาลูกไม้ M</v>
          </cell>
        </row>
        <row r="5681">
          <cell r="A5681" t="str">
            <v>SR0036-XL</v>
          </cell>
          <cell r="B5681" t="str">
            <v>R36</v>
          </cell>
          <cell r="C5681" t="str">
            <v>ซาติน เดรส สายเดี่ยว ขายาว pink folorel ปลายขาลูกไม้ XL</v>
          </cell>
        </row>
        <row r="5682">
          <cell r="A5682" t="str">
            <v>SR0037-2XL</v>
          </cell>
          <cell r="B5682" t="str">
            <v>R37</v>
          </cell>
          <cell r="C5682" t="str">
            <v>ซาติน เดรส สายเดี่ยว ขายาว Garder And Sea 2XL</v>
          </cell>
        </row>
        <row r="5683">
          <cell r="A5683" t="str">
            <v>SR0037-L</v>
          </cell>
          <cell r="B5683" t="str">
            <v>R37</v>
          </cell>
          <cell r="C5683" t="str">
            <v>ซาติน เดรส สายเดี่ยว ขายาว Garder And Sea L</v>
          </cell>
        </row>
        <row r="5684">
          <cell r="A5684" t="str">
            <v>SR0037-M</v>
          </cell>
          <cell r="B5684" t="str">
            <v>R37</v>
          </cell>
          <cell r="C5684" t="str">
            <v>ซาติน เดรส สายเดี่ยว ขายาว Garder And Sea M</v>
          </cell>
        </row>
        <row r="5685">
          <cell r="A5685" t="str">
            <v>SR0037-XL</v>
          </cell>
          <cell r="B5685" t="str">
            <v>R37</v>
          </cell>
          <cell r="C5685" t="str">
            <v>ซาติน เดรส สายเดี่ยว ขายาว Garder And Sea XL</v>
          </cell>
        </row>
        <row r="5686">
          <cell r="A5686" t="str">
            <v>SR0038-2XL</v>
          </cell>
          <cell r="B5686" t="str">
            <v>BR38</v>
          </cell>
          <cell r="C5686" t="str">
            <v>ซาติน เดรส สายเดี่ยว ขาสั้น ดอกไม้ขาว พื้นชมพู 2XL</v>
          </cell>
        </row>
        <row r="5687">
          <cell r="A5687" t="str">
            <v>SR0038-L</v>
          </cell>
          <cell r="B5687" t="str">
            <v>R38</v>
          </cell>
          <cell r="C5687" t="str">
            <v>ซาติน เดรส สายเดี่ยว ขาสั้น ดอกไม้ขาว พื้นชมพู L</v>
          </cell>
        </row>
        <row r="5688">
          <cell r="A5688" t="str">
            <v>SR0038-M</v>
          </cell>
          <cell r="B5688" t="str">
            <v>R38</v>
          </cell>
          <cell r="C5688" t="str">
            <v>ซาติน เดรส สายเดี่ยว ขาสั้น ดอกไม้ขาว พื้นชมพู M</v>
          </cell>
        </row>
        <row r="5689">
          <cell r="A5689" t="str">
            <v>SR0038-XL</v>
          </cell>
          <cell r="B5689" t="str">
            <v>R38</v>
          </cell>
          <cell r="C5689" t="str">
            <v>ซาติน เดรส สายเดี่ยว ขาสั้น ดอกไม้ขาว พื้นชมพู XL</v>
          </cell>
        </row>
        <row r="5690">
          <cell r="A5690" t="str">
            <v>SR0039-2XL</v>
          </cell>
          <cell r="B5690" t="str">
            <v>R39</v>
          </cell>
          <cell r="C5690" t="str">
            <v>ซาติน เดรส สายเดี่ยว ขายาว ดอกไม้ขาว พื้นชมพู 2XL</v>
          </cell>
        </row>
        <row r="5691">
          <cell r="A5691" t="str">
            <v>SR0039-L</v>
          </cell>
          <cell r="B5691" t="str">
            <v>R39</v>
          </cell>
          <cell r="C5691" t="str">
            <v>ซาติน เดรส สายเดี่ยว ขายาว ดอกไม้ขาว พื้นชมพู L</v>
          </cell>
        </row>
        <row r="5692">
          <cell r="A5692" t="str">
            <v>SR0039-M</v>
          </cell>
          <cell r="B5692" t="str">
            <v>R39</v>
          </cell>
          <cell r="C5692" t="str">
            <v>ซาติน เดรส สายเดี่ยว ขายาว ดอกไม้ขาว พื้นชมพู M</v>
          </cell>
        </row>
        <row r="5693">
          <cell r="A5693" t="str">
            <v>SR0039-XL</v>
          </cell>
          <cell r="B5693" t="str">
            <v>R39</v>
          </cell>
          <cell r="C5693" t="str">
            <v>ซาติน เดรส สายเดี่ยว ขายาว ดอกไม้ขาว พื้นชมพู XL</v>
          </cell>
        </row>
        <row r="5694">
          <cell r="A5694" t="str">
            <v>SR0040-M</v>
          </cell>
          <cell r="B5694" t="str">
            <v>R40</v>
          </cell>
          <cell r="C5694" t="str">
            <v>ซาติน เดรส สายเดี่ยว ขาสั้น พื้นเขียว ดอกลาเวนเดอร์ M</v>
          </cell>
        </row>
        <row r="5695">
          <cell r="A5695" t="str">
            <v>SR0041-2XL</v>
          </cell>
          <cell r="B5695" t="str">
            <v>R41</v>
          </cell>
          <cell r="C5695" t="str">
            <v>ซาติน เดรส สายเดี่ยว ขายาว พื้นเขียว ดอกลาเวนเดอร์ 2XL</v>
          </cell>
        </row>
        <row r="5696">
          <cell r="A5696" t="str">
            <v>SR0041-L</v>
          </cell>
          <cell r="B5696" t="str">
            <v>R41</v>
          </cell>
          <cell r="C5696" t="str">
            <v>ซาติน เดรส สายเดี่ยว ขายาว พื้นเขียว ดอกลาเวนเดอร์ L</v>
          </cell>
        </row>
        <row r="5697">
          <cell r="A5697" t="str">
            <v>SR0041-XL</v>
          </cell>
          <cell r="B5697" t="str">
            <v>R41</v>
          </cell>
          <cell r="C5697" t="str">
            <v>ซาติน เดรส สายเดี่ยว ขายาว พื้นเขียว ดอกลาเวนเดอร์ XL</v>
          </cell>
        </row>
        <row r="5698">
          <cell r="A5698" t="str">
            <v>SR0042-L</v>
          </cell>
          <cell r="B5698" t="str">
            <v>R42</v>
          </cell>
          <cell r="C5698" t="str">
            <v>ซาติน สายเดี่ยว  Cloundy Sunset L</v>
          </cell>
        </row>
        <row r="5699">
          <cell r="A5699" t="str">
            <v>SR0042-M</v>
          </cell>
          <cell r="B5699" t="str">
            <v>R42</v>
          </cell>
          <cell r="C5699" t="str">
            <v>ซาติน สายเดี่ยว  Cloundy Sunset M</v>
          </cell>
        </row>
        <row r="5700">
          <cell r="A5700" t="str">
            <v>SR0042-S</v>
          </cell>
          <cell r="B5700" t="str">
            <v>R42</v>
          </cell>
          <cell r="C5700" t="str">
            <v>ซาติน สายเดี่ยว  Cloundy Sunset S</v>
          </cell>
        </row>
        <row r="5701">
          <cell r="A5701" t="str">
            <v>SR0042-XL</v>
          </cell>
          <cell r="B5701" t="str">
            <v>R42</v>
          </cell>
          <cell r="C5701" t="str">
            <v>ซาติน สายเดี่ยว  Cloundy Sunset XL</v>
          </cell>
        </row>
        <row r="5702">
          <cell r="A5702" t="str">
            <v>SR0043-2XL</v>
          </cell>
          <cell r="B5702" t="str">
            <v>R43</v>
          </cell>
          <cell r="C5702" t="str">
            <v>ซาติน สายเดี่ยว ขาสั้น กล้วยไม้ พื้นชมพู 2XL</v>
          </cell>
        </row>
        <row r="5703">
          <cell r="A5703" t="str">
            <v>SR0043-L</v>
          </cell>
          <cell r="B5703" t="str">
            <v>R43</v>
          </cell>
          <cell r="C5703" t="str">
            <v>ซาติน สายเดี่ยว ขาสั้น กล้วยไม้ พื้นชมพู L</v>
          </cell>
        </row>
        <row r="5704">
          <cell r="A5704" t="str">
            <v>SR0043-M</v>
          </cell>
          <cell r="B5704" t="str">
            <v>R43</v>
          </cell>
          <cell r="C5704" t="str">
            <v>ซาติน สายเดี่ยว ขาสั้น กล้วยไม้ พื้นชมพู M</v>
          </cell>
        </row>
        <row r="5705">
          <cell r="A5705" t="str">
            <v>SR0043-XL</v>
          </cell>
          <cell r="B5705" t="str">
            <v>R43</v>
          </cell>
          <cell r="C5705" t="str">
            <v>ซาติน สายเดี่ยว ขาสั้น กล้วยไม้ พื้นชมพู XL</v>
          </cell>
        </row>
        <row r="5706">
          <cell r="A5706" t="str">
            <v>SR0128-L</v>
          </cell>
          <cell r="B5706" t="str">
            <v>R128</v>
          </cell>
          <cell r="C5706" t="str">
            <v>ซาติน สายเดี่ยวขายาว ผีเสื้อดอกไม้ เขียว L</v>
          </cell>
        </row>
        <row r="5707">
          <cell r="A5707" t="str">
            <v>SR0128-M</v>
          </cell>
          <cell r="B5707" t="str">
            <v>R128</v>
          </cell>
          <cell r="C5707" t="str">
            <v>ซาติน สายเดี่ยวขายาว ผีเสื้อดอกไม้ พื้นเขียว M</v>
          </cell>
        </row>
        <row r="5708">
          <cell r="A5708" t="str">
            <v>SR0128-XL</v>
          </cell>
          <cell r="B5708" t="str">
            <v>R128</v>
          </cell>
          <cell r="C5708" t="str">
            <v>ซาติน สายเดี่ยวขายาว ผีเสื้อดอกไม้ เขียว XL</v>
          </cell>
        </row>
        <row r="5709">
          <cell r="A5709" t="str">
            <v>SR0330-L</v>
          </cell>
          <cell r="B5709" t="str">
            <v>R330</v>
          </cell>
          <cell r="C5709" t="str">
            <v>ซาติน สายเดี่ยวขายา ปีกัสโซ่ L</v>
          </cell>
        </row>
        <row r="5710">
          <cell r="A5710" t="str">
            <v>SR0330-M</v>
          </cell>
          <cell r="B5710" t="str">
            <v>JR330</v>
          </cell>
          <cell r="C5710" t="str">
            <v>ซาติน สายเดี่ยวขายา ปีกัสโซ่ M ตัวโชว์</v>
          </cell>
        </row>
        <row r="5711">
          <cell r="A5711" t="str">
            <v>SR0330-XL</v>
          </cell>
          <cell r="B5711" t="str">
            <v>R330</v>
          </cell>
          <cell r="C5711" t="str">
            <v>ซาติน สายเดี่ยวขายาว ปีกัสโซ่ XL</v>
          </cell>
        </row>
        <row r="5712">
          <cell r="A5712" t="str">
            <v>SR0331-L</v>
          </cell>
          <cell r="B5712" t="str">
            <v>R331</v>
          </cell>
          <cell r="C5712" t="str">
            <v>ซาติน สายเดี่ยวขายาว ผีเสื้อดอกไม้ พื้นชมพู L</v>
          </cell>
        </row>
        <row r="5713">
          <cell r="A5713" t="str">
            <v>SR0331-M</v>
          </cell>
          <cell r="B5713" t="str">
            <v>R331</v>
          </cell>
          <cell r="C5713" t="str">
            <v>ซาติน สายเดี่ยวขายาว ผีเสื้อดอกไม้ ชมพู M</v>
          </cell>
        </row>
        <row r="5714">
          <cell r="A5714" t="str">
            <v>SR0332-L</v>
          </cell>
          <cell r="B5714" t="str">
            <v>R332</v>
          </cell>
          <cell r="C5714" t="str">
            <v>ซาติน สายเดี่ยวขาสั้น ผู้หญิงแตงโมแมว L</v>
          </cell>
        </row>
        <row r="5715">
          <cell r="A5715" t="str">
            <v>SR0332-M</v>
          </cell>
          <cell r="B5715" t="str">
            <v>R332</v>
          </cell>
          <cell r="C5715" t="str">
            <v>ซาติน สายเดี่ยวขาสั้น ผู้หญิงแตงโมแมว M</v>
          </cell>
        </row>
        <row r="5716">
          <cell r="A5716" t="str">
            <v>SR0333-L</v>
          </cell>
          <cell r="B5716" t="str">
            <v>R333</v>
          </cell>
          <cell r="C5716" t="str">
            <v>ซาติน สายเดี่ยวขายาว ผู้หญิงแตงโมแมว L</v>
          </cell>
        </row>
        <row r="5717">
          <cell r="A5717" t="str">
            <v>SR0333-M</v>
          </cell>
          <cell r="B5717" t="str">
            <v>R333</v>
          </cell>
          <cell r="C5717" t="str">
            <v>ซาติน สายเดี่ยวขายาว ผู้หญิงแตงโมแมว M</v>
          </cell>
        </row>
        <row r="5718">
          <cell r="A5718" t="str">
            <v>SR0334-L</v>
          </cell>
          <cell r="B5718" t="str">
            <v>R334</v>
          </cell>
          <cell r="C5718" t="str">
            <v>ซาติน สายเดี่ยว ขาสั้น กำไลเขียว L</v>
          </cell>
        </row>
        <row r="5719">
          <cell r="A5719" t="str">
            <v>SR0334-M</v>
          </cell>
          <cell r="B5719" t="str">
            <v>R334</v>
          </cell>
          <cell r="C5719" t="str">
            <v>ซาติน สายเดี่ยว ขาสั้น กำไลเขียว M</v>
          </cell>
        </row>
        <row r="5720">
          <cell r="A5720" t="str">
            <v>SR0334-XL</v>
          </cell>
          <cell r="B5720" t="str">
            <v>R334</v>
          </cell>
          <cell r="C5720" t="str">
            <v>ซาติน สายเดี่ยว ขาสั้น  กำไลเขียว XL</v>
          </cell>
        </row>
        <row r="5721">
          <cell r="A5721" t="str">
            <v>SR0335-L</v>
          </cell>
          <cell r="B5721" t="str">
            <v>R335</v>
          </cell>
          <cell r="C5721" t="str">
            <v>ซาติน สายเดี่ยว ขายาว นกกระยาง พื้นฟ้า L</v>
          </cell>
        </row>
        <row r="5722">
          <cell r="A5722" t="str">
            <v>SR0335-M</v>
          </cell>
          <cell r="B5722" t="str">
            <v>R335</v>
          </cell>
          <cell r="C5722" t="str">
            <v>ซาติน สายเดี่ยว ขายาว นกกระยาง พื้นฟ้า M</v>
          </cell>
        </row>
        <row r="5723">
          <cell r="A5723" t="str">
            <v>SR0335-XL</v>
          </cell>
          <cell r="B5723" t="str">
            <v>R335</v>
          </cell>
          <cell r="C5723" t="str">
            <v>ซาติน สายเดี่ยว ขายาว นกกระยาง พื้นฟ้า XL</v>
          </cell>
        </row>
        <row r="5724">
          <cell r="A5724" t="str">
            <v>SR0336-L</v>
          </cell>
          <cell r="B5724" t="str">
            <v>R336</v>
          </cell>
          <cell r="C5724" t="str">
            <v>ซาติน สายเดี่ยว ขายาว กำไลเขียว L</v>
          </cell>
        </row>
        <row r="5725">
          <cell r="A5725" t="str">
            <v>SR0336-M</v>
          </cell>
          <cell r="B5725" t="str">
            <v>R336</v>
          </cell>
          <cell r="C5725" t="str">
            <v>ซาติน สายเดี่ยว ขายาว กำไลเขียว M</v>
          </cell>
        </row>
        <row r="5726">
          <cell r="A5726" t="str">
            <v>SR0336-XL</v>
          </cell>
          <cell r="B5726" t="str">
            <v>R336</v>
          </cell>
          <cell r="C5726" t="str">
            <v>ซาติน สายเดี่ยว ขายาว กำไลเขียว XL</v>
          </cell>
        </row>
        <row r="5727">
          <cell r="A5727" t="str">
            <v>SR0339-F</v>
          </cell>
          <cell r="B5727" t="str">
            <v>R339</v>
          </cell>
          <cell r="C5727" t="str">
            <v>ซาติน เดรส สายเดี่ยว White Maid Black Bow F</v>
          </cell>
        </row>
        <row r="5728">
          <cell r="A5728" t="str">
            <v>SR0340-F</v>
          </cell>
          <cell r="B5728" t="str">
            <v>R340</v>
          </cell>
          <cell r="C5728" t="str">
            <v>ซาติน เดรส สายเดี่ยว Pink Maid White Bow F</v>
          </cell>
        </row>
        <row r="5729">
          <cell r="A5729" t="str">
            <v>SR0341-L</v>
          </cell>
          <cell r="B5729" t="str">
            <v>R341</v>
          </cell>
          <cell r="C5729" t="str">
            <v>ซาติน เดรส สายเดี่ยว ขายาว สวยดอกไม้ พื้นเขียว L</v>
          </cell>
        </row>
        <row r="5730">
          <cell r="A5730" t="str">
            <v>SR0341-XL</v>
          </cell>
          <cell r="B5730" t="str">
            <v>R341</v>
          </cell>
          <cell r="C5730" t="str">
            <v>ซาติน เดรส สายเดี่ยว ขายาว สวยดอกไม้ พื้นเขียว XL</v>
          </cell>
        </row>
        <row r="5731">
          <cell r="A5731" t="str">
            <v>SR0342-L</v>
          </cell>
          <cell r="B5731" t="str">
            <v>R342</v>
          </cell>
          <cell r="C5731" t="str">
            <v>ซาติน เดรส สายเดี่ยว ขาสั้น Paris กางเกงฟ้า L</v>
          </cell>
        </row>
        <row r="5732">
          <cell r="A5732" t="str">
            <v>SR0342-M</v>
          </cell>
          <cell r="B5732" t="str">
            <v>R342</v>
          </cell>
          <cell r="C5732" t="str">
            <v>ซาติน เดรส สายเดี่ยว ขาสั้น Paris กางเกงฟ้า M</v>
          </cell>
        </row>
        <row r="5733">
          <cell r="A5733" t="str">
            <v>SR0342-XL</v>
          </cell>
          <cell r="B5733" t="str">
            <v>R342</v>
          </cell>
          <cell r="C5733" t="str">
            <v>ซาติน เดรส สายเดี่ยว ขาสั้น Paris กางเกงฟ้า XL</v>
          </cell>
        </row>
        <row r="5734">
          <cell r="A5734" t="str">
            <v>SR0343-L</v>
          </cell>
          <cell r="B5734" t="str">
            <v>R343</v>
          </cell>
          <cell r="C5734" t="str">
            <v>ซาติน เดรส สายเดี่ยว ขาสั้น ผีเสิ้อ ชมพู L</v>
          </cell>
        </row>
        <row r="5735">
          <cell r="A5735" t="str">
            <v>SR0344-L</v>
          </cell>
          <cell r="B5735" t="str">
            <v>R344</v>
          </cell>
          <cell r="C5735" t="str">
            <v>ซาติน เดรส สายเดี่ยว ขาสั้น ผีเสิ้อ ฟ้า L</v>
          </cell>
        </row>
        <row r="5736">
          <cell r="A5736" t="str">
            <v>ST0001-2XL</v>
          </cell>
          <cell r="B5736" t="str">
            <v>T1</v>
          </cell>
          <cell r="C5736" t="str">
            <v>ซาติน แขนสั้นขายาว ผีเสื้อ 2XL</v>
          </cell>
        </row>
        <row r="5737">
          <cell r="A5737" t="str">
            <v>ST0001-L</v>
          </cell>
          <cell r="B5737" t="str">
            <v>T1</v>
          </cell>
          <cell r="C5737" t="str">
            <v>ซาติน แขนสั้นขายาว ผีเสื้อ L</v>
          </cell>
        </row>
        <row r="5738">
          <cell r="A5738" t="str">
            <v>ST0001-M</v>
          </cell>
          <cell r="B5738" t="str">
            <v>T1</v>
          </cell>
          <cell r="C5738" t="str">
            <v>ซาติน แขนสั้นขายาว ผีเสื้อ M</v>
          </cell>
        </row>
        <row r="5739">
          <cell r="A5739" t="str">
            <v>ST0001-XL</v>
          </cell>
          <cell r="B5739" t="str">
            <v>T1</v>
          </cell>
          <cell r="C5739" t="str">
            <v>ซาติน แขนสั้นขายาว ผีเสื้อ XL</v>
          </cell>
        </row>
        <row r="5740">
          <cell r="A5740" t="str">
            <v>ST0010-2XL</v>
          </cell>
          <cell r="B5740" t="str">
            <v>T10</v>
          </cell>
          <cell r="C5740" t="str">
            <v>ซาติน แขนสั้นขายาว Totoro พื้นฟ้า 2XL</v>
          </cell>
        </row>
        <row r="5741">
          <cell r="A5741" t="str">
            <v>ST0010-L</v>
          </cell>
          <cell r="B5741" t="str">
            <v>T10</v>
          </cell>
          <cell r="C5741" t="str">
            <v>ซาติน แขนสั้นขายาว Totoro พื้นฟ้า L (กปก)</v>
          </cell>
        </row>
        <row r="5742">
          <cell r="A5742" t="str">
            <v>ST0010-M</v>
          </cell>
          <cell r="B5742" t="str">
            <v>T10</v>
          </cell>
          <cell r="C5742" t="str">
            <v>ซาติน แขนสั้นขายาว Totoro พื้นฟ้า M (กปก)</v>
          </cell>
        </row>
        <row r="5743">
          <cell r="A5743" t="str">
            <v>ST0010-XL</v>
          </cell>
          <cell r="B5743" t="str">
            <v>T10</v>
          </cell>
          <cell r="C5743" t="str">
            <v>ซาติน แขนสั้นขายาว Totoro พื้นฟ้า XL (กปก)</v>
          </cell>
        </row>
        <row r="5744">
          <cell r="A5744" t="str">
            <v>ST0011-2XL</v>
          </cell>
          <cell r="B5744" t="str">
            <v>T11</v>
          </cell>
          <cell r="C5744" t="str">
            <v>ซาติน แขนสั้นขายาว Totoroชมพู 2XL (กปก)</v>
          </cell>
        </row>
        <row r="5745">
          <cell r="A5745" t="str">
            <v>ST0011-L</v>
          </cell>
          <cell r="B5745" t="str">
            <v>T11</v>
          </cell>
          <cell r="C5745" t="str">
            <v>ซาติน แขนสั้นขายาว Totoroชมพู L (กปก)</v>
          </cell>
        </row>
        <row r="5746">
          <cell r="A5746" t="str">
            <v>ST0011-M</v>
          </cell>
          <cell r="B5746" t="str">
            <v>T11</v>
          </cell>
          <cell r="C5746" t="str">
            <v>ซาติน แขนสั้นขายาว Totoroชมพู M (กปก)</v>
          </cell>
        </row>
        <row r="5747">
          <cell r="A5747" t="str">
            <v>ST0011-XL</v>
          </cell>
          <cell r="B5747" t="str">
            <v>T11</v>
          </cell>
          <cell r="C5747" t="str">
            <v>ซาติน แขนสั้นขายาว Totoroชมพู XL (กปก)</v>
          </cell>
        </row>
        <row r="5748">
          <cell r="A5748" t="str">
            <v>ST0022-L</v>
          </cell>
          <cell r="B5748" t="str">
            <v>T22</v>
          </cell>
          <cell r="C5748" t="str">
            <v>ซาติน แขนสั้นขายาว ดอกไม้ส้ม พื้นขาว L</v>
          </cell>
        </row>
        <row r="5749">
          <cell r="A5749" t="str">
            <v>ST0022-M</v>
          </cell>
          <cell r="B5749" t="str">
            <v>T22</v>
          </cell>
          <cell r="C5749" t="str">
            <v>ซาติน แขนสั้นขายาว ดอกไม้ส้ม พื้นขาว M</v>
          </cell>
        </row>
        <row r="5750">
          <cell r="A5750" t="str">
            <v>ST0027-L</v>
          </cell>
          <cell r="B5750" t="str">
            <v>T27</v>
          </cell>
          <cell r="C5750" t="str">
            <v>ซาติน แขนสั้นขายาว ดอกไม้ ส้มฟ้า L</v>
          </cell>
        </row>
        <row r="5751">
          <cell r="A5751" t="str">
            <v>ST0027-M</v>
          </cell>
          <cell r="B5751" t="str">
            <v>T27</v>
          </cell>
          <cell r="C5751" t="str">
            <v>ซาติน แขนสั้นขายาว ดอกไม้ ส้มฟ้า M</v>
          </cell>
        </row>
        <row r="5752">
          <cell r="A5752" t="str">
            <v>ST0028-L</v>
          </cell>
          <cell r="B5752" t="str">
            <v>T28</v>
          </cell>
          <cell r="C5752" t="str">
            <v>ซาติน แขนสั้นขายาว ดอกไม้ นกฟ้า L</v>
          </cell>
        </row>
        <row r="5753">
          <cell r="A5753" t="str">
            <v>ST0028-M</v>
          </cell>
          <cell r="B5753" t="str">
            <v>T28</v>
          </cell>
          <cell r="C5753" t="str">
            <v>ซาติน แขนสั้นขายาว ดอกไม้ นกฟ้า M</v>
          </cell>
        </row>
        <row r="5754">
          <cell r="A5754" t="str">
            <v>ST0029-L</v>
          </cell>
          <cell r="B5754" t="str">
            <v>T29</v>
          </cell>
          <cell r="C5754" t="str">
            <v>ซาติน แขนสั้นขายาว ดอกทานตะวัน L</v>
          </cell>
        </row>
        <row r="5755">
          <cell r="A5755" t="str">
            <v>ST0029-M</v>
          </cell>
          <cell r="B5755" t="str">
            <v>T29</v>
          </cell>
          <cell r="C5755" t="str">
            <v>ซาติน แขนสั้นขายาว ดอกทานตะวัน M</v>
          </cell>
        </row>
        <row r="5756">
          <cell r="A5756" t="str">
            <v>ST0030-F</v>
          </cell>
          <cell r="B5756" t="str">
            <v>T30</v>
          </cell>
          <cell r="C5756" t="str">
            <v>ซาติน แขนสั้นขายาว ส้มดอกไม้ส้ม ฟรีไซด์</v>
          </cell>
        </row>
        <row r="5757">
          <cell r="A5757" t="str">
            <v>ST0033-L</v>
          </cell>
          <cell r="B5757" t="str">
            <v>T33</v>
          </cell>
          <cell r="C5757" t="str">
            <v>ซาติน แขนสั้นขายาว ผลส้ม L</v>
          </cell>
        </row>
        <row r="5758">
          <cell r="A5758" t="str">
            <v>ST0033-M</v>
          </cell>
          <cell r="B5758" t="str">
            <v>T33</v>
          </cell>
          <cell r="C5758" t="str">
            <v>ซาติน แขนสั้นขายาว ผลส้ม M</v>
          </cell>
        </row>
        <row r="5759">
          <cell r="A5759" t="str">
            <v>ST0034-F</v>
          </cell>
          <cell r="B5759" t="str">
            <v>T34</v>
          </cell>
          <cell r="C5759" t="str">
            <v>ซาติน แขนสั้นขายาว สัปปะรดส้ม ฟรีไซด์</v>
          </cell>
        </row>
        <row r="5760">
          <cell r="A5760" t="str">
            <v>ST0037-L</v>
          </cell>
          <cell r="B5760" t="str">
            <v>T37</v>
          </cell>
          <cell r="C5760" t="str">
            <v>ซาติน แขนสั้นขายาว สีครีม L</v>
          </cell>
        </row>
        <row r="5761">
          <cell r="A5761" t="str">
            <v>ST0037-M</v>
          </cell>
          <cell r="B5761" t="str">
            <v>T37</v>
          </cell>
          <cell r="C5761" t="str">
            <v>ซาติน แขนสั้นขายาว สีครีม M</v>
          </cell>
        </row>
        <row r="5762">
          <cell r="A5762" t="str">
            <v>ST0038-L</v>
          </cell>
          <cell r="B5762" t="str">
            <v>T38</v>
          </cell>
          <cell r="C5762" t="str">
            <v>ซาติน แขนสั้นขายาว สีครีม ขอบดำ L</v>
          </cell>
        </row>
        <row r="5763">
          <cell r="A5763" t="str">
            <v>ST0038-M</v>
          </cell>
          <cell r="B5763" t="str">
            <v>T38</v>
          </cell>
          <cell r="C5763" t="str">
            <v>ซาติน แขนสั้นขายาว สีครีม ขอบดำ M</v>
          </cell>
        </row>
        <row r="5764">
          <cell r="A5764" t="str">
            <v>ST0040-L</v>
          </cell>
          <cell r="B5764" t="str">
            <v>T40</v>
          </cell>
          <cell r="C5764" t="str">
            <v>ซาติน แขนสั้นขายาว สีขาว ขอบชมพู L</v>
          </cell>
        </row>
        <row r="5765">
          <cell r="A5765" t="str">
            <v>ST0040-M</v>
          </cell>
          <cell r="B5765" t="str">
            <v>T40</v>
          </cell>
          <cell r="C5765" t="str">
            <v>ซาติน แขนสั้นขายาว สีขาวขอบชมพู M</v>
          </cell>
        </row>
        <row r="5766">
          <cell r="A5766" t="str">
            <v>ST0041-L</v>
          </cell>
          <cell r="B5766" t="str">
            <v>T41</v>
          </cell>
          <cell r="C5766" t="str">
            <v>ซาติน แขนสั้นขายาว สีขาว ขอบดำ L</v>
          </cell>
        </row>
        <row r="5767">
          <cell r="A5767" t="str">
            <v>ST0041-M</v>
          </cell>
          <cell r="B5767" t="str">
            <v>T41</v>
          </cell>
          <cell r="C5767" t="str">
            <v>ซาติน แขนสั้นขายาว สีขาว ขอบดำ M</v>
          </cell>
        </row>
        <row r="5768">
          <cell r="A5768" t="str">
            <v>ST0045-2XL</v>
          </cell>
          <cell r="B5768" t="str">
            <v>T45</v>
          </cell>
          <cell r="C5768" t="str">
            <v>ซาติน แขนสั้นขายาว สีชมพู นู้ด ขอบเงิน 2XL</v>
          </cell>
        </row>
        <row r="5769">
          <cell r="A5769" t="str">
            <v>ST0045-L</v>
          </cell>
          <cell r="B5769" t="str">
            <v>T45</v>
          </cell>
          <cell r="C5769" t="str">
            <v>ซาติน แขนสั้นขายาว สีชมพู  นู้ด ขอบเงิน L (กปก)</v>
          </cell>
        </row>
        <row r="5770">
          <cell r="A5770" t="str">
            <v>ST0045-M</v>
          </cell>
          <cell r="B5770" t="str">
            <v>T45</v>
          </cell>
          <cell r="C5770" t="str">
            <v>ซาติน แขนสั้นขายาว สีชมพู นู้ด ขอบเงิน M (กปก)</v>
          </cell>
        </row>
        <row r="5771">
          <cell r="A5771" t="str">
            <v>ST0045-XL</v>
          </cell>
          <cell r="B5771" t="str">
            <v>T45</v>
          </cell>
          <cell r="C5771" t="str">
            <v>ซาติน แขนสั้นขายาว สีชมพู นู้ด ขอบเงิน XL</v>
          </cell>
        </row>
        <row r="5772">
          <cell r="A5772" t="str">
            <v>ST0047-L</v>
          </cell>
          <cell r="B5772" t="str">
            <v>T47</v>
          </cell>
          <cell r="C5772" t="str">
            <v>ซาติน แขนสั้นขายาว สีกรม ขอบขาว L</v>
          </cell>
        </row>
        <row r="5773">
          <cell r="A5773" t="str">
            <v>ST0047-M</v>
          </cell>
          <cell r="B5773" t="str">
            <v>T47</v>
          </cell>
          <cell r="C5773" t="str">
            <v>ซาติน แขนสั้นขายาว สีกรม ขอบขาว M</v>
          </cell>
        </row>
        <row r="5774">
          <cell r="A5774" t="str">
            <v>ST0048-2XL</v>
          </cell>
          <cell r="B5774" t="str">
            <v>T48</v>
          </cell>
          <cell r="C5774" t="str">
            <v>ซาติน แขนสั้นขายาว สีกรม ขอบชมพู 2XL</v>
          </cell>
        </row>
        <row r="5775">
          <cell r="A5775" t="str">
            <v>ST0048-L</v>
          </cell>
          <cell r="B5775" t="str">
            <v>T48</v>
          </cell>
          <cell r="C5775" t="str">
            <v>ซาติน แขนสั้นขายาว สีกรม ขอบชมพู L (กปก)</v>
          </cell>
        </row>
        <row r="5776">
          <cell r="A5776" t="str">
            <v>ST0048-M</v>
          </cell>
          <cell r="B5776" t="str">
            <v>T48</v>
          </cell>
          <cell r="C5776" t="str">
            <v>ซาติน แขนสั้นขายาว สีกรม ขอบชมพู M (กปก)</v>
          </cell>
        </row>
        <row r="5777">
          <cell r="A5777" t="str">
            <v>ST0048-XL</v>
          </cell>
          <cell r="B5777" t="str">
            <v>T48</v>
          </cell>
          <cell r="C5777" t="str">
            <v>ซาติน แขนสั้นขายาว สีกรม ขอบชมพู XL</v>
          </cell>
        </row>
        <row r="5778">
          <cell r="A5778" t="str">
            <v>ST0056-L</v>
          </cell>
          <cell r="B5778" t="str">
            <v>T56</v>
          </cell>
          <cell r="C5778" t="str">
            <v>ซาติน แขนสั้นขายาว ขาว ปกหัวใจ L</v>
          </cell>
        </row>
        <row r="5779">
          <cell r="A5779" t="str">
            <v>ST0056-M</v>
          </cell>
          <cell r="B5779" t="str">
            <v>T56</v>
          </cell>
          <cell r="C5779" t="str">
            <v>ซาติน แขนสั้นขายาว ขาว ปกหัวใจ M</v>
          </cell>
        </row>
        <row r="5780">
          <cell r="A5780" t="str">
            <v>ST0057-L</v>
          </cell>
          <cell r="B5780" t="str">
            <v>T57</v>
          </cell>
          <cell r="C5780" t="str">
            <v>ซาติน แขนสั้นขายาว ชมพู ปกหัวใจ L (กปก)</v>
          </cell>
        </row>
        <row r="5781">
          <cell r="A5781" t="str">
            <v>ST0057-M</v>
          </cell>
          <cell r="B5781" t="str">
            <v>T57</v>
          </cell>
          <cell r="C5781" t="str">
            <v>ซาติน แขนสั้นขายาว ชมพู ปกหัวใจ M</v>
          </cell>
        </row>
        <row r="5782">
          <cell r="A5782" t="str">
            <v>ST0058-2XL</v>
          </cell>
          <cell r="B5782" t="str">
            <v>T58</v>
          </cell>
          <cell r="C5782" t="str">
            <v>ซาติน แขนสั้นขายาว ลายตารางกรมขอบขาว 2XL</v>
          </cell>
        </row>
        <row r="5783">
          <cell r="A5783" t="str">
            <v>ST0058-F</v>
          </cell>
          <cell r="B5783" t="str">
            <v>T58</v>
          </cell>
          <cell r="C5783" t="str">
            <v>ซาติน แขนสั้นขายาว ลายตารางกรมขอบขาว ฟรีไซด์</v>
          </cell>
        </row>
        <row r="5784">
          <cell r="A5784" t="str">
            <v>ST0058-L</v>
          </cell>
          <cell r="B5784" t="str">
            <v>T58</v>
          </cell>
          <cell r="C5784" t="str">
            <v>ซาติน แขนสั้นขายาว ลายตารางกรมขอบขาว L</v>
          </cell>
        </row>
        <row r="5785">
          <cell r="A5785" t="str">
            <v>ST0058-M</v>
          </cell>
          <cell r="B5785" t="str">
            <v>T58</v>
          </cell>
          <cell r="C5785" t="str">
            <v>ซาติน แขนสั้นขายาว ลายตารางกรมขอบขาว M</v>
          </cell>
        </row>
        <row r="5786">
          <cell r="A5786" t="str">
            <v>ST0058-XL</v>
          </cell>
          <cell r="B5786" t="str">
            <v>T58</v>
          </cell>
          <cell r="C5786" t="str">
            <v>ซาติน แขนสั้นขายาว ลายตารางกรมขอบขาว XL</v>
          </cell>
        </row>
        <row r="5787">
          <cell r="A5787" t="str">
            <v>ST0059-F</v>
          </cell>
          <cell r="B5787" t="str">
            <v>T59</v>
          </cell>
          <cell r="C5787" t="str">
            <v>ซาติน แขนสั้นขายาว ลายตารางชมพูขอบขาว ฟรีไซด์</v>
          </cell>
        </row>
        <row r="5788">
          <cell r="A5788" t="str">
            <v>ST0061-2XL</v>
          </cell>
          <cell r="B5788" t="str">
            <v>JT61</v>
          </cell>
          <cell r="C5788" t="str">
            <v>ซาติน แขนสั้นขายาว ชมพู ส้ม 2XL (กปก) ตัวโชว์</v>
          </cell>
        </row>
        <row r="5789">
          <cell r="A5789" t="str">
            <v>ST0061-L</v>
          </cell>
          <cell r="B5789" t="str">
            <v>JT61</v>
          </cell>
          <cell r="C5789" t="str">
            <v>ซาติน แขนสั้นขายาว ชมพู ส้ม L (กปก) ตัวโชว์</v>
          </cell>
        </row>
        <row r="5790">
          <cell r="A5790" t="str">
            <v>ST0061-M</v>
          </cell>
          <cell r="B5790" t="str">
            <v>ป6</v>
          </cell>
          <cell r="C5790" t="str">
            <v>ซาติน แขนสั้นขายาว ชมพู ส้ม M (กปก)</v>
          </cell>
        </row>
        <row r="5791">
          <cell r="A5791" t="str">
            <v>ST0061-XL</v>
          </cell>
          <cell r="B5791" t="str">
            <v>JT61</v>
          </cell>
          <cell r="C5791" t="str">
            <v>ซาติน แขนสั้นขายาว ชมพู ส้ม XL (กปก) ตัวโชว์</v>
          </cell>
        </row>
        <row r="5792">
          <cell r="A5792" t="str">
            <v>ST0117-L</v>
          </cell>
          <cell r="B5792" t="str">
            <v>T117</v>
          </cell>
          <cell r="C5792" t="str">
            <v>ซาติน แขนสั้นขายาว คอบัว สีครีมม่วง L</v>
          </cell>
        </row>
        <row r="5793">
          <cell r="A5793" t="str">
            <v>ST0117-M</v>
          </cell>
          <cell r="B5793" t="str">
            <v>T117</v>
          </cell>
          <cell r="C5793" t="str">
            <v>ซาติน แขนสั้นขายาว คอบัว สีครีมม่วง M</v>
          </cell>
        </row>
        <row r="5794">
          <cell r="A5794" t="str">
            <v>ST0117-XL</v>
          </cell>
          <cell r="B5794" t="str">
            <v>T117</v>
          </cell>
          <cell r="C5794" t="str">
            <v>ซาติน แขนสั้นขายาว คอบัว สีครีมม่วง XL</v>
          </cell>
        </row>
        <row r="5795">
          <cell r="A5795" t="str">
            <v>ST0127-L</v>
          </cell>
          <cell r="B5795" t="str">
            <v>T127</v>
          </cell>
          <cell r="C5795" t="str">
            <v>ซาติน แขนสั้นขายาว สิงโต พื้นดำ L</v>
          </cell>
        </row>
        <row r="5796">
          <cell r="A5796" t="str">
            <v>ST0127-M</v>
          </cell>
          <cell r="B5796" t="str">
            <v>T127</v>
          </cell>
          <cell r="C5796" t="str">
            <v>ซาติน แขนสั้นขายาว สิงโต พื้นดำ M</v>
          </cell>
        </row>
        <row r="5797">
          <cell r="A5797" t="str">
            <v>ST0128-2XL</v>
          </cell>
          <cell r="B5797" t="str">
            <v>T128</v>
          </cell>
          <cell r="C5797" t="str">
            <v>ซาติน แขนสั้นขายาว ผีเสื้อดอกไม้ เขียว 2XL  (กปก)</v>
          </cell>
        </row>
        <row r="5798">
          <cell r="A5798" t="str">
            <v>ST0128-3XL</v>
          </cell>
          <cell r="B5798" t="str">
            <v>T128</v>
          </cell>
          <cell r="C5798" t="str">
            <v>ซาติน แขนสั้นขายาว ผีเสื้อดอกไม้ เขียว 3XL  (กปก)</v>
          </cell>
        </row>
        <row r="5799">
          <cell r="A5799" t="str">
            <v>ST0128-L</v>
          </cell>
          <cell r="B5799" t="str">
            <v>T128</v>
          </cell>
          <cell r="C5799" t="str">
            <v>ซาติน แขนสั้นขายาว ผีเสื้อดอกไม้ เขียว L (กปก)</v>
          </cell>
        </row>
        <row r="5800">
          <cell r="A5800" t="str">
            <v>ST0128-M</v>
          </cell>
          <cell r="B5800" t="str">
            <v>T128</v>
          </cell>
          <cell r="C5800" t="str">
            <v>ซาติน แขนสั้นขายาว ผีเสื้อดอกไม้ เขียว M (กปก)</v>
          </cell>
        </row>
        <row r="5801">
          <cell r="A5801" t="str">
            <v>ST0128-XL</v>
          </cell>
          <cell r="B5801" t="str">
            <v>T128</v>
          </cell>
          <cell r="C5801" t="str">
            <v>ซาติน แขนสั้นขายาว ผีเสื้อดอกไม้ เขียว XL (กปก)</v>
          </cell>
        </row>
        <row r="5802">
          <cell r="A5802" t="str">
            <v>ST0131-F</v>
          </cell>
          <cell r="B5802" t="str">
            <v>T131</v>
          </cell>
          <cell r="C5802" t="str">
            <v>ซาติน แขนสั้นขายาว หมีพื้นฟ้า Freesize</v>
          </cell>
        </row>
        <row r="5803">
          <cell r="A5803" t="str">
            <v>ST0132-F</v>
          </cell>
          <cell r="B5803" t="str">
            <v>T132</v>
          </cell>
          <cell r="C5803" t="str">
            <v>ซาติน แขนสั้นขายาว หมีพื้นครีม Freesize</v>
          </cell>
        </row>
        <row r="5804">
          <cell r="A5804" t="str">
            <v>ST0135-L</v>
          </cell>
          <cell r="B5804" t="str">
            <v>T135</v>
          </cell>
          <cell r="C5804" t="str">
            <v>ซาติน แขนสั้นขายาว สนูปปี้ สีชมพู L</v>
          </cell>
        </row>
        <row r="5805">
          <cell r="A5805" t="str">
            <v>ST0135-M</v>
          </cell>
          <cell r="B5805" t="str">
            <v>T135</v>
          </cell>
          <cell r="C5805" t="str">
            <v>ซาติน แขนสั้นขายาว สนูปปี้ สีชมพู M</v>
          </cell>
        </row>
        <row r="5806">
          <cell r="A5806" t="str">
            <v>ST0136-L</v>
          </cell>
          <cell r="B5806" t="str">
            <v>T136</v>
          </cell>
          <cell r="C5806" t="str">
            <v>ซาติน แขนสั้นขายาว สนูปปี้ สีเขียว L</v>
          </cell>
        </row>
        <row r="5807">
          <cell r="A5807" t="str">
            <v>ST0136-M</v>
          </cell>
          <cell r="B5807" t="str">
            <v>T136</v>
          </cell>
          <cell r="C5807" t="str">
            <v>ซาติน แขนสั้นขายาว สนูปปี้ สีเขียว M</v>
          </cell>
        </row>
        <row r="5808">
          <cell r="A5808" t="str">
            <v>ST0139-L</v>
          </cell>
          <cell r="B5808" t="str">
            <v>T139</v>
          </cell>
          <cell r="C5808" t="str">
            <v>ซาติน แขนสั้นขายาว พื้นเขียว คอเหลี่ยม L</v>
          </cell>
        </row>
        <row r="5809">
          <cell r="A5809" t="str">
            <v>ST0139-M</v>
          </cell>
          <cell r="B5809" t="str">
            <v>T139</v>
          </cell>
          <cell r="C5809" t="str">
            <v>ซาติน แขนสั้นขายาว พื้นเขียว คอเหลี่ยม M</v>
          </cell>
        </row>
        <row r="5810">
          <cell r="A5810" t="str">
            <v>ST0140-L</v>
          </cell>
          <cell r="B5810" t="str">
            <v>T140</v>
          </cell>
          <cell r="C5810" t="str">
            <v>ซาติน แขนสั้นขายาว พื้นขาว คอเหลี่ยม L</v>
          </cell>
        </row>
        <row r="5811">
          <cell r="A5811" t="str">
            <v>ST0140-M</v>
          </cell>
          <cell r="B5811" t="str">
            <v>T140</v>
          </cell>
          <cell r="C5811" t="str">
            <v>ซาติน แขนสั้นขายาว พื้นขาว คอเหลี่ยม M</v>
          </cell>
        </row>
        <row r="5812">
          <cell r="A5812" t="str">
            <v>ST0141-L</v>
          </cell>
          <cell r="B5812" t="str">
            <v>T141</v>
          </cell>
          <cell r="C5812" t="str">
            <v>ซาติน แขนสั้นขายาว พื้นชมพู คอเหลี่ยม L</v>
          </cell>
        </row>
        <row r="5813">
          <cell r="A5813" t="str">
            <v>ST0141-M</v>
          </cell>
          <cell r="B5813" t="str">
            <v>T141</v>
          </cell>
          <cell r="C5813" t="str">
            <v>ซาติน แขนสั้นขายาว พื้นชมพู คอเหลี่ยม M</v>
          </cell>
        </row>
        <row r="5814">
          <cell r="A5814" t="str">
            <v>ST0142-L</v>
          </cell>
          <cell r="B5814" t="str">
            <v>T142</v>
          </cell>
          <cell r="C5814" t="str">
            <v>ซาติน แขนสั้นขายาว เหลืองขอบเขียว ลายหัวใจ L</v>
          </cell>
        </row>
        <row r="5815">
          <cell r="A5815" t="str">
            <v>ST0142-M</v>
          </cell>
          <cell r="B5815" t="str">
            <v>T142</v>
          </cell>
          <cell r="C5815" t="str">
            <v>ซาติน แขนสั้นขายาว เหลืองขอบเขียว ลายหัวใจ M</v>
          </cell>
        </row>
        <row r="5816">
          <cell r="A5816" t="str">
            <v>ST0181-L</v>
          </cell>
          <cell r="B5816" t="str">
            <v>T181</v>
          </cell>
          <cell r="C5816" t="str">
            <v>ซาติน แขนสั้นขายาว สีครีม ขอบเงิน L (กปก)</v>
          </cell>
        </row>
        <row r="5817">
          <cell r="A5817" t="str">
            <v>ST0181-M</v>
          </cell>
          <cell r="B5817" t="str">
            <v>T181</v>
          </cell>
          <cell r="C5817" t="str">
            <v>ซาติน แขนสั้นขายาว สีครีม ขอบเงิน M (กปก)</v>
          </cell>
        </row>
        <row r="5818">
          <cell r="A5818" t="str">
            <v>ST0187-L</v>
          </cell>
          <cell r="B5818" t="str">
            <v>JT187</v>
          </cell>
          <cell r="C5818" t="str">
            <v>ซาตินแขนสั้นขายาว สีฟ้า ขอบชมพู L (กปก) ตัวโชว์</v>
          </cell>
        </row>
        <row r="5819">
          <cell r="A5819" t="str">
            <v>ST0187-M</v>
          </cell>
          <cell r="B5819" t="str">
            <v>JT187</v>
          </cell>
          <cell r="C5819" t="str">
            <v>ซาตินแขนสั้นขายาว สีฟ้า ขอบชมพู M (กปก) ตัวโชว์</v>
          </cell>
        </row>
        <row r="5820">
          <cell r="A5820" t="str">
            <v>ST0194-F</v>
          </cell>
          <cell r="B5820" t="str">
            <v>T194</v>
          </cell>
          <cell r="C5820" t="str">
            <v>ซาติน แขนสั้นขายาว แมวเหลือง ปกแดง ฟรีไซส์</v>
          </cell>
        </row>
        <row r="5821">
          <cell r="A5821" t="str">
            <v>ST0195-F</v>
          </cell>
          <cell r="B5821" t="str">
            <v>T195</v>
          </cell>
          <cell r="C5821" t="str">
            <v>ซาติน แขนสั้นขายาว แมวเขียว ปกเหลือง ฟรีไซส์</v>
          </cell>
        </row>
        <row r="5822">
          <cell r="A5822" t="str">
            <v>ST0206-F</v>
          </cell>
          <cell r="B5822" t="str">
            <v>T206</v>
          </cell>
          <cell r="C5822" t="str">
            <v>ซาติน แขนห้าส่วน ขายาว เห็ดส้ม พื้นขาว ฟรีไซส์</v>
          </cell>
        </row>
        <row r="5823">
          <cell r="A5823" t="str">
            <v>ST0207-F</v>
          </cell>
          <cell r="B5823" t="str">
            <v>T207</v>
          </cell>
          <cell r="C5823" t="str">
            <v>ซาตินแขนสั้นขายาว กระต่ายชมพู ฟรีไซส์</v>
          </cell>
        </row>
        <row r="5824">
          <cell r="A5824" t="str">
            <v>ST0213-2XL</v>
          </cell>
          <cell r="B5824" t="str">
            <v>JT213</v>
          </cell>
          <cell r="C5824" t="str">
            <v>ซาติน แขนสั้นขายาว สีโอรสขอบเงินลายหัวใจ 2XL  (กปก) ตัวโชว์</v>
          </cell>
        </row>
        <row r="5825">
          <cell r="A5825" t="str">
            <v>ST0213-L</v>
          </cell>
          <cell r="B5825" t="str">
            <v>JT213</v>
          </cell>
          <cell r="C5825" t="str">
            <v>ซาติน แขนสั้นขายาว สีโอรสขอบเงินลายหัวใจ L (กปก) ตัวโชว์</v>
          </cell>
        </row>
        <row r="5826">
          <cell r="A5826" t="str">
            <v>ST0213-M</v>
          </cell>
          <cell r="B5826" t="str">
            <v>JT213</v>
          </cell>
          <cell r="C5826" t="str">
            <v>ซาติน แขนสั้นขายาว สีโอรสขอบเงินลายหัวใจ M (กปก) ตัวโชว์</v>
          </cell>
        </row>
        <row r="5827">
          <cell r="A5827" t="str">
            <v>ST0213-XL</v>
          </cell>
          <cell r="B5827" t="str">
            <v>JT213</v>
          </cell>
          <cell r="C5827" t="str">
            <v>ซาติน แขนสั้นขายาว สีโอรสขอบเงินลายหัวใจ XL (กปก) ตัวโชว์</v>
          </cell>
        </row>
        <row r="5828">
          <cell r="A5828" t="str">
            <v>ST0214-L</v>
          </cell>
          <cell r="B5828" t="str">
            <v>T214</v>
          </cell>
          <cell r="C5828" t="str">
            <v>ซาติน แขนสั้นขายาว สีชมพูนู๊ดขอบเงินลายหัวใจ L</v>
          </cell>
        </row>
        <row r="5829">
          <cell r="A5829" t="str">
            <v>ST0214-M</v>
          </cell>
          <cell r="B5829" t="str">
            <v>T214</v>
          </cell>
          <cell r="C5829" t="str">
            <v>ซาติน แขนสั้นขายาว สีชมพูนู๊ดขอบเงินลายหัวใจ M</v>
          </cell>
        </row>
        <row r="5830">
          <cell r="A5830" t="str">
            <v>ST0214-XL</v>
          </cell>
          <cell r="B5830" t="str">
            <v>T214</v>
          </cell>
          <cell r="C5830" t="str">
            <v>ซาติน แขนสั้นขายาว สีชมพูนู๊ดขอบเงินลายหัวใจ XL</v>
          </cell>
        </row>
        <row r="5831">
          <cell r="A5831" t="str">
            <v>ST0216-L</v>
          </cell>
          <cell r="B5831" t="str">
            <v>T216</v>
          </cell>
          <cell r="C5831" t="str">
            <v>ซาติน แขนสั้นขายาว ดอกไม้ ปกเขียว L</v>
          </cell>
        </row>
        <row r="5832">
          <cell r="A5832" t="str">
            <v>ST0216-M</v>
          </cell>
          <cell r="B5832" t="str">
            <v>T216</v>
          </cell>
          <cell r="C5832" t="str">
            <v>ซาติน แขนสั้นขายาว ดอกไม้ ปกเขียว M</v>
          </cell>
        </row>
        <row r="5833">
          <cell r="A5833" t="str">
            <v>ST0216-XL</v>
          </cell>
          <cell r="B5833" t="str">
            <v>T216</v>
          </cell>
          <cell r="C5833" t="str">
            <v>ซาติน แขนสั้นขายาว ดอกไม้ ปกเขียว XL</v>
          </cell>
        </row>
        <row r="5834">
          <cell r="A5834" t="str">
            <v>ST0237-2XL</v>
          </cell>
          <cell r="B5834" t="str">
            <v>T237</v>
          </cell>
          <cell r="C5834" t="str">
            <v>ซาติน แขนสั้นขายาว ภาพวาด 2XL</v>
          </cell>
        </row>
        <row r="5835">
          <cell r="A5835" t="str">
            <v>ST0237-L</v>
          </cell>
          <cell r="B5835" t="str">
            <v>T237</v>
          </cell>
          <cell r="C5835" t="str">
            <v>ซาติน แขนสั้นขายาว ภาพวาด L</v>
          </cell>
        </row>
        <row r="5836">
          <cell r="A5836" t="str">
            <v>ST0237-M</v>
          </cell>
          <cell r="B5836" t="str">
            <v>T237</v>
          </cell>
          <cell r="C5836" t="str">
            <v>ซาติน แขนสั้นขายาว ภาพวาด M</v>
          </cell>
        </row>
        <row r="5837">
          <cell r="A5837" t="str">
            <v>ST0237-XL</v>
          </cell>
          <cell r="B5837" t="str">
            <v>T237</v>
          </cell>
          <cell r="C5837" t="str">
            <v>ซาติน แขนสั้นขายาว ภาพวาด XL</v>
          </cell>
        </row>
        <row r="5838">
          <cell r="A5838" t="str">
            <v>ST0240-L</v>
          </cell>
          <cell r="B5838" t="str">
            <v>T240</v>
          </cell>
          <cell r="C5838" t="str">
            <v>ซาติน  แขนสั้นขายาว จุดดำ พื้นครีม L</v>
          </cell>
        </row>
        <row r="5839">
          <cell r="A5839" t="str">
            <v>ST0240-M</v>
          </cell>
          <cell r="B5839" t="str">
            <v>T240</v>
          </cell>
          <cell r="C5839" t="str">
            <v>ซาติน  แขนสั้นขายาว จุดดำ พื้นครีม M</v>
          </cell>
        </row>
        <row r="5840">
          <cell r="A5840" t="str">
            <v>ST0240-S</v>
          </cell>
          <cell r="B5840" t="str">
            <v>T240</v>
          </cell>
          <cell r="C5840" t="str">
            <v>ซาติน  แขนสั้นขายาว จุดดำ พื้นครีม S</v>
          </cell>
        </row>
        <row r="5841">
          <cell r="A5841" t="str">
            <v>ST0246-2XL</v>
          </cell>
          <cell r="B5841" t="str">
            <v>T246</v>
          </cell>
          <cell r="C5841" t="str">
            <v>ซาติน แขนสั้นขายาว เสือ พื้นชมพู 2XL</v>
          </cell>
        </row>
        <row r="5842">
          <cell r="A5842" t="str">
            <v>ST0246-L</v>
          </cell>
          <cell r="B5842" t="str">
            <v>T246</v>
          </cell>
          <cell r="C5842" t="str">
            <v>ซาติน แขนสั้นขายาว เสือ พื้นชมพู L</v>
          </cell>
        </row>
        <row r="5843">
          <cell r="A5843" t="str">
            <v>ST0246-M</v>
          </cell>
          <cell r="B5843" t="str">
            <v>T246</v>
          </cell>
          <cell r="C5843" t="str">
            <v>ซาติน แขนสั้นขายาว เสือ พื้นชมพู M</v>
          </cell>
        </row>
        <row r="5844">
          <cell r="A5844" t="str">
            <v>ST0246-XL</v>
          </cell>
          <cell r="B5844" t="str">
            <v>T246</v>
          </cell>
          <cell r="C5844" t="str">
            <v>ซาติน แขนสั้นขายาว เสือ พื้นชมพู XL</v>
          </cell>
        </row>
        <row r="5845">
          <cell r="A5845" t="str">
            <v>ST0255-2XL</v>
          </cell>
          <cell r="B5845" t="str">
            <v>T255</v>
          </cell>
          <cell r="C5845" t="str">
            <v>ซาติน แขนสั้นขายาว ซากูระขาว พื้นเขียว 2XL</v>
          </cell>
        </row>
        <row r="5846">
          <cell r="A5846" t="str">
            <v>ST0255-L</v>
          </cell>
          <cell r="B5846" t="str">
            <v>T255</v>
          </cell>
          <cell r="C5846" t="str">
            <v>ซาติน แขนสั้นขายาว ซากูระขาว พื้นเขียว L</v>
          </cell>
        </row>
        <row r="5847">
          <cell r="A5847" t="str">
            <v>ST0255-M</v>
          </cell>
          <cell r="B5847" t="str">
            <v>T255</v>
          </cell>
          <cell r="C5847" t="str">
            <v>ซาติน แขนสั้นขายาว ซากูระขาว พื้นเขียว M</v>
          </cell>
        </row>
        <row r="5848">
          <cell r="A5848" t="str">
            <v>ST0255-XL</v>
          </cell>
          <cell r="B5848" t="str">
            <v>T255</v>
          </cell>
          <cell r="C5848" t="str">
            <v>ซาติน แขนสั้นขายาว ซากูระขาว พื้นเขียว XL</v>
          </cell>
        </row>
        <row r="5849">
          <cell r="A5849" t="str">
            <v>ST0256-L</v>
          </cell>
          <cell r="B5849" t="str">
            <v>T256</v>
          </cell>
          <cell r="C5849" t="str">
            <v>ซาติน แขนสั้นขายาว ซากูระชมพู L</v>
          </cell>
        </row>
        <row r="5850">
          <cell r="A5850" t="str">
            <v>ST0256-M</v>
          </cell>
          <cell r="B5850" t="str">
            <v>T256</v>
          </cell>
          <cell r="C5850" t="str">
            <v>ซาติน แขนสั้นขายาว ซากูระชมพู M</v>
          </cell>
        </row>
        <row r="5851">
          <cell r="A5851" t="str">
            <v>ST0256-XL</v>
          </cell>
          <cell r="B5851" t="str">
            <v>T256</v>
          </cell>
          <cell r="C5851" t="str">
            <v>ซาติน แขนสั้นขายาว ซากูระชมพู XL</v>
          </cell>
        </row>
        <row r="5852">
          <cell r="A5852" t="str">
            <v>ST0269-2XL</v>
          </cell>
          <cell r="B5852" t="str">
            <v>T269</v>
          </cell>
          <cell r="C5852" t="str">
            <v>ซาติน แขนสั้นขายาว เสือดำ 2XL</v>
          </cell>
        </row>
        <row r="5853">
          <cell r="A5853" t="str">
            <v>ST0269-L</v>
          </cell>
          <cell r="B5853" t="str">
            <v>T269</v>
          </cell>
          <cell r="C5853" t="str">
            <v>ซาติน แขนสั้นขายาว เสือดำ L</v>
          </cell>
        </row>
        <row r="5854">
          <cell r="A5854" t="str">
            <v>ST0269-M</v>
          </cell>
          <cell r="B5854" t="str">
            <v>T269</v>
          </cell>
          <cell r="C5854" t="str">
            <v>ซาติน แขนสั้นขายาว เสือดำ M</v>
          </cell>
        </row>
        <row r="5855">
          <cell r="A5855" t="str">
            <v>ST0269-XL</v>
          </cell>
          <cell r="B5855" t="str">
            <v>T269</v>
          </cell>
          <cell r="C5855" t="str">
            <v>ซาติน แขนสั้นขายาว เสือดำ XL</v>
          </cell>
        </row>
        <row r="5856">
          <cell r="A5856" t="str">
            <v>ST0270-L</v>
          </cell>
          <cell r="B5856" t="str">
            <v>T270</v>
          </cell>
          <cell r="C5856" t="str">
            <v>ซาติน แขนสั้นขายาว จุดขาวใหญ่ พื้นชมพู L</v>
          </cell>
        </row>
        <row r="5857">
          <cell r="A5857" t="str">
            <v>ST0270-M</v>
          </cell>
          <cell r="B5857" t="str">
            <v>BT270</v>
          </cell>
          <cell r="C5857" t="str">
            <v>ซาติน แขนสั้นขายาว จุดขาวใหญ่ พื้นชมพู M</v>
          </cell>
        </row>
        <row r="5858">
          <cell r="A5858" t="str">
            <v>ST0271-L</v>
          </cell>
          <cell r="B5858" t="str">
            <v>T271</v>
          </cell>
          <cell r="C5858" t="str">
            <v>ซาติน แขนสั้นขายาว จุดกรมใหญ่ พื้นม่วง L</v>
          </cell>
        </row>
        <row r="5859">
          <cell r="A5859" t="str">
            <v>ST0271-M</v>
          </cell>
          <cell r="B5859" t="str">
            <v>T271</v>
          </cell>
          <cell r="C5859" t="str">
            <v>ซาติน แขนสั้นขายาว จุดกรมใหญ่ พื้นม่วง M</v>
          </cell>
        </row>
        <row r="5860">
          <cell r="A5860" t="str">
            <v>ST0272-L</v>
          </cell>
          <cell r="B5860" t="str">
            <v>T272</v>
          </cell>
          <cell r="C5860" t="str">
            <v>ซาติน แขนสั้นขายาว อลิส ชุดแดง พื้นชมพู L</v>
          </cell>
        </row>
        <row r="5861">
          <cell r="A5861" t="str">
            <v>ST0272-M</v>
          </cell>
          <cell r="B5861" t="str">
            <v>T272</v>
          </cell>
          <cell r="C5861" t="str">
            <v>ซาติน แขนสั้นขายาว อลิส ชุดแดง พื้นชมพู M</v>
          </cell>
        </row>
        <row r="5862">
          <cell r="A5862" t="str">
            <v>ST0272-XL</v>
          </cell>
          <cell r="B5862" t="str">
            <v>T272</v>
          </cell>
          <cell r="C5862" t="str">
            <v>ซาติน แขนสั้นขายาว อลิส ชุดแดง พื้นชมพู XL</v>
          </cell>
        </row>
        <row r="5863">
          <cell r="A5863" t="str">
            <v>ST0273-L</v>
          </cell>
          <cell r="B5863" t="str">
            <v>T273</v>
          </cell>
          <cell r="C5863" t="str">
            <v>ซาติน แขนสั้นขายาว ผู้สาวคนงาม กับผู้บ่าวกินแมว L</v>
          </cell>
        </row>
        <row r="5864">
          <cell r="A5864" t="str">
            <v>ST0273-M</v>
          </cell>
          <cell r="B5864" t="str">
            <v>T273</v>
          </cell>
          <cell r="C5864" t="str">
            <v>ซาติน แขนสั้นขายาว ผู้สาวคนงาม กับผู้บ่าวกินแมว M</v>
          </cell>
        </row>
        <row r="5865">
          <cell r="A5865" t="str">
            <v>ST0273-XL</v>
          </cell>
          <cell r="B5865" t="str">
            <v>T273</v>
          </cell>
          <cell r="C5865" t="str">
            <v>ซาติน แขนสั้นขายาว ผู้สาวคนงาม กับผู้บ่าวกินแมว XL</v>
          </cell>
        </row>
        <row r="5866">
          <cell r="A5866" t="str">
            <v>ST0279-S</v>
          </cell>
          <cell r="B5866" t="str">
            <v>T279</v>
          </cell>
          <cell r="C5866" t="str">
            <v>ซาติน แขนสั้นขายาว จุด ขอบเขียว S</v>
          </cell>
        </row>
        <row r="5867">
          <cell r="A5867" t="str">
            <v>ST0298-2XL</v>
          </cell>
          <cell r="B5867" t="str">
            <v>JT298</v>
          </cell>
          <cell r="C5867" t="str">
            <v>ซาติน แขนสั้นขายาว teddy bear พื้นน้ำตาล 2XL (กปก) ตัวโชว์</v>
          </cell>
        </row>
        <row r="5868">
          <cell r="A5868" t="str">
            <v>ST0298-L</v>
          </cell>
          <cell r="B5868" t="str">
            <v>JT298</v>
          </cell>
          <cell r="C5868" t="str">
            <v>ซาติน แขนสั้นขายาว teddy bear พื้นน้ำตาล L (กปก) ตัวโชว์</v>
          </cell>
        </row>
        <row r="5869">
          <cell r="A5869" t="str">
            <v>ST0298-M</v>
          </cell>
          <cell r="B5869" t="str">
            <v>JT298</v>
          </cell>
          <cell r="C5869" t="str">
            <v>ซาติน แขนสั้นขายาว teddy bear พื้นน้ำตาล M (กปก) ตัวโชว์</v>
          </cell>
        </row>
        <row r="5870">
          <cell r="A5870" t="str">
            <v>ST0298-XL</v>
          </cell>
          <cell r="B5870" t="str">
            <v>JT298</v>
          </cell>
          <cell r="C5870" t="str">
            <v>ซาติน แขนสั้นขายาว teddy bear พื้นน้ำตาล XL (กปก) ตัวโชว์</v>
          </cell>
        </row>
        <row r="5871">
          <cell r="A5871" t="str">
            <v>ST0300-2XL</v>
          </cell>
          <cell r="B5871" t="str">
            <v>T300</v>
          </cell>
          <cell r="C5871" t="str">
            <v>ซาติน แขนสั้นขายาว บอนไซ พื้นครีม 2XL</v>
          </cell>
        </row>
        <row r="5872">
          <cell r="A5872" t="str">
            <v>ST0300-L</v>
          </cell>
          <cell r="B5872" t="str">
            <v>T300</v>
          </cell>
          <cell r="C5872" t="str">
            <v>ซาติน แขนสั้นขายาว บอนไซ พื้นครีม L</v>
          </cell>
        </row>
        <row r="5873">
          <cell r="A5873" t="str">
            <v>ST0300-M</v>
          </cell>
          <cell r="B5873" t="str">
            <v>T300</v>
          </cell>
          <cell r="C5873" t="str">
            <v>ซาติน แขนสั้นขายาว บอนไซ พื้นครีม M</v>
          </cell>
        </row>
        <row r="5874">
          <cell r="A5874" t="str">
            <v>ST0300-XL</v>
          </cell>
          <cell r="B5874" t="str">
            <v>T300</v>
          </cell>
          <cell r="C5874" t="str">
            <v>ซาติน แขนสั้นขายาว บอนไซ พื้นครีม XL</v>
          </cell>
        </row>
        <row r="5875">
          <cell r="A5875" t="str">
            <v>ST0301-2XL</v>
          </cell>
          <cell r="B5875" t="str">
            <v>T301</v>
          </cell>
          <cell r="C5875" t="str">
            <v>ซาติน แขนสั้นขายาว ผู้หญิง ผู้ชาย พื้นชมพู 2XL</v>
          </cell>
        </row>
        <row r="5876">
          <cell r="A5876" t="str">
            <v>ST0301-L</v>
          </cell>
          <cell r="B5876" t="str">
            <v>T301</v>
          </cell>
          <cell r="C5876" t="str">
            <v>ซาติน แขนสั้นขายาว ผู้หญิง ผู้ชาย พื้นชมพู L</v>
          </cell>
        </row>
        <row r="5877">
          <cell r="A5877" t="str">
            <v>ST0301-M</v>
          </cell>
          <cell r="B5877" t="str">
            <v>T301</v>
          </cell>
          <cell r="C5877" t="str">
            <v>ซาติน แขนสั้นขายาว ผู้หญิง ผู้ชาย พื้นชมพู M</v>
          </cell>
        </row>
        <row r="5878">
          <cell r="A5878" t="str">
            <v>ST0301-XL</v>
          </cell>
          <cell r="B5878" t="str">
            <v>T301</v>
          </cell>
          <cell r="C5878" t="str">
            <v>ซาติน แขนสั้นขายาว ผู้หญิง ผู้ชาย พื้นชมพู XL</v>
          </cell>
        </row>
        <row r="5879">
          <cell r="A5879" t="str">
            <v>ST0320-2XL</v>
          </cell>
          <cell r="B5879" t="str">
            <v>T320</v>
          </cell>
          <cell r="C5879" t="str">
            <v>ซาติน แขนสั้นขายาว ลายมะพร้าว สีพาสเทล 2XL</v>
          </cell>
        </row>
        <row r="5880">
          <cell r="A5880" t="str">
            <v>ST0320-L</v>
          </cell>
          <cell r="B5880" t="str">
            <v>T320</v>
          </cell>
          <cell r="C5880" t="str">
            <v>ซาติน แขนสั้นขายาว ลายมะพร้าว สีพาสเทล L</v>
          </cell>
        </row>
        <row r="5881">
          <cell r="A5881" t="str">
            <v>ST0320-M</v>
          </cell>
          <cell r="B5881" t="str">
            <v>T320</v>
          </cell>
          <cell r="C5881" t="str">
            <v>ซาติน แขนสั้นขายาว ลายมะพร้าว สีพาสเทล M</v>
          </cell>
        </row>
        <row r="5882">
          <cell r="A5882" t="str">
            <v>ST0320-XL</v>
          </cell>
          <cell r="B5882" t="str">
            <v>T320</v>
          </cell>
          <cell r="C5882" t="str">
            <v>ซาติน แขนสั้นขายาว ลายมะพร้าว สีพาสเทล XL</v>
          </cell>
        </row>
        <row r="5883">
          <cell r="A5883" t="str">
            <v>ST0326-2XL</v>
          </cell>
          <cell r="B5883" t="str">
            <v>T326</v>
          </cell>
          <cell r="C5883" t="str">
            <v>ซาติน แขนสั้นขายาว แคนวาส พื้นครีม 2XL กปก</v>
          </cell>
        </row>
        <row r="5884">
          <cell r="A5884" t="str">
            <v>ST0326-3XL</v>
          </cell>
          <cell r="B5884" t="str">
            <v>T326</v>
          </cell>
          <cell r="C5884" t="str">
            <v>ซาติน แขนสั้นขายาว แคนวาส พื้นครีม 3XL กปก</v>
          </cell>
        </row>
        <row r="5885">
          <cell r="A5885" t="str">
            <v>ST0326-L</v>
          </cell>
          <cell r="B5885" t="str">
            <v>T326</v>
          </cell>
          <cell r="C5885" t="str">
            <v>ซาติน แขนสั้นขายาว แคนวาส พื้นครีม L กปก</v>
          </cell>
        </row>
        <row r="5886">
          <cell r="A5886" t="str">
            <v>ST0326-M</v>
          </cell>
          <cell r="B5886" t="str">
            <v>T326</v>
          </cell>
          <cell r="C5886" t="str">
            <v>ซาติน แขนสั้นขายาว แคนวาส พื้นครีม M กปก</v>
          </cell>
        </row>
        <row r="5887">
          <cell r="A5887" t="str">
            <v>ST0326-XL</v>
          </cell>
          <cell r="B5887" t="str">
            <v>T326</v>
          </cell>
          <cell r="C5887" t="str">
            <v>ซาติน แขนสั้นขายาว แคนวาส พื้นครีม XL กปก</v>
          </cell>
        </row>
        <row r="5888">
          <cell r="A5888" t="str">
            <v>ST0330-2XL</v>
          </cell>
          <cell r="B5888" t="str">
            <v>T330</v>
          </cell>
          <cell r="C5888" t="str">
            <v>ซาติน แขนสั้นขายาว ปีกัสโซ่ 2XL</v>
          </cell>
        </row>
        <row r="5889">
          <cell r="A5889" t="str">
            <v>ST0330-L</v>
          </cell>
          <cell r="B5889" t="str">
            <v>BT330</v>
          </cell>
          <cell r="C5889" t="str">
            <v>ซาติน แขนสั้นขายาว ปีกัสโซ่ L</v>
          </cell>
        </row>
        <row r="5890">
          <cell r="A5890" t="str">
            <v>ST0330-M</v>
          </cell>
          <cell r="B5890" t="str">
            <v>T330</v>
          </cell>
          <cell r="C5890" t="str">
            <v>ซาติน แขนสั้นขายาว ปีกัสโซ่ M</v>
          </cell>
        </row>
        <row r="5891">
          <cell r="A5891" t="str">
            <v>ST0330-XL</v>
          </cell>
          <cell r="B5891" t="str">
            <v>T330</v>
          </cell>
          <cell r="C5891" t="str">
            <v>ซาติน แขนสั้นขายาว ปีกัสโซ่ XL</v>
          </cell>
        </row>
        <row r="5892">
          <cell r="A5892" t="str">
            <v>ST0331-L</v>
          </cell>
          <cell r="B5892" t="str">
            <v>T331</v>
          </cell>
          <cell r="C5892" t="str">
            <v>ซาติน แขนสั้นขายาว ตารางดำ ส้ม L</v>
          </cell>
        </row>
        <row r="5893">
          <cell r="A5893" t="str">
            <v>ST0331-M</v>
          </cell>
          <cell r="B5893" t="str">
            <v>T331</v>
          </cell>
          <cell r="C5893" t="str">
            <v>ซาติน แขนสั้นขายาว ตารางดำ ส้ม M</v>
          </cell>
        </row>
        <row r="5894">
          <cell r="A5894" t="str">
            <v>ST0331-XL</v>
          </cell>
          <cell r="B5894" t="str">
            <v>T331</v>
          </cell>
          <cell r="C5894" t="str">
            <v>ซาติน แขนสั้นขายาว ตารางดำ ส้ม XL</v>
          </cell>
        </row>
        <row r="5895">
          <cell r="A5895" t="str">
            <v>ST0332-L</v>
          </cell>
          <cell r="B5895" t="str">
            <v>T332</v>
          </cell>
          <cell r="C5895" t="str">
            <v>ซาติน แขนสั้นขายาว แมว กุหลาบแดง พื้นเขียว L</v>
          </cell>
        </row>
        <row r="5896">
          <cell r="A5896" t="str">
            <v>ST0332-XL</v>
          </cell>
          <cell r="B5896" t="str">
            <v>T332</v>
          </cell>
          <cell r="C5896" t="str">
            <v>ซาติน แขนสั้นขายาว แมว กุหลาบแดง พื้นเขียว XL</v>
          </cell>
        </row>
        <row r="5897">
          <cell r="A5897" t="str">
            <v>ST0333-L</v>
          </cell>
          <cell r="B5897" t="str">
            <v>T333</v>
          </cell>
          <cell r="C5897" t="str">
            <v>ซาติน แขนสั้นขายาว แมว กุหลาบแดง พื้นขาว L</v>
          </cell>
        </row>
        <row r="5898">
          <cell r="A5898" t="str">
            <v>ST0333-M</v>
          </cell>
          <cell r="B5898" t="str">
            <v>T333</v>
          </cell>
          <cell r="C5898" t="str">
            <v>ซาติน แขนสั้นขายาว แมว กุหลาบแดง พื้นขาว M</v>
          </cell>
        </row>
        <row r="5899">
          <cell r="A5899" t="str">
            <v>ST0333-XL</v>
          </cell>
          <cell r="B5899" t="str">
            <v>T333</v>
          </cell>
          <cell r="C5899" t="str">
            <v>ซาติน แขนสั้นขายาว แมว กุหลาบแดง พื้นขาว XL</v>
          </cell>
        </row>
        <row r="5900">
          <cell r="A5900" t="str">
            <v>ST0334-L</v>
          </cell>
          <cell r="B5900" t="str">
            <v>T334</v>
          </cell>
          <cell r="C5900" t="str">
            <v>ซาติน แขนสั้นขายาว ลายทางเขียว คิวปิด L</v>
          </cell>
        </row>
        <row r="5901">
          <cell r="A5901" t="str">
            <v>ST0334-M</v>
          </cell>
          <cell r="B5901" t="str">
            <v>T334</v>
          </cell>
          <cell r="C5901" t="str">
            <v>ซาติน แขนสั้นขายาว ลายทางเขียว คิวปิด M</v>
          </cell>
        </row>
        <row r="5902">
          <cell r="A5902" t="str">
            <v>ST0334-XL</v>
          </cell>
          <cell r="B5902" t="str">
            <v>T334</v>
          </cell>
          <cell r="C5902" t="str">
            <v>ซาติน แขนสั้นขายาว ลายทางเขียว คิวปิด XL</v>
          </cell>
        </row>
        <row r="5903">
          <cell r="A5903" t="str">
            <v>ST0335-L</v>
          </cell>
          <cell r="B5903" t="str">
            <v>T335</v>
          </cell>
          <cell r="C5903" t="str">
            <v>ซาติน แขนสั้นขายาว ลายทางเหลือง คิวปิด L</v>
          </cell>
        </row>
        <row r="5904">
          <cell r="A5904" t="str">
            <v>ST0335-M</v>
          </cell>
          <cell r="B5904" t="str">
            <v>T335</v>
          </cell>
          <cell r="C5904" t="str">
            <v>ซาติน แขนสั้นขายาว ลายทางเหลือง คิวปิด M</v>
          </cell>
        </row>
        <row r="5905">
          <cell r="A5905" t="str">
            <v>ST0335-XL</v>
          </cell>
          <cell r="B5905" t="str">
            <v>T335</v>
          </cell>
          <cell r="C5905" t="str">
            <v>ซาติน แขนสั้นขายาว ลายทางเหลือง คิวปิด XL</v>
          </cell>
        </row>
        <row r="5906">
          <cell r="A5906" t="str">
            <v>ST0336-L</v>
          </cell>
          <cell r="B5906" t="str">
            <v>T336</v>
          </cell>
          <cell r="C5906" t="str">
            <v>ซาติน แขนสั้นขายาว Beauty Red Rose L</v>
          </cell>
        </row>
        <row r="5907">
          <cell r="A5907" t="str">
            <v>ST0336-M</v>
          </cell>
          <cell r="B5907" t="str">
            <v>T336</v>
          </cell>
          <cell r="C5907" t="str">
            <v>ซาติน แขนสั้นขายาว Beauty Red Rose M</v>
          </cell>
        </row>
        <row r="5908">
          <cell r="A5908" t="str">
            <v>ST0336-XL</v>
          </cell>
          <cell r="B5908" t="str">
            <v>T336</v>
          </cell>
          <cell r="C5908" t="str">
            <v>ซาติน แขนสั้นขายาว Beauty Red Rose XL</v>
          </cell>
        </row>
        <row r="5909">
          <cell r="A5909" t="str">
            <v>ST0347-2XL</v>
          </cell>
          <cell r="B5909" t="str">
            <v>T347</v>
          </cell>
          <cell r="C5909" t="str">
            <v>ซาติน แขนสั้นขายาว Coral Sea 2XL</v>
          </cell>
        </row>
        <row r="5910">
          <cell r="A5910" t="str">
            <v>ST0347-3XL</v>
          </cell>
          <cell r="B5910" t="str">
            <v>T347</v>
          </cell>
          <cell r="C5910" t="str">
            <v>ซาติน แขนสั้นขายาว Coral Sea 3XL</v>
          </cell>
        </row>
        <row r="5911">
          <cell r="A5911" t="str">
            <v>ST0347-L</v>
          </cell>
          <cell r="B5911" t="str">
            <v>T347</v>
          </cell>
          <cell r="C5911" t="str">
            <v>ซาติน แขนสั้นขายาว Coral Sea L</v>
          </cell>
        </row>
        <row r="5912">
          <cell r="A5912" t="str">
            <v>ST0347-M</v>
          </cell>
          <cell r="B5912" t="str">
            <v>T347</v>
          </cell>
          <cell r="C5912" t="str">
            <v>ซาติน แขนสั้นขายาว Coral Sea M</v>
          </cell>
        </row>
        <row r="5913">
          <cell r="A5913" t="str">
            <v>ST0347-S</v>
          </cell>
          <cell r="B5913" t="str">
            <v>T347</v>
          </cell>
          <cell r="C5913" t="str">
            <v>ซาติน แขนสั้นขายาว Coral Sea S</v>
          </cell>
        </row>
        <row r="5914">
          <cell r="A5914" t="str">
            <v>ST0347-XL</v>
          </cell>
          <cell r="B5914" t="str">
            <v>T347</v>
          </cell>
          <cell r="C5914" t="str">
            <v>ซาติน แขนสั้นขายาว Coral Sea XL</v>
          </cell>
        </row>
        <row r="5915">
          <cell r="A5915" t="str">
            <v>ST0350-2XL</v>
          </cell>
          <cell r="B5915" t="str">
            <v>T350</v>
          </cell>
          <cell r="C5915" t="str">
            <v>ซาติน แขนสั้นขายาว Flower Gray 2XL</v>
          </cell>
        </row>
        <row r="5916">
          <cell r="A5916" t="str">
            <v>ST0350-3XL</v>
          </cell>
          <cell r="B5916" t="str">
            <v>T350</v>
          </cell>
          <cell r="C5916" t="str">
            <v>ซาติน แขนสั้นขายาว Flower Gray 3XL</v>
          </cell>
        </row>
        <row r="5917">
          <cell r="A5917" t="str">
            <v>ST0350-L</v>
          </cell>
          <cell r="B5917" t="str">
            <v>T350</v>
          </cell>
          <cell r="C5917" t="str">
            <v>ซาติน แขนสั้นขายาว Flower Gray L</v>
          </cell>
        </row>
        <row r="5918">
          <cell r="A5918" t="str">
            <v>ST0350-M</v>
          </cell>
          <cell r="B5918" t="str">
            <v>T350</v>
          </cell>
          <cell r="C5918" t="str">
            <v>ซาติน แขนสั้นขายาว Flower Gray M</v>
          </cell>
        </row>
        <row r="5919">
          <cell r="A5919" t="str">
            <v>ST0350-XL</v>
          </cell>
          <cell r="B5919" t="str">
            <v>T350</v>
          </cell>
          <cell r="C5919" t="str">
            <v>ซาติน แขนสั้นขายาว Flower Gray XL</v>
          </cell>
        </row>
        <row r="5920">
          <cell r="A5920" t="str">
            <v>ST0352-2XL</v>
          </cell>
          <cell r="B5920" t="str">
            <v>T352</v>
          </cell>
          <cell r="C5920" t="str">
            <v>ซาติน แขนสั้นขายาว Jasmine Green 2XL</v>
          </cell>
        </row>
        <row r="5921">
          <cell r="A5921" t="str">
            <v>ST0352-L</v>
          </cell>
          <cell r="B5921" t="str">
            <v>T352</v>
          </cell>
          <cell r="C5921" t="str">
            <v>ซาติน แขนสั้นขายาว Jasmine Green L</v>
          </cell>
        </row>
        <row r="5922">
          <cell r="A5922" t="str">
            <v>ST0352-M</v>
          </cell>
          <cell r="B5922" t="str">
            <v>T352</v>
          </cell>
          <cell r="C5922" t="str">
            <v>ซาติน แขนสั้นขายาว Jasmine Green M</v>
          </cell>
        </row>
        <row r="5923">
          <cell r="A5923" t="str">
            <v>ST0352-XL</v>
          </cell>
          <cell r="B5923" t="str">
            <v>T352</v>
          </cell>
          <cell r="C5923" t="str">
            <v>ซาติน แขนสั้นขายาว Jasmine Green XL</v>
          </cell>
        </row>
        <row r="5924">
          <cell r="A5924" t="str">
            <v>ST0353-2XL</v>
          </cell>
          <cell r="B5924" t="str">
            <v>T353</v>
          </cell>
          <cell r="C5924" t="str">
            <v>ซาติน แขนสั้นขายาว Passion Fruit 2XL</v>
          </cell>
        </row>
        <row r="5925">
          <cell r="A5925" t="str">
            <v>ST0353-L</v>
          </cell>
          <cell r="B5925" t="str">
            <v>T353</v>
          </cell>
          <cell r="C5925" t="str">
            <v>ซาติน แขนสั้นขายาว Passion Fruit L</v>
          </cell>
        </row>
        <row r="5926">
          <cell r="A5926" t="str">
            <v>ST0353-M</v>
          </cell>
          <cell r="B5926" t="str">
            <v>T353</v>
          </cell>
          <cell r="C5926" t="str">
            <v>ซาติน แขนสั้นขายาว Passion Fruit M</v>
          </cell>
        </row>
        <row r="5927">
          <cell r="A5927" t="str">
            <v>ST0353-XL</v>
          </cell>
          <cell r="B5927" t="str">
            <v>T353</v>
          </cell>
          <cell r="C5927" t="str">
            <v>ซาติน แขนสั้นขายาว Passion Fruit XL</v>
          </cell>
        </row>
        <row r="5928">
          <cell r="A5928" t="str">
            <v>ST0358-2XL</v>
          </cell>
          <cell r="B5928" t="str">
            <v>T358</v>
          </cell>
          <cell r="C5928" t="str">
            <v>ซาติน แขนสั้นขายาว ลายทางม่วงครีม 2XL</v>
          </cell>
        </row>
        <row r="5929">
          <cell r="A5929" t="str">
            <v>ST0358-L</v>
          </cell>
          <cell r="B5929" t="str">
            <v>T358</v>
          </cell>
          <cell r="C5929" t="str">
            <v>ซาติน แขนสั้นขายาว ลายทางม่วงครีม L</v>
          </cell>
        </row>
        <row r="5930">
          <cell r="A5930" t="str">
            <v>ST0358-M</v>
          </cell>
          <cell r="B5930" t="str">
            <v>T358</v>
          </cell>
          <cell r="C5930" t="str">
            <v>ซาติน แขนสั้นขายาว ลายทางม่วงครีม M</v>
          </cell>
        </row>
        <row r="5931">
          <cell r="A5931" t="str">
            <v>ST0358-XL</v>
          </cell>
          <cell r="B5931" t="str">
            <v>T358</v>
          </cell>
          <cell r="C5931" t="str">
            <v>ซาติน แขนสั้นขายาว ลายทางม่วงครีม XL</v>
          </cell>
        </row>
        <row r="5932">
          <cell r="A5932" t="str">
            <v>ST0360-2XL</v>
          </cell>
          <cell r="B5932" t="str">
            <v>T360</v>
          </cell>
          <cell r="C5932" t="str">
            <v>ซาติน แขนสั้นขายาว Comic book 2XL</v>
          </cell>
        </row>
        <row r="5933">
          <cell r="A5933" t="str">
            <v>ST0360-3XL</v>
          </cell>
          <cell r="B5933" t="str">
            <v>T360</v>
          </cell>
          <cell r="C5933" t="str">
            <v>ซาติน แขนสั้นขายาว Comic book 3XL</v>
          </cell>
        </row>
        <row r="5934">
          <cell r="A5934" t="str">
            <v>ST0360-L</v>
          </cell>
          <cell r="B5934" t="str">
            <v>T360</v>
          </cell>
          <cell r="C5934" t="str">
            <v>ซาติน แขนสั้นขายาว Comic book L</v>
          </cell>
        </row>
        <row r="5935">
          <cell r="A5935" t="str">
            <v>ST0360-M</v>
          </cell>
          <cell r="B5935" t="str">
            <v>T360</v>
          </cell>
          <cell r="C5935" t="str">
            <v>ซาติน แขนสั้นขายาว Comic book M</v>
          </cell>
        </row>
        <row r="5936">
          <cell r="A5936" t="str">
            <v>ST0360-XL</v>
          </cell>
          <cell r="B5936" t="str">
            <v>T360</v>
          </cell>
          <cell r="C5936" t="str">
            <v>ซาติน แขนสั้นขายาว Comic book XL</v>
          </cell>
        </row>
        <row r="5937">
          <cell r="A5937" t="str">
            <v>ST0361-2XL</v>
          </cell>
          <cell r="B5937" t="str">
            <v>T361</v>
          </cell>
          <cell r="C5937" t="str">
            <v>ซาติน แขนสั้นขายาว Color Full 2XL</v>
          </cell>
        </row>
        <row r="5938">
          <cell r="A5938" t="str">
            <v>ST0361-3XL</v>
          </cell>
          <cell r="B5938" t="str">
            <v>BT361</v>
          </cell>
          <cell r="C5938" t="str">
            <v>ซาติน แขนสั้นขายาว Color Full 3XL</v>
          </cell>
        </row>
        <row r="5939">
          <cell r="A5939" t="str">
            <v>ST0361-L</v>
          </cell>
          <cell r="B5939" t="str">
            <v>T361</v>
          </cell>
          <cell r="C5939" t="str">
            <v>ซาติน แขนสั้นขายาว Color Full L</v>
          </cell>
        </row>
        <row r="5940">
          <cell r="A5940" t="str">
            <v>ST0361-M</v>
          </cell>
          <cell r="B5940" t="str">
            <v>T361</v>
          </cell>
          <cell r="C5940" t="str">
            <v>ซาติน แขนสั้นขายาว Color Full M</v>
          </cell>
        </row>
        <row r="5941">
          <cell r="A5941" t="str">
            <v>ST0361-XL</v>
          </cell>
          <cell r="B5941" t="str">
            <v>T361</v>
          </cell>
          <cell r="C5941" t="str">
            <v>ซาติน แขนสั้นขายาว Color Full XL</v>
          </cell>
        </row>
        <row r="5942">
          <cell r="A5942" t="str">
            <v>ST0362-2XL</v>
          </cell>
          <cell r="B5942" t="str">
            <v>T362</v>
          </cell>
          <cell r="C5942" t="str">
            <v>ซาติน แขนสั้นขายาว New moon Art 2XL</v>
          </cell>
        </row>
        <row r="5943">
          <cell r="A5943" t="str">
            <v>ST0362-3XL</v>
          </cell>
          <cell r="B5943" t="str">
            <v>T362</v>
          </cell>
          <cell r="C5943" t="str">
            <v>ซาติน แขนสั้นขายาว New moon Art 3XL</v>
          </cell>
        </row>
        <row r="5944">
          <cell r="A5944" t="str">
            <v>ST0362-L</v>
          </cell>
          <cell r="B5944" t="str">
            <v>T362</v>
          </cell>
          <cell r="C5944" t="str">
            <v>ซาติน แขนสั้นขายาว New moon Art L</v>
          </cell>
        </row>
        <row r="5945">
          <cell r="A5945" t="str">
            <v>ST0362-M</v>
          </cell>
          <cell r="B5945" t="str">
            <v>T362</v>
          </cell>
          <cell r="C5945" t="str">
            <v>ซาติน แขนสั้นขายาว New moon Art M</v>
          </cell>
        </row>
        <row r="5946">
          <cell r="A5946" t="str">
            <v>ST0362-XL</v>
          </cell>
          <cell r="B5946" t="str">
            <v>T362</v>
          </cell>
          <cell r="C5946" t="str">
            <v>ซาติน แขนสั้นขายาว New moon Art XL</v>
          </cell>
        </row>
        <row r="5947">
          <cell r="A5947" t="str">
            <v>ST0368-2XL</v>
          </cell>
          <cell r="B5947" t="str">
            <v>T368</v>
          </cell>
          <cell r="C5947" t="str">
            <v>ซาติน แขนสั้นขายาว เสือ น้ำเงิน (กปก) 2XL</v>
          </cell>
        </row>
        <row r="5948">
          <cell r="A5948" t="str">
            <v>ST0368-3XL</v>
          </cell>
          <cell r="B5948" t="str">
            <v>T368</v>
          </cell>
          <cell r="C5948" t="str">
            <v>ซาติน แขนสั้นขายาว เสือ น้ำเงิน (กปก) 3XL</v>
          </cell>
        </row>
        <row r="5949">
          <cell r="A5949" t="str">
            <v>ST0368-L</v>
          </cell>
          <cell r="B5949" t="str">
            <v>T368</v>
          </cell>
          <cell r="C5949" t="str">
            <v>ซาติน แขนสั้นขายาว เสือ น้ำเงิน (กปก) L</v>
          </cell>
        </row>
        <row r="5950">
          <cell r="A5950" t="str">
            <v>ST0368-M</v>
          </cell>
          <cell r="B5950" t="str">
            <v>T368</v>
          </cell>
          <cell r="C5950" t="str">
            <v>ซาติน แขนสั้นขายาว เสือ น้ำเงิน (กปก) M</v>
          </cell>
        </row>
        <row r="5951">
          <cell r="A5951" t="str">
            <v>ST0368-XL</v>
          </cell>
          <cell r="B5951" t="str">
            <v>T368</v>
          </cell>
          <cell r="C5951" t="str">
            <v>ซาติน แขนสั้นขายาว เสือ น้ำเงิน (กปก) XL</v>
          </cell>
        </row>
        <row r="5952">
          <cell r="A5952" t="str">
            <v>ST0369-2XL</v>
          </cell>
          <cell r="B5952" t="str">
            <v>JT369</v>
          </cell>
          <cell r="C5952" t="str">
            <v>ซาติน แขนสั้นขายาว กุหลาบ ขอบชมพู พื้นขาว 2XL (กปก) ตัวโชว์</v>
          </cell>
        </row>
        <row r="5953">
          <cell r="A5953" t="str">
            <v>ST0369-L</v>
          </cell>
          <cell r="B5953" t="str">
            <v>JT369</v>
          </cell>
          <cell r="C5953" t="str">
            <v>ซาติน แขนสั้นขายาว กุหลาบ ขอบชมพู พื้นขาว L (กปก) ตัวโชว์</v>
          </cell>
        </row>
        <row r="5954">
          <cell r="A5954" t="str">
            <v>ST0369-M</v>
          </cell>
          <cell r="B5954" t="str">
            <v>JT369</v>
          </cell>
          <cell r="C5954" t="str">
            <v>ซาติน แขนสั้นขายาว กุหลาบ ขอบชมพู พื้นขาว M (กปก)</v>
          </cell>
        </row>
        <row r="5955">
          <cell r="A5955" t="str">
            <v>ST0369-XL</v>
          </cell>
          <cell r="B5955" t="str">
            <v>JT369</v>
          </cell>
          <cell r="C5955" t="str">
            <v>ซาติน แขนสั้นขายาว กุหลาบ ขอบชมพู พื้นขาว XL (กปก) ตัวโชว์</v>
          </cell>
        </row>
        <row r="5956">
          <cell r="A5956" t="str">
            <v>ST0380-L</v>
          </cell>
          <cell r="B5956" t="str">
            <v>JT380</v>
          </cell>
          <cell r="C5956" t="str">
            <v>ซาติน แขนสั้นขายาว หัวใจฟ้า น้ำตาล พื้นชมพู L ตัวโชว์</v>
          </cell>
        </row>
        <row r="5957">
          <cell r="A5957" t="str">
            <v>ST0380-M</v>
          </cell>
          <cell r="B5957" t="str">
            <v>JT380</v>
          </cell>
          <cell r="C5957" t="str">
            <v>ซาติน แขนสั้นขายาว หัวใจฟ้า น้ำตาล พื้นชมพู M ตัวโชว์</v>
          </cell>
        </row>
        <row r="5958">
          <cell r="A5958" t="str">
            <v>ST0380-XL</v>
          </cell>
          <cell r="B5958" t="str">
            <v>JT380</v>
          </cell>
          <cell r="C5958" t="str">
            <v>ซาติน แขนสั้นขายาว หัวใจฟ้า น้ำตาล พื้นชมพู XL ตัวโชว์</v>
          </cell>
        </row>
        <row r="5959">
          <cell r="A5959" t="str">
            <v>ST0402-2XL</v>
          </cell>
          <cell r="B5959" t="str">
            <v>T402</v>
          </cell>
          <cell r="C5959" t="str">
            <v>ซาติน แขนสั้นขายาว เสือ พื้นขาว จุดเขียว 2XL</v>
          </cell>
        </row>
        <row r="5960">
          <cell r="A5960" t="str">
            <v>ST0402-L</v>
          </cell>
          <cell r="B5960" t="str">
            <v>T402</v>
          </cell>
          <cell r="C5960" t="str">
            <v>ซาติน แขนสั้นขายาว เสือ พื้นขาว จุดเขียว L</v>
          </cell>
        </row>
        <row r="5961">
          <cell r="A5961" t="str">
            <v>ST0402-M</v>
          </cell>
          <cell r="B5961" t="str">
            <v>T402</v>
          </cell>
          <cell r="C5961" t="str">
            <v>ซาติน แขนสั้นขายาว เสือ พื้นขาว จุดเขียว M</v>
          </cell>
        </row>
        <row r="5962">
          <cell r="A5962" t="str">
            <v>ST0402-XL</v>
          </cell>
          <cell r="B5962" t="str">
            <v>T402</v>
          </cell>
          <cell r="C5962" t="str">
            <v>ซาติน แขนสั้นขายาว เสือ พื้นขาว จุดเขียว XL</v>
          </cell>
        </row>
        <row r="5963">
          <cell r="A5963" t="str">
            <v>ST0409-2XL</v>
          </cell>
          <cell r="B5963" t="str">
            <v>JT409</v>
          </cell>
          <cell r="C5963" t="str">
            <v>ซาติน แขนสั้นขายาว แมวดำ พื้นขาว 2XL ตัวโชว์</v>
          </cell>
        </row>
        <row r="5964">
          <cell r="A5964" t="str">
            <v>ST0409-L</v>
          </cell>
          <cell r="B5964" t="str">
            <v>JT409</v>
          </cell>
          <cell r="C5964" t="str">
            <v>ซาติน แขนสั้นขายาว แมวดำ พื้นขาว L ตัวโชว์</v>
          </cell>
        </row>
        <row r="5965">
          <cell r="A5965" t="str">
            <v>ST0409-M</v>
          </cell>
          <cell r="B5965" t="str">
            <v>ป4</v>
          </cell>
          <cell r="C5965" t="str">
            <v>ซาติน แขนสั้นขายาว แมวดำ พื้นขาว M</v>
          </cell>
        </row>
        <row r="5966">
          <cell r="A5966" t="str">
            <v>ST0409-XL</v>
          </cell>
          <cell r="B5966" t="str">
            <v>JT409</v>
          </cell>
          <cell r="C5966" t="str">
            <v>ซาติน แขนสั้นขายาว แมวดำ พื้นขาว XL</v>
          </cell>
        </row>
        <row r="5967">
          <cell r="A5967" t="str">
            <v>ST0425-L</v>
          </cell>
          <cell r="B5967" t="str">
            <v>T425</v>
          </cell>
          <cell r="C5967" t="str">
            <v>ซาติน แขนสั้นขายาว พิทบูล พื้นดำ L</v>
          </cell>
        </row>
        <row r="5968">
          <cell r="A5968" t="str">
            <v>ST0425-M</v>
          </cell>
          <cell r="B5968" t="str">
            <v>T425</v>
          </cell>
          <cell r="C5968" t="str">
            <v>ซาติน แขนสั้นขายาว พิทบูล พื้นดำ M</v>
          </cell>
        </row>
        <row r="5969">
          <cell r="A5969" t="str">
            <v>ST0427-L</v>
          </cell>
          <cell r="B5969" t="str">
            <v>JT427</v>
          </cell>
          <cell r="C5969" t="str">
            <v>ซาติน แขนสั้นขายาว ลายทางเขียว Forever L (กปก) ตัวโชว์</v>
          </cell>
        </row>
        <row r="5970">
          <cell r="A5970" t="str">
            <v>ST0427-M</v>
          </cell>
          <cell r="B5970" t="str">
            <v>JT427</v>
          </cell>
          <cell r="C5970" t="str">
            <v>ซาติน แขนสั้นขายาว ลายทางเขียว Forever M (กปก) ตัวโชว์</v>
          </cell>
        </row>
        <row r="5971">
          <cell r="A5971" t="str">
            <v>ST0428-L</v>
          </cell>
          <cell r="B5971" t="str">
            <v>T428</v>
          </cell>
          <cell r="C5971" t="str">
            <v>ซาติน แขนสั้นขายาว ลายทางชมพู Forever L (กปก)</v>
          </cell>
        </row>
        <row r="5972">
          <cell r="A5972" t="str">
            <v>ST0428-M</v>
          </cell>
          <cell r="B5972" t="str">
            <v>JT428</v>
          </cell>
          <cell r="C5972" t="str">
            <v>ซาติน แขนสั้นขายาว ลายทางชมพู Forever M (กปก) ตัวโชว์</v>
          </cell>
        </row>
        <row r="5973">
          <cell r="A5973" t="str">
            <v>ST0429-L</v>
          </cell>
          <cell r="B5973" t="str">
            <v>T429</v>
          </cell>
          <cell r="C5973" t="str">
            <v>ซาติน แขนสั้นขายาว ลายทาง แมว พื้นเทา L</v>
          </cell>
        </row>
        <row r="5974">
          <cell r="A5974" t="str">
            <v>ST0429-M</v>
          </cell>
          <cell r="B5974" t="str">
            <v>T429</v>
          </cell>
          <cell r="C5974" t="str">
            <v>ซาติน แขนสั้นขายาว ลายทาง แมว พื้นเทา M</v>
          </cell>
        </row>
        <row r="5975">
          <cell r="A5975" t="str">
            <v>ST0430-L</v>
          </cell>
          <cell r="B5975" t="str">
            <v>T430</v>
          </cell>
          <cell r="C5975" t="str">
            <v>ซาติน แขนสั้นขายาว ลายทาง หมา พื้นดำ L</v>
          </cell>
        </row>
        <row r="5976">
          <cell r="A5976" t="str">
            <v>ST0430-M</v>
          </cell>
          <cell r="B5976" t="str">
            <v>T430</v>
          </cell>
          <cell r="C5976" t="str">
            <v>ซาติน แขนสั้นขายาว ลายทาง หมา พื้นดำ M</v>
          </cell>
        </row>
        <row r="5977">
          <cell r="A5977" t="str">
            <v>ST0431-L</v>
          </cell>
          <cell r="B5977" t="str">
            <v>JT431</v>
          </cell>
          <cell r="C5977" t="str">
            <v>ซาติน แขนสั้นขายาว ลายทาง จิ้งจอก พื้นเขียว L ตัวโชว์</v>
          </cell>
        </row>
        <row r="5978">
          <cell r="A5978" t="str">
            <v>ST0431-M</v>
          </cell>
          <cell r="B5978" t="str">
            <v>JT431</v>
          </cell>
          <cell r="C5978" t="str">
            <v>ซาติน แขนสั้นขายาว ลายทาง จิ้งจอก พื้นเขียว M ตัวโชว์</v>
          </cell>
        </row>
        <row r="5979">
          <cell r="A5979" t="str">
            <v>ST0468-L</v>
          </cell>
          <cell r="B5979" t="str">
            <v>T468</v>
          </cell>
          <cell r="C5979" t="str">
            <v>ซาติน แขนสั้นขายาว Chesscake พื้นฟ้า L</v>
          </cell>
        </row>
        <row r="5980">
          <cell r="A5980" t="str">
            <v>ST0468-M</v>
          </cell>
          <cell r="B5980" t="str">
            <v>T468</v>
          </cell>
          <cell r="C5980" t="str">
            <v>ซาติน แขนสั้นขายาว Chesscake พื้นฟ้า M</v>
          </cell>
        </row>
        <row r="5981">
          <cell r="A5981" t="str">
            <v>ST0469-L</v>
          </cell>
          <cell r="B5981" t="str">
            <v>T469</v>
          </cell>
          <cell r="C5981" t="str">
            <v>ซาติน แขนสั้นขายาว Chesscake พื้นชมพู L</v>
          </cell>
        </row>
        <row r="5982">
          <cell r="A5982" t="str">
            <v>ST0469-M</v>
          </cell>
          <cell r="B5982" t="str">
            <v>T469</v>
          </cell>
          <cell r="C5982" t="str">
            <v>ซาติน แขนสั้นขายาว Chesscake พื้นชมพู M</v>
          </cell>
        </row>
        <row r="5983">
          <cell r="A5983" t="str">
            <v>ST0470-L</v>
          </cell>
          <cell r="B5983" t="str">
            <v>T470</v>
          </cell>
          <cell r="C5983" t="str">
            <v>ซาติน แขนสั้นขายาว Chesscake พื้นขาว L</v>
          </cell>
        </row>
        <row r="5984">
          <cell r="A5984" t="str">
            <v>ST0470-M</v>
          </cell>
          <cell r="B5984" t="str">
            <v>T470</v>
          </cell>
          <cell r="C5984" t="str">
            <v>ซาติน แขนสั้นขายาว Chesscake พื้นขาว M</v>
          </cell>
        </row>
        <row r="5985">
          <cell r="A5985" t="str">
            <v>ST0474-L</v>
          </cell>
          <cell r="B5985" t="str">
            <v>T474</v>
          </cell>
          <cell r="C5985" t="str">
            <v>ซาติน แขนสั้นขายาว Cat day &amp; night พื้นม่วง L</v>
          </cell>
        </row>
        <row r="5986">
          <cell r="A5986" t="str">
            <v>ST0474-M</v>
          </cell>
          <cell r="B5986" t="str">
            <v>T474</v>
          </cell>
          <cell r="C5986" t="str">
            <v>ซาติน แขนสั้นขายาว Cat day &amp; night พื้นม่วง M</v>
          </cell>
        </row>
        <row r="5987">
          <cell r="A5987" t="str">
            <v>ST0475-L</v>
          </cell>
          <cell r="B5987" t="str">
            <v>T475</v>
          </cell>
          <cell r="C5987" t="str">
            <v>ซาติน แขนสั้นขายาว Cat day &amp; night พื้นฟ้า L</v>
          </cell>
        </row>
        <row r="5988">
          <cell r="A5988" t="str">
            <v>ST0475-M</v>
          </cell>
          <cell r="B5988" t="str">
            <v>T475</v>
          </cell>
          <cell r="C5988" t="str">
            <v>ซาติน แขนสั้นขายาว Cat day &amp; night พื้นฟ้า M</v>
          </cell>
        </row>
        <row r="5989">
          <cell r="A5989" t="str">
            <v>ST0476-L</v>
          </cell>
          <cell r="B5989" t="str">
            <v>T476</v>
          </cell>
          <cell r="C5989" t="str">
            <v>ซาติน แขนสั้นขายาว สีขาว GoodLuck Bear L</v>
          </cell>
        </row>
        <row r="5990">
          <cell r="A5990" t="str">
            <v>ST0476-M</v>
          </cell>
          <cell r="B5990" t="str">
            <v>T476</v>
          </cell>
          <cell r="C5990" t="str">
            <v>ซาติน แขนสั้นขายาว สีขาว GoodLuck Bear M</v>
          </cell>
        </row>
        <row r="5991">
          <cell r="A5991" t="str">
            <v>ST0477-L</v>
          </cell>
          <cell r="B5991" t="str">
            <v>T477</v>
          </cell>
          <cell r="C5991" t="str">
            <v>ซาติน แขนสั้นขายาว สีฟ้า GoodLuck Bear L</v>
          </cell>
        </row>
        <row r="5992">
          <cell r="A5992" t="str">
            <v>ST0477-M</v>
          </cell>
          <cell r="B5992" t="str">
            <v>T477</v>
          </cell>
          <cell r="C5992" t="str">
            <v>ซาติน แขนสั้นขายาว สีฟ้า GoodLuck Bear M</v>
          </cell>
        </row>
        <row r="5993">
          <cell r="A5993" t="str">
            <v>ST0490-2XL</v>
          </cell>
          <cell r="B5993" t="str">
            <v>T490</v>
          </cell>
          <cell r="C5993" t="str">
            <v>ซิลค์แจ็คการ์ด แขนสั้นขายาว Summer Tiger 2XL</v>
          </cell>
        </row>
        <row r="5994">
          <cell r="A5994" t="str">
            <v>ST0490-3XL</v>
          </cell>
          <cell r="B5994" t="str">
            <v>T490</v>
          </cell>
          <cell r="C5994" t="str">
            <v>ซิลค์แจ็คการ์ด แขนสั้นขายาว Summer Tiger 3XL</v>
          </cell>
        </row>
        <row r="5995">
          <cell r="A5995" t="str">
            <v>ST0490-L</v>
          </cell>
          <cell r="B5995" t="str">
            <v>T490</v>
          </cell>
          <cell r="C5995" t="str">
            <v>ซิลค์แจ็คการ์ด แขนสั้นขายาว Summer Tiger L</v>
          </cell>
        </row>
        <row r="5996">
          <cell r="A5996" t="str">
            <v>ST0490-M</v>
          </cell>
          <cell r="B5996" t="str">
            <v>T490</v>
          </cell>
          <cell r="C5996" t="str">
            <v>ซิลค์แจ็คการ์ด แขนสั้นขายาว Summer Tiger M</v>
          </cell>
        </row>
        <row r="5997">
          <cell r="A5997" t="str">
            <v>ST0490-XL</v>
          </cell>
          <cell r="B5997" t="str">
            <v>T490</v>
          </cell>
          <cell r="C5997" t="str">
            <v>ซิลค์แจ็คการ์ด แขนสั้นขายาว Summer Tiger XL</v>
          </cell>
        </row>
        <row r="5998">
          <cell r="A5998" t="str">
            <v>ST0499-L</v>
          </cell>
          <cell r="B5998" t="str">
            <v>T499</v>
          </cell>
          <cell r="C5998" t="str">
            <v>ซาติน  แขนสั้นขายาว เสือดาว จุดชมพูม่วง  L</v>
          </cell>
        </row>
        <row r="5999">
          <cell r="A5999" t="str">
            <v>ST0499-M</v>
          </cell>
          <cell r="B5999" t="str">
            <v>T499</v>
          </cell>
          <cell r="C5999" t="str">
            <v>ซาติน  แขนสั้นขายาว เสือดาว จุดชมพูม่วง  M</v>
          </cell>
        </row>
        <row r="6000">
          <cell r="A6000" t="str">
            <v>ST0499-S</v>
          </cell>
          <cell r="B6000" t="str">
            <v>T499</v>
          </cell>
          <cell r="C6000" t="str">
            <v>ซาติน  แขนสั้นขายาว เสือดาว จุดชมพูม่วง  S</v>
          </cell>
        </row>
        <row r="6001">
          <cell r="A6001" t="str">
            <v>ST0500-L</v>
          </cell>
          <cell r="B6001" t="str">
            <v>T500</v>
          </cell>
          <cell r="C6001" t="str">
            <v>ซาติน  แขนสั้นขายาว เสือดาว พื้นครีมอ่อน L</v>
          </cell>
        </row>
        <row r="6002">
          <cell r="A6002" t="str">
            <v>ST0500-M</v>
          </cell>
          <cell r="B6002" t="str">
            <v>T500</v>
          </cell>
          <cell r="C6002" t="str">
            <v>ซาติน  แขนสั้นขายาว เสือดาว พื้นครีมอ่อน M</v>
          </cell>
        </row>
        <row r="6003">
          <cell r="A6003" t="str">
            <v>ST0500-S</v>
          </cell>
          <cell r="B6003" t="str">
            <v>T500</v>
          </cell>
          <cell r="C6003" t="str">
            <v>ซาติน  แขนสั้นขายาว   เสือดาว พื้นครีมอ่อน S</v>
          </cell>
        </row>
        <row r="6004">
          <cell r="A6004" t="str">
            <v>ST0501-L</v>
          </cell>
          <cell r="B6004" t="str">
            <v>T501</v>
          </cell>
          <cell r="C6004" t="str">
            <v>ซาติน แขนสั้นขายาว Good Luck น้องหมีชมพู L (กปก)</v>
          </cell>
        </row>
        <row r="6005">
          <cell r="A6005" t="str">
            <v>ST0501-M</v>
          </cell>
          <cell r="B6005" t="str">
            <v>T501</v>
          </cell>
          <cell r="C6005" t="str">
            <v>ซาติน แขนสั้นขายาว Good Luck น้องหมีชมพู M (กปก)</v>
          </cell>
        </row>
        <row r="6006">
          <cell r="A6006" t="str">
            <v>ST0502-L</v>
          </cell>
          <cell r="B6006" t="str">
            <v>BT502</v>
          </cell>
          <cell r="C6006" t="str">
            <v>ซาติน แขนสั้นขายาว Good Luck น้องหมีกรม L</v>
          </cell>
        </row>
        <row r="6007">
          <cell r="A6007" t="str">
            <v>ST0502-M</v>
          </cell>
          <cell r="B6007" t="str">
            <v>T502</v>
          </cell>
          <cell r="C6007" t="str">
            <v>ซาติน แขนสั้นขายาว Good Luck น้องหมีกรม M</v>
          </cell>
        </row>
        <row r="6008">
          <cell r="A6008" t="str">
            <v>ST0504-L</v>
          </cell>
          <cell r="B6008" t="str">
            <v>T504</v>
          </cell>
          <cell r="C6008" t="str">
            <v>ซาติน แขนสั้นขายาว Good Luck น้องหมีฟ้า L</v>
          </cell>
        </row>
        <row r="6009">
          <cell r="A6009" t="str">
            <v>ST0504-M</v>
          </cell>
          <cell r="B6009" t="str">
            <v>T504</v>
          </cell>
          <cell r="C6009" t="str">
            <v>ซาติน แขนสั้นขายาว Good Luck น้องหมีฟ้า M</v>
          </cell>
        </row>
        <row r="6010">
          <cell r="A6010" t="str">
            <v>ST0508-L</v>
          </cell>
          <cell r="B6010" t="str">
            <v>T508</v>
          </cell>
          <cell r="C6010" t="str">
            <v>ซาติน แขนสั้นขายาว คอกลม Rabbit เทา L</v>
          </cell>
        </row>
        <row r="6011">
          <cell r="A6011" t="str">
            <v>ST0508-M</v>
          </cell>
          <cell r="B6011" t="str">
            <v>T508</v>
          </cell>
          <cell r="C6011" t="str">
            <v>ซาติน แขนสั้นขายาว คอกลม Rabbit เทา M</v>
          </cell>
        </row>
        <row r="6012">
          <cell r="A6012" t="str">
            <v>ST0509-L</v>
          </cell>
          <cell r="B6012" t="str">
            <v>T509</v>
          </cell>
          <cell r="C6012" t="str">
            <v>ซาติน แขนสั้นขายาว คอกลม Zebra พื้นขาว L</v>
          </cell>
        </row>
        <row r="6013">
          <cell r="A6013" t="str">
            <v>ST0509-M</v>
          </cell>
          <cell r="B6013" t="str">
            <v>T509</v>
          </cell>
          <cell r="C6013" t="str">
            <v>ซาติน แขนสั้นขายาว คอกลม Zebra พื้นขาว M</v>
          </cell>
        </row>
        <row r="6014">
          <cell r="A6014" t="str">
            <v>ST0510-L</v>
          </cell>
          <cell r="B6014" t="str">
            <v>T510</v>
          </cell>
          <cell r="C6014" t="str">
            <v>ซาติน แขนสั้นขายาว คอกลม Zebra พื้นเขียว L</v>
          </cell>
        </row>
        <row r="6015">
          <cell r="A6015" t="str">
            <v>ST0510-M</v>
          </cell>
          <cell r="B6015" t="str">
            <v>T510</v>
          </cell>
          <cell r="C6015" t="str">
            <v>ซาติน แขนสั้นขายาว คอกลม Zebra พื้นเขียว M</v>
          </cell>
        </row>
        <row r="6016">
          <cell r="A6016" t="str">
            <v>ST0514-L</v>
          </cell>
          <cell r="B6016" t="str">
            <v>T514</v>
          </cell>
          <cell r="C6016" t="str">
            <v>ซาติน แขนสั้นขายาว Bear Comic พื้นเขียวมรกต L</v>
          </cell>
        </row>
        <row r="6017">
          <cell r="A6017" t="str">
            <v>ST0514-XL</v>
          </cell>
          <cell r="B6017" t="str">
            <v>T514</v>
          </cell>
          <cell r="C6017" t="str">
            <v>ซาติน แขนสั้นขายาว Bear Comic พื้นเขียวมรกต XL</v>
          </cell>
        </row>
        <row r="6018">
          <cell r="A6018" t="str">
            <v>ST0515-L</v>
          </cell>
          <cell r="B6018" t="str">
            <v>T515</v>
          </cell>
          <cell r="C6018" t="str">
            <v>ซาติน แขนสั้นขายาว Bear Comic พื้นดำ L</v>
          </cell>
        </row>
        <row r="6019">
          <cell r="A6019" t="str">
            <v>ST0515-XL</v>
          </cell>
          <cell r="B6019" t="str">
            <v>T515</v>
          </cell>
          <cell r="C6019" t="str">
            <v>ซาติน แขนสั้นขายาว Bear Comic พื้นดำ XL</v>
          </cell>
        </row>
        <row r="6020">
          <cell r="A6020" t="str">
            <v>ST0516-L</v>
          </cell>
          <cell r="B6020" t="str">
            <v>T516</v>
          </cell>
          <cell r="C6020" t="str">
            <v>ซาติน แขนสั้นขายาว Bear Comic พื้นขาว L</v>
          </cell>
        </row>
        <row r="6021">
          <cell r="A6021" t="str">
            <v>ST0516-M</v>
          </cell>
          <cell r="B6021" t="str">
            <v>T516</v>
          </cell>
          <cell r="C6021" t="str">
            <v>ซาติน แขนสั้นขายาว Bear Comic พื้นขาว M</v>
          </cell>
        </row>
        <row r="6022">
          <cell r="A6022" t="str">
            <v>ST0516-XL</v>
          </cell>
          <cell r="B6022" t="str">
            <v>T516</v>
          </cell>
          <cell r="C6022" t="str">
            <v>ซาติน แขนสั้นขายาว Bear Comic พื้นขาว XL</v>
          </cell>
        </row>
        <row r="6023">
          <cell r="A6023" t="str">
            <v>ST0517-F</v>
          </cell>
          <cell r="B6023" t="str">
            <v>T517</v>
          </cell>
          <cell r="C6023" t="str">
            <v>ซาติน แขนสั้นขายาว นุ้งแมว ปกเหลือง F</v>
          </cell>
        </row>
        <row r="6024">
          <cell r="A6024" t="str">
            <v>ST0518-F</v>
          </cell>
          <cell r="B6024" t="str">
            <v>T518</v>
          </cell>
          <cell r="C6024" t="str">
            <v>ซาติน แขนสั้นขายาว นุ้งแมว ปกแดง F</v>
          </cell>
        </row>
        <row r="6025">
          <cell r="A6025" t="str">
            <v>ST0519-2XL</v>
          </cell>
          <cell r="B6025" t="str">
            <v>T519</v>
          </cell>
          <cell r="C6025" t="str">
            <v>ซิลค์แจ็คการ์ด แขนสั้นขายาว ผีเสื้อ พาสเทล พื้นขาว 2XL</v>
          </cell>
        </row>
        <row r="6026">
          <cell r="A6026" t="str">
            <v>ST0519-L</v>
          </cell>
          <cell r="B6026" t="str">
            <v>T519</v>
          </cell>
          <cell r="C6026" t="str">
            <v>ซิลค์แจ็คการ์ด แขนสั้นขายาว ผีเสื้อ พาสเทล พื้นขาว L</v>
          </cell>
        </row>
        <row r="6027">
          <cell r="A6027" t="str">
            <v>ST0519-M</v>
          </cell>
          <cell r="B6027" t="str">
            <v>T519</v>
          </cell>
          <cell r="C6027" t="str">
            <v>ซิลค์แจ็คการ์ด แขนสั้นขายาว ผีเสื้อ พาสเทล พื้นขาว M</v>
          </cell>
        </row>
        <row r="6028">
          <cell r="A6028" t="str">
            <v>ST0519-XL</v>
          </cell>
          <cell r="B6028" t="str">
            <v>T519</v>
          </cell>
          <cell r="C6028" t="str">
            <v>ซิลค์แจ็คการ์ด แขนสั้นขายาว ผีเสื้อ พาสเทล พื้นขาว XL</v>
          </cell>
        </row>
        <row r="6029">
          <cell r="A6029" t="str">
            <v>ST0523-2XL</v>
          </cell>
          <cell r="B6029" t="str">
            <v>T523</v>
          </cell>
          <cell r="C6029" t="str">
            <v>ซาติน แขนสั้นขายาว Flower พื้นเขียว ปกชมพู 2XL</v>
          </cell>
        </row>
        <row r="6030">
          <cell r="A6030" t="str">
            <v>ST0523-L</v>
          </cell>
          <cell r="B6030" t="str">
            <v>T523</v>
          </cell>
          <cell r="C6030" t="str">
            <v>ซาติน แขนสั้นขายาว Flower พื้นเขียว ปกชมพู L</v>
          </cell>
        </row>
        <row r="6031">
          <cell r="A6031" t="str">
            <v>ST0523-M</v>
          </cell>
          <cell r="B6031" t="str">
            <v>JT523</v>
          </cell>
          <cell r="C6031" t="str">
            <v>ซาติน แขนสั้นขายาว Flower พื้นเขียว ปกชมพู M ตัวโชว์</v>
          </cell>
        </row>
        <row r="6032">
          <cell r="A6032" t="str">
            <v>ST0523-XL</v>
          </cell>
          <cell r="B6032" t="str">
            <v>JT523</v>
          </cell>
          <cell r="C6032" t="str">
            <v>ซาติน แขนสั้นขายาว Flower พื้นเขียว ปกชมพู XL ตัวโชว์</v>
          </cell>
        </row>
        <row r="6033">
          <cell r="A6033" t="str">
            <v>ST0524-2XL</v>
          </cell>
          <cell r="B6033" t="str">
            <v>T524</v>
          </cell>
          <cell r="C6033" t="str">
            <v>ซาติน แขนสั้นขายาว ดอกไม้เขียว พื้นเขียว 2XL</v>
          </cell>
        </row>
        <row r="6034">
          <cell r="A6034" t="str">
            <v>ST0524-L</v>
          </cell>
          <cell r="B6034" t="str">
            <v>T524</v>
          </cell>
          <cell r="C6034" t="str">
            <v>ซาติน แขนสั้นขายาว ดอกไม้เขียว พื้นเขียว L (กปก)</v>
          </cell>
        </row>
        <row r="6035">
          <cell r="A6035" t="str">
            <v>ST0524-M</v>
          </cell>
          <cell r="B6035" t="str">
            <v>T524</v>
          </cell>
          <cell r="C6035" t="str">
            <v>ซาติน แขนสั้นขายาว ดอกไม้เขียว พื้นเขียว M</v>
          </cell>
        </row>
        <row r="6036">
          <cell r="A6036" t="str">
            <v>ST0524-XL</v>
          </cell>
          <cell r="B6036" t="str">
            <v>T524</v>
          </cell>
          <cell r="C6036" t="str">
            <v>ซาติน แขนสั้นขายาว ดอกไม้เขียว พื้นเขียว XL</v>
          </cell>
        </row>
        <row r="6037">
          <cell r="A6037" t="str">
            <v>ST0525-2XL</v>
          </cell>
          <cell r="B6037" t="str">
            <v>T525</v>
          </cell>
          <cell r="C6037" t="str">
            <v>ซาติน แขนสั้นขายาว ภาพวาดกุหลาบ พื้นส้ม 2XL</v>
          </cell>
        </row>
        <row r="6038">
          <cell r="A6038" t="str">
            <v>ST0525-3XL</v>
          </cell>
          <cell r="B6038" t="str">
            <v>T525</v>
          </cell>
          <cell r="C6038" t="str">
            <v>ซาติน แขนสั้นขายาว ภาพวาดกุหลาบ พื้นส้ม 3XL</v>
          </cell>
        </row>
        <row r="6039">
          <cell r="A6039" t="str">
            <v>ST0525-L</v>
          </cell>
          <cell r="B6039" t="str">
            <v>T525</v>
          </cell>
          <cell r="C6039" t="str">
            <v>ซาติน แขนสั้นขายาว ภาพวาดกุหลาบ พื้นส้ม L</v>
          </cell>
        </row>
        <row r="6040">
          <cell r="A6040" t="str">
            <v>ST0525-M</v>
          </cell>
          <cell r="B6040" t="str">
            <v>T525</v>
          </cell>
          <cell r="C6040" t="str">
            <v>ซาติน แขนสั้นขายาว ภาพวาดกุหลาบ พื้นส้ม M</v>
          </cell>
        </row>
        <row r="6041">
          <cell r="A6041" t="str">
            <v>ST0525-XL</v>
          </cell>
          <cell r="B6041" t="str">
            <v>T525</v>
          </cell>
          <cell r="C6041" t="str">
            <v>ซาติน แขนสั้นขายาว ภาพวาดกุหลาบ พื้นส้ม XL</v>
          </cell>
        </row>
        <row r="6042">
          <cell r="A6042" t="str">
            <v>ST0526-2XL</v>
          </cell>
          <cell r="B6042" t="str">
            <v>T526</v>
          </cell>
          <cell r="C6042" t="str">
            <v>ซาติน แขนสั้นขายาว Royal Art 2XL</v>
          </cell>
        </row>
        <row r="6043">
          <cell r="A6043" t="str">
            <v>ST0526-3XL</v>
          </cell>
          <cell r="B6043" t="str">
            <v>T526</v>
          </cell>
          <cell r="C6043" t="str">
            <v>ซาติน แขนสั้นขายาว Royal Art 3XL</v>
          </cell>
        </row>
        <row r="6044">
          <cell r="A6044" t="str">
            <v>ST0526-L</v>
          </cell>
          <cell r="B6044" t="str">
            <v>T526</v>
          </cell>
          <cell r="C6044" t="str">
            <v>ซาติน แขนสั้นขายาว Royal Art L</v>
          </cell>
        </row>
        <row r="6045">
          <cell r="A6045" t="str">
            <v>ST0526-M</v>
          </cell>
          <cell r="B6045" t="str">
            <v>T526</v>
          </cell>
          <cell r="C6045" t="str">
            <v>ซาติน แขนสั้นขายาว Royal Art M</v>
          </cell>
        </row>
        <row r="6046">
          <cell r="A6046" t="str">
            <v>ST0526-S</v>
          </cell>
          <cell r="B6046" t="str">
            <v>T526</v>
          </cell>
          <cell r="C6046" t="str">
            <v>ซาติน แขนสั้นขายาว Royal Art S</v>
          </cell>
        </row>
        <row r="6047">
          <cell r="A6047" t="str">
            <v>ST0526-XL</v>
          </cell>
          <cell r="B6047" t="str">
            <v>T526</v>
          </cell>
          <cell r="C6047" t="str">
            <v>ซาติน แขนสั้นขายาว Royal Art XL</v>
          </cell>
        </row>
        <row r="6048">
          <cell r="A6048" t="str">
            <v>ST0541-2XL</v>
          </cell>
          <cell r="B6048" t="str">
            <v>T541</v>
          </cell>
          <cell r="C6048" t="str">
            <v>ซาติน แขนสั้นขายาว ใบไม้ชมพู ปกม่วง 2XL</v>
          </cell>
        </row>
        <row r="6049">
          <cell r="A6049" t="str">
            <v>ST0541-L</v>
          </cell>
          <cell r="B6049" t="str">
            <v>T541</v>
          </cell>
          <cell r="C6049" t="str">
            <v>ซาติน แขนสั้นขายาว ใบไม้ชมพู ปกม่วง L (กปก)</v>
          </cell>
        </row>
        <row r="6050">
          <cell r="A6050" t="str">
            <v>ST0541-M</v>
          </cell>
          <cell r="B6050" t="str">
            <v>T541</v>
          </cell>
          <cell r="C6050" t="str">
            <v>ซาติน แขนสั้นขายาว ใบไม้ชมพู ปกม่วง M</v>
          </cell>
        </row>
        <row r="6051">
          <cell r="A6051" t="str">
            <v>ST0541-XL</v>
          </cell>
          <cell r="B6051" t="str">
            <v>T541</v>
          </cell>
          <cell r="C6051" t="str">
            <v>ซาติน แขนสั้นขายาว ใบไม้ชมพู ปกม่วง XL</v>
          </cell>
        </row>
        <row r="6052">
          <cell r="A6052" t="str">
            <v>ST0542-2XL</v>
          </cell>
          <cell r="B6052" t="str">
            <v>JT542</v>
          </cell>
          <cell r="C6052" t="str">
            <v>ซาติน แขนสั้นขายาว Green Garden ปกชมพูจุด 2XL ตัวโชว์</v>
          </cell>
        </row>
        <row r="6053">
          <cell r="A6053" t="str">
            <v>ST0542-L</v>
          </cell>
          <cell r="B6053" t="str">
            <v>JT542</v>
          </cell>
          <cell r="C6053" t="str">
            <v>ซาติน แขนสั้นขายาว Green Garden ปกชมพูจุด L ตัวโชว์</v>
          </cell>
        </row>
        <row r="6054">
          <cell r="A6054" t="str">
            <v>ST0542-M</v>
          </cell>
          <cell r="B6054" t="str">
            <v>JT542</v>
          </cell>
          <cell r="C6054" t="str">
            <v>ซาติน แขนสั้นขายาว Green Garden ปกชมพูจุด M</v>
          </cell>
        </row>
        <row r="6055">
          <cell r="A6055" t="str">
            <v>ST0542-XL</v>
          </cell>
          <cell r="B6055" t="str">
            <v>JT542</v>
          </cell>
          <cell r="C6055" t="str">
            <v>ซาติน แขนสั้นขายาว Green Garden ปกชมพูจุด XL ตัวโชว์</v>
          </cell>
        </row>
        <row r="6056">
          <cell r="A6056" t="str">
            <v>ST0544-M</v>
          </cell>
          <cell r="B6056" t="str">
            <v>T544</v>
          </cell>
          <cell r="C6056" t="str">
            <v>ซาติน แขนสั้นขายาว คอกลม LV ดำ M (กปก)</v>
          </cell>
        </row>
        <row r="6057">
          <cell r="A6057" t="str">
            <v>ST0545-L</v>
          </cell>
          <cell r="B6057" t="str">
            <v>T545</v>
          </cell>
          <cell r="C6057" t="str">
            <v>ซาติน แขนสั้นขายาว คอกลม LV น้ำตาล L (กปก)</v>
          </cell>
        </row>
        <row r="6058">
          <cell r="A6058" t="str">
            <v>ST0545-M</v>
          </cell>
          <cell r="B6058" t="str">
            <v>T545</v>
          </cell>
          <cell r="C6058" t="str">
            <v>ซาติน แขนสั้นขายาว คอกลม LV น้ำตาล M</v>
          </cell>
        </row>
        <row r="6059">
          <cell r="A6059" t="str">
            <v>ST0549-L</v>
          </cell>
          <cell r="B6059" t="str">
            <v>T549</v>
          </cell>
          <cell r="C6059" t="str">
            <v>ซาติน แขนสั้นขายาว ลายทางเขียว ปกชมพู cute L</v>
          </cell>
        </row>
        <row r="6060">
          <cell r="A6060" t="str">
            <v>ST0549-M</v>
          </cell>
          <cell r="B6060" t="str">
            <v>T549</v>
          </cell>
          <cell r="C6060" t="str">
            <v>ซาติน แขนสั้นขายาว ลายทางเขียว ปกชมพู cute M</v>
          </cell>
        </row>
        <row r="6061">
          <cell r="A6061" t="str">
            <v>ST0550-L</v>
          </cell>
          <cell r="B6061" t="str">
            <v>JT550</v>
          </cell>
          <cell r="C6061" t="str">
            <v>ซาติน แขนสั้นขายาว ลายทางชมพู ปกชมพู cute L ตัวโชว์</v>
          </cell>
        </row>
        <row r="6062">
          <cell r="A6062" t="str">
            <v>ST0550-M</v>
          </cell>
          <cell r="B6062" t="str">
            <v>JT550</v>
          </cell>
          <cell r="C6062" t="str">
            <v>ซาติน แขนสั้นขายาว ลายทางชมพู ปกชมพู cute M ตัวโชว์</v>
          </cell>
        </row>
        <row r="6063">
          <cell r="A6063" t="str">
            <v>ST0557-L</v>
          </cell>
          <cell r="B6063" t="str">
            <v>T557</v>
          </cell>
          <cell r="C6063" t="str">
            <v>ซาติน แขนสั้นขายาว ม่วง ปกหัวใจ L (กปก)</v>
          </cell>
        </row>
        <row r="6064">
          <cell r="A6064" t="str">
            <v>ST0557-M</v>
          </cell>
          <cell r="B6064" t="str">
            <v>T557</v>
          </cell>
          <cell r="C6064" t="str">
            <v>ซาติน แขนสั้นขายาว ม่วง ปกหัวใจ M</v>
          </cell>
        </row>
        <row r="6065">
          <cell r="A6065" t="str">
            <v>ST0566-L</v>
          </cell>
          <cell r="B6065" t="str">
            <v>T566</v>
          </cell>
          <cell r="C6065" t="str">
            <v>ซาติน แขนสั้นขายาว ลายทาง ขาว ดำ L</v>
          </cell>
        </row>
        <row r="6066">
          <cell r="A6066" t="str">
            <v>ST0566-M</v>
          </cell>
          <cell r="B6066" t="str">
            <v>T566</v>
          </cell>
          <cell r="C6066" t="str">
            <v>ซาติน แขนสั้นขายาว ลายทาง ขาว ดำ M</v>
          </cell>
        </row>
        <row r="6067">
          <cell r="A6067" t="str">
            <v>ST0566-XL</v>
          </cell>
          <cell r="B6067" t="str">
            <v>T566</v>
          </cell>
          <cell r="C6067" t="str">
            <v>ซาติน แขนสั้นขายาว ลายทาง ขาว ดำ XL</v>
          </cell>
        </row>
        <row r="6068">
          <cell r="A6068" t="str">
            <v>ST0572-L</v>
          </cell>
          <cell r="B6068" t="str">
            <v>T572</v>
          </cell>
          <cell r="C6068" t="str">
            <v>ซาติน แขนสั้นขายาว ลายเสือ ชมพู ลูกไม้ L</v>
          </cell>
        </row>
        <row r="6069">
          <cell r="A6069" t="str">
            <v>ST0572-M</v>
          </cell>
          <cell r="B6069" t="str">
            <v>T572</v>
          </cell>
          <cell r="C6069" t="str">
            <v>ซาติน แขนสั้นขายาว ลายเสือ ชมพู ลูกไม้ M</v>
          </cell>
        </row>
        <row r="6070">
          <cell r="A6070" t="str">
            <v>ST0572-S</v>
          </cell>
          <cell r="B6070" t="str">
            <v>T572</v>
          </cell>
          <cell r="C6070" t="str">
            <v>ซาติน แขนสั้นขายาว ลายเสือ ชมพู ลูกไม้ S</v>
          </cell>
        </row>
        <row r="6071">
          <cell r="A6071" t="str">
            <v>ST0579-L</v>
          </cell>
          <cell r="B6071" t="str">
            <v>T579</v>
          </cell>
          <cell r="C6071" t="str">
            <v>ซาติน แขนสั้นขายาว ช่อดอกไม้ เขียว L</v>
          </cell>
        </row>
        <row r="6072">
          <cell r="A6072" t="str">
            <v>ST0579-M</v>
          </cell>
          <cell r="B6072" t="str">
            <v>T579</v>
          </cell>
          <cell r="C6072" t="str">
            <v>ซาติน แขนสั้นขายาว ช่อดอกไม้ เขียว M</v>
          </cell>
        </row>
        <row r="6073">
          <cell r="A6073" t="str">
            <v>ST0580-L</v>
          </cell>
          <cell r="B6073" t="str">
            <v>T580</v>
          </cell>
          <cell r="C6073" t="str">
            <v>ซาติน แขนสั้นขายาว ช่อดอกไม้ เหลือง L</v>
          </cell>
        </row>
        <row r="6074">
          <cell r="A6074" t="str">
            <v>ST0580-M</v>
          </cell>
          <cell r="B6074" t="str">
            <v>T580</v>
          </cell>
          <cell r="C6074" t="str">
            <v>ซาติน แขนสั้นขายาว ช่อดอกไม้ เหลือง M</v>
          </cell>
        </row>
        <row r="6075">
          <cell r="A6075" t="str">
            <v>ST0604-2XL</v>
          </cell>
          <cell r="B6075" t="str">
            <v>T604</v>
          </cell>
          <cell r="C6075" t="str">
            <v>ซาติน แขนสั้นขายาว Pink Rose 2XL</v>
          </cell>
        </row>
        <row r="6076">
          <cell r="A6076" t="str">
            <v>ST0604-L</v>
          </cell>
          <cell r="B6076" t="str">
            <v>T604</v>
          </cell>
          <cell r="C6076" t="str">
            <v>ซาติน แขนสั้นขายาว Pink Rose L (กปก)</v>
          </cell>
        </row>
        <row r="6077">
          <cell r="A6077" t="str">
            <v>ST0604-M</v>
          </cell>
          <cell r="B6077" t="str">
            <v>T604</v>
          </cell>
          <cell r="C6077" t="str">
            <v>ซาติน แขนสั้นขายาว Pink Rose M</v>
          </cell>
        </row>
        <row r="6078">
          <cell r="A6078" t="str">
            <v>ST0604-XL</v>
          </cell>
          <cell r="B6078" t="str">
            <v>T604</v>
          </cell>
          <cell r="C6078" t="str">
            <v>ซาติน แขนสั้นขายาว Pink Rose XL</v>
          </cell>
        </row>
        <row r="6079">
          <cell r="A6079" t="str">
            <v>ST0605-2XL</v>
          </cell>
          <cell r="B6079" t="str">
            <v>T605</v>
          </cell>
          <cell r="C6079" t="str">
            <v>ซาติน แขนสั้นขายาว ดอกลิลลี่ พื้นฟ้า 2XL</v>
          </cell>
        </row>
        <row r="6080">
          <cell r="A6080" t="str">
            <v>ST0605-L</v>
          </cell>
          <cell r="B6080" t="str">
            <v>T605</v>
          </cell>
          <cell r="C6080" t="str">
            <v>ซาติน แขนสั้นขายาว ดอกลิลลี่ พื้นฟ้า L</v>
          </cell>
        </row>
        <row r="6081">
          <cell r="A6081" t="str">
            <v>ST0605-M</v>
          </cell>
          <cell r="B6081" t="str">
            <v>T605</v>
          </cell>
          <cell r="C6081" t="str">
            <v>ซาติน แขนสั้นขายาว ดอกลิลลี่ พื้นฟ้า M</v>
          </cell>
        </row>
        <row r="6082">
          <cell r="A6082" t="str">
            <v>ST0605-XL</v>
          </cell>
          <cell r="B6082" t="str">
            <v>T605</v>
          </cell>
          <cell r="C6082" t="str">
            <v>ซาติน แขนสั้นขายาว ดอกลิลลี่ พื้นฟ้า XL</v>
          </cell>
        </row>
        <row r="6083">
          <cell r="A6083" t="str">
            <v>ST0606-2XL</v>
          </cell>
          <cell r="B6083" t="str">
            <v>T606</v>
          </cell>
          <cell r="C6083" t="str">
            <v>ซาติน แขนสั้นขายาว มอนสเตอร่า พื้นเขียวมินท์ 2XL (กปก)</v>
          </cell>
        </row>
        <row r="6084">
          <cell r="A6084" t="str">
            <v>ST0606-L</v>
          </cell>
          <cell r="B6084" t="str">
            <v>T606</v>
          </cell>
          <cell r="C6084" t="str">
            <v>ซาติน แขนสั้นขายาว มอนสเตอร่า พื้นเขียวมินท์ L (กปก)</v>
          </cell>
        </row>
        <row r="6085">
          <cell r="A6085" t="str">
            <v>ST0606-M</v>
          </cell>
          <cell r="B6085" t="str">
            <v>T606</v>
          </cell>
          <cell r="C6085" t="str">
            <v>ซาติน แขนสั้นขายาว มอนสเตอร่า พื้นเขียวมินท์ M (กปก)</v>
          </cell>
        </row>
        <row r="6086">
          <cell r="A6086" t="str">
            <v>ST0606-XL</v>
          </cell>
          <cell r="B6086" t="str">
            <v>T606</v>
          </cell>
          <cell r="C6086" t="str">
            <v>ซาติน แขนสั้นขายาว มอนสเตอร่า พื้นเขียวมินท์ XL (กปก)</v>
          </cell>
        </row>
        <row r="6087">
          <cell r="A6087" t="str">
            <v>ST0607-F</v>
          </cell>
          <cell r="B6087" t="str">
            <v>T607</v>
          </cell>
          <cell r="C6087" t="str">
            <v>ซาติน แขนสั้นขายาว สำนักจีน เส้าหลิน พื้นขาว F</v>
          </cell>
        </row>
        <row r="6088">
          <cell r="A6088" t="str">
            <v>ST0608-F</v>
          </cell>
          <cell r="B6088" t="str">
            <v>T608</v>
          </cell>
          <cell r="C6088" t="str">
            <v>ซาติน แขนสั้นขายาว ชิโนริ ชมพู ลายไพ่ F</v>
          </cell>
        </row>
        <row r="6089">
          <cell r="A6089" t="str">
            <v>ST0610-F</v>
          </cell>
          <cell r="B6089" t="str">
            <v>T610</v>
          </cell>
          <cell r="C6089" t="str">
            <v>ซาติน แขนสั้นขายาว Doraemon พื้นชมพู F</v>
          </cell>
        </row>
        <row r="6090">
          <cell r="A6090" t="str">
            <v>ST0611-F</v>
          </cell>
          <cell r="B6090" t="str">
            <v>T611</v>
          </cell>
          <cell r="C6090" t="str">
            <v>ซาติน แขนสั้นขายาว ตารางดำ พื้นครีม ขอบเขียว แรบบิท F</v>
          </cell>
        </row>
        <row r="6091">
          <cell r="A6091" t="str">
            <v>ST0612-F</v>
          </cell>
          <cell r="B6091" t="str">
            <v>T612</v>
          </cell>
          <cell r="C6091" t="str">
            <v>ซาติน แขนสั้นขายาว กวางแดง พื้นเขียว F</v>
          </cell>
        </row>
        <row r="6092">
          <cell r="A6092" t="str">
            <v>ST0614-F</v>
          </cell>
          <cell r="B6092" t="str">
            <v>T614</v>
          </cell>
          <cell r="C6092" t="str">
            <v>ซาติน แขนสั้นขายาว ตุ๊กตากระต่าย ปกชมพู ขอบฟ้า F</v>
          </cell>
        </row>
        <row r="6093">
          <cell r="A6093" t="str">
            <v>ST0615-F</v>
          </cell>
          <cell r="B6093" t="str">
            <v>T615</v>
          </cell>
          <cell r="C6093" t="str">
            <v>ซาติน แขนสั้นขายาว น้องเหมียวปุกปุย โมจิ ตารางชมพู F</v>
          </cell>
        </row>
        <row r="6094">
          <cell r="A6094" t="str">
            <v>ST0616-F</v>
          </cell>
          <cell r="B6094" t="str">
            <v>T616</v>
          </cell>
          <cell r="C6094" t="str">
            <v>ซาติน แขนสั้นขายาว ลายพราง น้ำเงิน F</v>
          </cell>
        </row>
        <row r="6095">
          <cell r="A6095" t="str">
            <v>ST0618-F</v>
          </cell>
          <cell r="B6095" t="str">
            <v>T618</v>
          </cell>
          <cell r="C6095" t="str">
            <v>ซิลค์แจ็คการ์ด แขนสั้นขายาว ตารางเขียว พื้นครีม ขอบส้ม แรบบิท F</v>
          </cell>
        </row>
        <row r="6096">
          <cell r="A6096" t="str">
            <v>ST0619-F</v>
          </cell>
          <cell r="B6096" t="str">
            <v>T619</v>
          </cell>
          <cell r="C6096" t="str">
            <v>ซาติน แขนสั้นขายาว Rock Tiger F</v>
          </cell>
        </row>
        <row r="6097">
          <cell r="A6097" t="str">
            <v>ST0620-F</v>
          </cell>
          <cell r="B6097" t="str">
            <v>T620</v>
          </cell>
          <cell r="C6097" t="str">
            <v>ซาติน แขนสั้นขายาว  จิ้งจอก คลั่งรัก ปกชมพู F</v>
          </cell>
        </row>
        <row r="6098">
          <cell r="A6098" t="str">
            <v>ST0621-F</v>
          </cell>
          <cell r="B6098" t="str">
            <v>T621</v>
          </cell>
          <cell r="C6098" t="str">
            <v>ซาติน แขนสั้นขายาว แรบบิท ตาราง สีเนื้อ F</v>
          </cell>
        </row>
        <row r="6099">
          <cell r="A6099" t="str">
            <v>ST0622-F</v>
          </cell>
          <cell r="B6099" t="str">
            <v>T622</v>
          </cell>
          <cell r="C6099" t="str">
            <v>ซาติน แขนสั้นขายาว สวันน่า พื้นเขียว F</v>
          </cell>
        </row>
        <row r="6100">
          <cell r="A6100" t="str">
            <v>ST0623-F</v>
          </cell>
          <cell r="B6100" t="str">
            <v>T623</v>
          </cell>
          <cell r="C6100" t="str">
            <v>ซาติน แขนสั้นขายาว Painting Art F</v>
          </cell>
        </row>
        <row r="6101">
          <cell r="A6101" t="str">
            <v>ST0624-2XL</v>
          </cell>
          <cell r="B6101" t="str">
            <v>T624</v>
          </cell>
          <cell r="C6101" t="str">
            <v>ซิลค์แจ็คการ์ด แขนสั้นขายาว Flitter ทิกเกอร์ ชมพู 2XL</v>
          </cell>
        </row>
        <row r="6102">
          <cell r="A6102" t="str">
            <v>ST0624-F</v>
          </cell>
          <cell r="B6102" t="str">
            <v>T624</v>
          </cell>
          <cell r="C6102" t="str">
            <v>ซิลค์แจ็คการ์ด แขนสั้นขายาว Flitter ทิกเกอร์ ชมพู F</v>
          </cell>
        </row>
        <row r="6103">
          <cell r="A6103" t="str">
            <v>ST0624-L</v>
          </cell>
          <cell r="B6103" t="str">
            <v>T624</v>
          </cell>
          <cell r="C6103" t="str">
            <v>ซิลค์แจ็คการ์ด แขนสั้นขายาว Flitter ทิกเกอร์ ชมพู L</v>
          </cell>
        </row>
        <row r="6104">
          <cell r="A6104" t="str">
            <v>ST0624-M</v>
          </cell>
          <cell r="B6104" t="str">
            <v>T624</v>
          </cell>
          <cell r="C6104" t="str">
            <v>ซิลค์แจ็คการ์ด แขนสั้นขายาว Flitter ทิกเกอร์ ชมพู M</v>
          </cell>
        </row>
        <row r="6105">
          <cell r="A6105" t="str">
            <v>ST0624-XL</v>
          </cell>
          <cell r="B6105" t="str">
            <v>T624</v>
          </cell>
          <cell r="C6105" t="str">
            <v>ซิลค์แจ็คการ์ด แขนสั้นขายาว Flitter ทิกเกอร์ ชมพู XL</v>
          </cell>
        </row>
        <row r="6106">
          <cell r="A6106" t="str">
            <v>ST0625-F</v>
          </cell>
          <cell r="B6106" t="str">
            <v>T625</v>
          </cell>
          <cell r="C6106" t="str">
            <v>ซิลค์แจ็คการ์ด แขนสั้นขายาว ตาราง Golden Rabbit F</v>
          </cell>
        </row>
        <row r="6107">
          <cell r="A6107" t="str">
            <v>ST0626-F</v>
          </cell>
          <cell r="B6107" t="str">
            <v>T626</v>
          </cell>
          <cell r="C6107" t="str">
            <v>ซาติน แขนสั้นขายาว ทุ่งทานตะวัน พื้นขาว F</v>
          </cell>
        </row>
        <row r="6108">
          <cell r="A6108" t="str">
            <v>ST0627-F</v>
          </cell>
          <cell r="B6108" t="str">
            <v>T627</v>
          </cell>
          <cell r="C6108" t="str">
            <v>ซาติน แขนสั้นขายาว ตารางชมพู กระต่าย พาสเทล F</v>
          </cell>
        </row>
        <row r="6109">
          <cell r="A6109" t="str">
            <v>ST0628-2XL</v>
          </cell>
          <cell r="B6109" t="str">
            <v>T628</v>
          </cell>
          <cell r="C6109" t="str">
            <v>ซาติน แขนสั้นขายาว ชิโนริ เขียว ขอบม่วง 2XL</v>
          </cell>
        </row>
        <row r="6110">
          <cell r="A6110" t="str">
            <v>ST0628-L</v>
          </cell>
          <cell r="B6110" t="str">
            <v>T628</v>
          </cell>
          <cell r="C6110" t="str">
            <v>ซาติน แขนสั้นขายาว ชิโนริ เขียว ขอบม่วง L</v>
          </cell>
        </row>
        <row r="6111">
          <cell r="A6111" t="str">
            <v>ST0628-M</v>
          </cell>
          <cell r="B6111" t="str">
            <v>T628</v>
          </cell>
          <cell r="C6111" t="str">
            <v>ซาติน แขนสั้นขายาว ชิโนริ เขียว ขอบม่วง M</v>
          </cell>
        </row>
        <row r="6112">
          <cell r="A6112" t="str">
            <v>ST0628-XL</v>
          </cell>
          <cell r="B6112" t="str">
            <v>T628</v>
          </cell>
          <cell r="C6112" t="str">
            <v>ซาติน แขนสั้นขายาว ชิโนริ เขียว ขอบม่วง XL</v>
          </cell>
        </row>
        <row r="6113">
          <cell r="A6113" t="str">
            <v>ST0629-2XL</v>
          </cell>
          <cell r="B6113" t="str">
            <v>T629</v>
          </cell>
          <cell r="C6113" t="str">
            <v>ซาติน แขนสั้นขายาว ชิโนริ ฟ้า ขอบม่วง 2XL</v>
          </cell>
        </row>
        <row r="6114">
          <cell r="A6114" t="str">
            <v>ST0629-L</v>
          </cell>
          <cell r="B6114" t="str">
            <v>JT629</v>
          </cell>
          <cell r="C6114" t="str">
            <v>ซาติน แขนสั้นขายาว ชิโนริ ฟ้า ขอบม่วง L ตัวโชว์</v>
          </cell>
        </row>
        <row r="6115">
          <cell r="A6115" t="str">
            <v>ST0629-M</v>
          </cell>
          <cell r="B6115" t="str">
            <v>JT629</v>
          </cell>
          <cell r="C6115" t="str">
            <v>ซาติน แขนสั้นขายาว ชิโนริ ฟ้า ขอบม่วง M</v>
          </cell>
        </row>
        <row r="6116">
          <cell r="A6116" t="str">
            <v>ST0629-XL</v>
          </cell>
          <cell r="B6116" t="str">
            <v>JT629</v>
          </cell>
          <cell r="C6116" t="str">
            <v>ซาติน แขนสั้นขายาว ชิโนริ ฟ้า ขอบม่วง XL ตัวโชว์</v>
          </cell>
        </row>
        <row r="6117">
          <cell r="A6117" t="str">
            <v>ST0630-2XL</v>
          </cell>
          <cell r="B6117" t="str">
            <v>T630</v>
          </cell>
          <cell r="C6117" t="str">
            <v>ซาติน แขนสั้นขายาว ชิโนริ ม่วง ขอบส้ม 2XL</v>
          </cell>
        </row>
        <row r="6118">
          <cell r="A6118" t="str">
            <v>ST0630-L</v>
          </cell>
          <cell r="B6118" t="str">
            <v>T630</v>
          </cell>
          <cell r="C6118" t="str">
            <v>ซาติน แขนสั้นขายาว ชิโนริ ม่วง ขอบส้ม L</v>
          </cell>
        </row>
        <row r="6119">
          <cell r="A6119" t="str">
            <v>ST0630-M</v>
          </cell>
          <cell r="B6119" t="str">
            <v>T630</v>
          </cell>
          <cell r="C6119" t="str">
            <v>ซาติน แขนสั้นขายาว ชิโนริ ม่วง ขอบส้ม M</v>
          </cell>
        </row>
        <row r="6120">
          <cell r="A6120" t="str">
            <v>ST0630-XL</v>
          </cell>
          <cell r="B6120" t="str">
            <v>T630</v>
          </cell>
          <cell r="C6120" t="str">
            <v>ซาติน แขนสั้นขายาว ชิโนริ ม่วง ขอบส้ม XL</v>
          </cell>
        </row>
        <row r="6121">
          <cell r="A6121" t="str">
            <v>ST0631-2XL</v>
          </cell>
          <cell r="B6121" t="str">
            <v>JT631</v>
          </cell>
          <cell r="C6121" t="str">
            <v>ซาติน แขนสั้นขายาว ชิโนริ ชมพู ขอบม่วง 2XL ตัวโชว์</v>
          </cell>
        </row>
        <row r="6122">
          <cell r="A6122" t="str">
            <v>ST0631-L</v>
          </cell>
          <cell r="B6122" t="str">
            <v>T631</v>
          </cell>
          <cell r="C6122" t="str">
            <v>ซาติน แขนสั้นขายาว ชิโนริ ชมพู ขอบม่วง L</v>
          </cell>
        </row>
        <row r="6123">
          <cell r="A6123" t="str">
            <v>ST0631-M</v>
          </cell>
          <cell r="B6123" t="str">
            <v>JT631</v>
          </cell>
          <cell r="C6123" t="str">
            <v>ซาติน แขนสั้นขายาว ชิโนริ ชมพู ขอบม่วง M</v>
          </cell>
        </row>
        <row r="6124">
          <cell r="A6124" t="str">
            <v>ST0631-XL</v>
          </cell>
          <cell r="B6124" t="str">
            <v>JT631</v>
          </cell>
          <cell r="C6124" t="str">
            <v>ซาติน แขนสั้นขายาว ชิโนริ ชมพู ขอบม่วง XL ตัวโชว์</v>
          </cell>
        </row>
        <row r="6125">
          <cell r="A6125" t="str">
            <v>ST0645-L</v>
          </cell>
          <cell r="B6125" t="str">
            <v>T645</v>
          </cell>
          <cell r="C6125" t="str">
            <v>ซาติน แขนสั้นขายาว Rainbow Cat พื้นเขียว L</v>
          </cell>
        </row>
        <row r="6126">
          <cell r="A6126" t="str">
            <v>ST0645-M</v>
          </cell>
          <cell r="B6126" t="str">
            <v>T645</v>
          </cell>
          <cell r="C6126" t="str">
            <v>ซาติน แขนสั้นขายาว Rainbow Cat พื้นเขียว M</v>
          </cell>
        </row>
        <row r="6127">
          <cell r="A6127" t="str">
            <v>ST0645-S</v>
          </cell>
          <cell r="B6127" t="str">
            <v>T645</v>
          </cell>
          <cell r="C6127" t="str">
            <v>ซาติน แขนสั้นขายาว Rainbow Cat พื้นเขียว S</v>
          </cell>
        </row>
        <row r="6128">
          <cell r="A6128" t="str">
            <v>ST0646-L</v>
          </cell>
          <cell r="B6128" t="str">
            <v>JT646</v>
          </cell>
          <cell r="C6128" t="str">
            <v>ซาติน แขนสั้นขายาว Rainbow Cat พื้นชมพู L (กปก) ตัวโชว์</v>
          </cell>
        </row>
        <row r="6129">
          <cell r="A6129" t="str">
            <v>ST0646-M</v>
          </cell>
          <cell r="B6129" t="str">
            <v>JT646</v>
          </cell>
          <cell r="C6129" t="str">
            <v>ซาติน แขนสั้นขายาว Rainbow Cat พื้นชมพู M (กปก) ตัวโชว์</v>
          </cell>
        </row>
        <row r="6130">
          <cell r="A6130" t="str">
            <v>ST0646-S</v>
          </cell>
          <cell r="B6130" t="str">
            <v>ป9</v>
          </cell>
          <cell r="C6130" t="str">
            <v>ซาติน แขนสั้นขายาว Rainbow Cat พื้นชมพู S (กปก)</v>
          </cell>
        </row>
        <row r="6131">
          <cell r="A6131" t="str">
            <v>ST0663-2XL</v>
          </cell>
          <cell r="B6131" t="str">
            <v>T663</v>
          </cell>
          <cell r="C6131" t="str">
            <v>ซาติน แขนสั้นขายาว Black Rose 2XL</v>
          </cell>
        </row>
        <row r="6132">
          <cell r="A6132" t="str">
            <v>ST0663-L</v>
          </cell>
          <cell r="B6132" t="str">
            <v>T663</v>
          </cell>
          <cell r="C6132" t="str">
            <v>ซาติน แขนสั้นขายาว Black Rose L (กปก)</v>
          </cell>
        </row>
        <row r="6133">
          <cell r="A6133" t="str">
            <v>ST0663-M</v>
          </cell>
          <cell r="B6133" t="str">
            <v>T663</v>
          </cell>
          <cell r="C6133" t="str">
            <v>ซาติน แขนสั้นขายาว Black Rose M</v>
          </cell>
        </row>
        <row r="6134">
          <cell r="A6134" t="str">
            <v>ST0663-XL</v>
          </cell>
          <cell r="B6134" t="str">
            <v>T663</v>
          </cell>
          <cell r="C6134" t="str">
            <v>ซาติน แขนสั้นขายาว Black Rose XL (กปก)</v>
          </cell>
        </row>
        <row r="6135">
          <cell r="A6135" t="str">
            <v>ST0666-L</v>
          </cell>
          <cell r="B6135" t="str">
            <v>JT666</v>
          </cell>
          <cell r="C6135" t="str">
            <v>ซาติน แขนสั้นขายาว Rainbow Cat พื้นขาว L (กปก) ตัวโชว์</v>
          </cell>
        </row>
        <row r="6136">
          <cell r="A6136" t="str">
            <v>ST0666-M</v>
          </cell>
          <cell r="B6136" t="str">
            <v>JT666</v>
          </cell>
          <cell r="C6136" t="str">
            <v>ซาติน แขนสั้นขายาว Rainbow Cat พื้นขาว M (กปก) ตัวโชว์</v>
          </cell>
        </row>
        <row r="6137">
          <cell r="A6137" t="str">
            <v>ST0666-S</v>
          </cell>
          <cell r="B6137" t="str">
            <v>JT666</v>
          </cell>
          <cell r="C6137" t="str">
            <v>ซาติน แขนสั้นขายาว Rainbow Cat พื้นขาว S (กปก) ตัวโชว์</v>
          </cell>
        </row>
        <row r="6138">
          <cell r="A6138" t="str">
            <v>ST0667-2XL</v>
          </cell>
          <cell r="B6138" t="str">
            <v>T667</v>
          </cell>
          <cell r="C6138" t="str">
            <v>ซาติน แขนสั้นขายาว art พื้นส้ม 2XL (กปก)</v>
          </cell>
        </row>
        <row r="6139">
          <cell r="A6139" t="str">
            <v>ST0667-L</v>
          </cell>
          <cell r="B6139" t="str">
            <v>T667</v>
          </cell>
          <cell r="C6139" t="str">
            <v>ซาติน แขนสั้นขายาว art พื้นส้ม L (กปก)</v>
          </cell>
        </row>
        <row r="6140">
          <cell r="A6140" t="str">
            <v>ST0667-M</v>
          </cell>
          <cell r="B6140" t="str">
            <v>JT667</v>
          </cell>
          <cell r="C6140" t="str">
            <v>ซาติน แขนสั้นขายาว art พื้นส้ม M (กปก) ตัวโชว์</v>
          </cell>
        </row>
        <row r="6141">
          <cell r="A6141" t="str">
            <v>ST0667-XL</v>
          </cell>
          <cell r="B6141" t="str">
            <v>T667</v>
          </cell>
          <cell r="C6141" t="str">
            <v>ซาติน แขนสั้นขายาว art พื้นส้ม XL (กปก)</v>
          </cell>
        </row>
        <row r="6142">
          <cell r="A6142" t="str">
            <v>ST0668-2XL</v>
          </cell>
          <cell r="B6142" t="str">
            <v>T668</v>
          </cell>
          <cell r="C6142" t="str">
            <v>ซาติน แขนสั้นขายาว ดอกลีลาวดี พื้นเขียว ปกเขียว 2XL (กปก)</v>
          </cell>
        </row>
        <row r="6143">
          <cell r="A6143" t="str">
            <v>ST0668-L</v>
          </cell>
          <cell r="B6143" t="str">
            <v>T668</v>
          </cell>
          <cell r="C6143" t="str">
            <v>ซาติน แขนสั้นขายาว ดอกลีลาวดี พื้นเขียว ปกเขียว L (กปก)</v>
          </cell>
        </row>
        <row r="6144">
          <cell r="A6144" t="str">
            <v>ST0668-M</v>
          </cell>
          <cell r="B6144" t="str">
            <v>T668</v>
          </cell>
          <cell r="C6144" t="str">
            <v>ซาติน แขนสั้นขายาว ดอกลีลาวดี พื้นเขียว ปกเขียว M (กปก)</v>
          </cell>
        </row>
        <row r="6145">
          <cell r="A6145" t="str">
            <v>ST0668-XL</v>
          </cell>
          <cell r="B6145" t="str">
            <v>T668</v>
          </cell>
          <cell r="C6145" t="str">
            <v>ซาติน แขนสั้นขายาว ดอกลีลาวดี พื้นเขียว ปกเขียว XL (กปก)</v>
          </cell>
        </row>
        <row r="6146">
          <cell r="A6146" t="str">
            <v>ST0670-F</v>
          </cell>
          <cell r="B6146" t="str">
            <v>T670</v>
          </cell>
          <cell r="C6146" t="str">
            <v>ซาติน แขนสั้นขายาว ฮัมมิ่งเบิร์ด พื้นขาว F</v>
          </cell>
        </row>
        <row r="6147">
          <cell r="A6147" t="str">
            <v>ST0671-F</v>
          </cell>
          <cell r="B6147" t="str">
            <v>T671</v>
          </cell>
          <cell r="C6147" t="str">
            <v>ซาติน แขนสั้นขายาว กระต่ายม่วง ปกม่วง พื้นขาว F</v>
          </cell>
        </row>
        <row r="6148">
          <cell r="A6148" t="str">
            <v>ST0672-F</v>
          </cell>
          <cell r="B6148" t="str">
            <v>T672</v>
          </cell>
          <cell r="C6148" t="str">
            <v>ซิลค์แจ็คการ์ด แขนสั้นขายาว เป็ด พื้นครีม ขอบเขียว F</v>
          </cell>
        </row>
        <row r="6149">
          <cell r="A6149" t="str">
            <v>ST0674-L</v>
          </cell>
          <cell r="B6149" t="str">
            <v>JT674</v>
          </cell>
          <cell r="C6149" t="str">
            <v>ซาติน แขนสั้นขายาว ดอกไม้ แดงน้ำเงิน พื้นครีม L (กปก)</v>
          </cell>
        </row>
        <row r="6150">
          <cell r="A6150" t="str">
            <v>ST0674-M</v>
          </cell>
          <cell r="B6150" t="str">
            <v>JT674</v>
          </cell>
          <cell r="C6150" t="str">
            <v>ซาติน แขนสั้นขายาว ดอกไม้ แดงน้ำเงิน พื้นครีม M (กปก) ตัวโชว์</v>
          </cell>
        </row>
        <row r="6151">
          <cell r="A6151" t="str">
            <v>ST0674-XL</v>
          </cell>
          <cell r="B6151" t="str">
            <v>BT674</v>
          </cell>
          <cell r="C6151" t="str">
            <v>ซาติน แขนสั้นขายาว ดอกไม้ แดงน้ำเงิน พื้นครีม XL (กปก)</v>
          </cell>
        </row>
        <row r="6152">
          <cell r="A6152" t="str">
            <v>ST0675-L</v>
          </cell>
          <cell r="B6152" t="str">
            <v>BT675</v>
          </cell>
          <cell r="C6152" t="str">
            <v>ซาติน แขนสั้นขายาว Blue Sky L</v>
          </cell>
        </row>
        <row r="6153">
          <cell r="A6153" t="str">
            <v>ST0675-M</v>
          </cell>
          <cell r="B6153" t="str">
            <v>BT675</v>
          </cell>
          <cell r="C6153" t="str">
            <v>ซาติน แขนสั้นขายาว Blue Sky M</v>
          </cell>
        </row>
        <row r="6154">
          <cell r="A6154" t="str">
            <v>ST0675-XL</v>
          </cell>
          <cell r="B6154" t="str">
            <v>T675</v>
          </cell>
          <cell r="C6154" t="str">
            <v>ซาติน แขนสั้นขายาว Blue Sky XL</v>
          </cell>
        </row>
        <row r="6155">
          <cell r="A6155" t="str">
            <v>ST0676-L</v>
          </cell>
          <cell r="B6155" t="str">
            <v>BT676</v>
          </cell>
          <cell r="C6155" t="str">
            <v>ซาติน แขนสั้นขายาว Pink Sky L (กปก)</v>
          </cell>
        </row>
        <row r="6156">
          <cell r="A6156" t="str">
            <v>ST0676-M</v>
          </cell>
          <cell r="B6156" t="str">
            <v>T676</v>
          </cell>
          <cell r="C6156" t="str">
            <v>ซาติน แขนสั้นขายาว Pink Sky M (กปก)</v>
          </cell>
        </row>
        <row r="6157">
          <cell r="A6157" t="str">
            <v>ST0676-XL</v>
          </cell>
          <cell r="B6157" t="str">
            <v>JT676</v>
          </cell>
          <cell r="C6157" t="str">
            <v>ซาติน แขนสั้นขายาว Pink Sky XL (กปก) ตัวโชว์</v>
          </cell>
        </row>
        <row r="6158">
          <cell r="A6158" t="str">
            <v>ST0677-L</v>
          </cell>
          <cell r="B6158" t="str">
            <v>JT677</v>
          </cell>
          <cell r="C6158" t="str">
            <v>ซาติน แขนสั้นขายาว Golden Leaf พื้นกรม L ตัวโชว์</v>
          </cell>
        </row>
        <row r="6159">
          <cell r="A6159" t="str">
            <v>ST0677-M</v>
          </cell>
          <cell r="B6159" t="str">
            <v>JT677</v>
          </cell>
          <cell r="C6159" t="str">
            <v>ซาติน แขนสั้นขายาว Golden Leaf พื้นกรม M ตัวโชว์</v>
          </cell>
        </row>
        <row r="6160">
          <cell r="A6160" t="str">
            <v>ST0677-XL</v>
          </cell>
          <cell r="B6160" t="str">
            <v>JT677</v>
          </cell>
          <cell r="C6160" t="str">
            <v>ซาติน แขนสั้นขายาว Golden Leaf พื้นกรม XL ตัวโชว์</v>
          </cell>
        </row>
        <row r="6161">
          <cell r="A6161" t="str">
            <v>ST0678-L</v>
          </cell>
          <cell r="B6161" t="str">
            <v>JT678</v>
          </cell>
          <cell r="C6161" t="str">
            <v>ซาติน แขนสั้นขายาว ดอกไม้น้ำตาล พื้นฟ้า คอวี L ตัวโชว์</v>
          </cell>
        </row>
        <row r="6162">
          <cell r="A6162" t="str">
            <v>ST0678-M</v>
          </cell>
          <cell r="B6162" t="str">
            <v>JT678</v>
          </cell>
          <cell r="C6162" t="str">
            <v>ซาติน แขนสั้นขายาว ดอกไม้น้ำตาล พื้นฟ้า คอวี M ตัวโชว์</v>
          </cell>
        </row>
        <row r="6163">
          <cell r="A6163" t="str">
            <v>ST0678-XL</v>
          </cell>
          <cell r="B6163" t="str">
            <v>JT678</v>
          </cell>
          <cell r="C6163" t="str">
            <v>ซาติน แขนสั้นขายาว ดอกไม้น้ำตาล พื้นฟ้า คอวี XL ตัวโชว์</v>
          </cell>
        </row>
        <row r="6164">
          <cell r="A6164" t="str">
            <v>ST0679-L</v>
          </cell>
          <cell r="B6164" t="str">
            <v>T679</v>
          </cell>
          <cell r="C6164" t="str">
            <v>ซาติน แขนสั้นขายาว กุหลาบ พื้นครีม L (กปก)</v>
          </cell>
        </row>
        <row r="6165">
          <cell r="A6165" t="str">
            <v>ST0679-M</v>
          </cell>
          <cell r="B6165" t="str">
            <v>T679</v>
          </cell>
          <cell r="C6165" t="str">
            <v>ซาติน แขนสั้นขายาว กุหลาบ พื้นครีม M (กปก)</v>
          </cell>
        </row>
        <row r="6166">
          <cell r="A6166" t="str">
            <v>ST0679-XL</v>
          </cell>
          <cell r="B6166" t="str">
            <v>T679</v>
          </cell>
          <cell r="C6166" t="str">
            <v>ซาติน แขนสั้นขายาว กุหลาบ พื้นครีม XL (กปก)</v>
          </cell>
        </row>
        <row r="6167">
          <cell r="A6167" t="str">
            <v>ST0680-L</v>
          </cell>
          <cell r="B6167" t="str">
            <v>JT680</v>
          </cell>
          <cell r="C6167" t="str">
            <v>ซาติน แขนสั้นขายาว ตาราง หมี ฟ้า L (กปก) ตัวโชว์</v>
          </cell>
        </row>
        <row r="6168">
          <cell r="A6168" t="str">
            <v>ST0680-M</v>
          </cell>
          <cell r="B6168" t="str">
            <v>T680</v>
          </cell>
          <cell r="C6168" t="str">
            <v>ซาติน แขนสั้นขายาว ตาราง หมี ฟ้า M (กปก) ตัวโชว์</v>
          </cell>
        </row>
        <row r="6169">
          <cell r="A6169" t="str">
            <v>ST0680-XL</v>
          </cell>
          <cell r="B6169" t="str">
            <v>JT680</v>
          </cell>
          <cell r="C6169" t="str">
            <v>ซาติน แขนสั้นขายาว ตาราง หมี ฟ้า XL (กปก) ตัวโชว์</v>
          </cell>
        </row>
        <row r="6170">
          <cell r="A6170" t="str">
            <v>ST0681-L</v>
          </cell>
          <cell r="B6170" t="str">
            <v>BT681</v>
          </cell>
          <cell r="C6170" t="str">
            <v>ซาติน แขนสั้นขายาว ตาราง หมี ชมพู L (กปก)</v>
          </cell>
        </row>
        <row r="6171">
          <cell r="A6171" t="str">
            <v>ST0681-M</v>
          </cell>
          <cell r="B6171" t="str">
            <v>T681</v>
          </cell>
          <cell r="C6171" t="str">
            <v>ซาติน แขนสั้นขายาว ตาราง หมี ชมพู M (กปก)</v>
          </cell>
        </row>
        <row r="6172">
          <cell r="A6172" t="str">
            <v>ST0681-XL</v>
          </cell>
          <cell r="B6172" t="str">
            <v>T681</v>
          </cell>
          <cell r="C6172" t="str">
            <v>ซาติน แขนสั้นขายาว ตาราง หมี ชมพู XL (กปก)</v>
          </cell>
        </row>
        <row r="6173">
          <cell r="A6173" t="str">
            <v>ST0685-F</v>
          </cell>
          <cell r="B6173" t="str">
            <v>T685</v>
          </cell>
          <cell r="C6173" t="str">
            <v>ซาติน แขนสั้นขายาว ตาราง ม่วง ก้อนเมฆ F</v>
          </cell>
        </row>
        <row r="6174">
          <cell r="A6174" t="str">
            <v>ST0687-F</v>
          </cell>
          <cell r="B6174" t="str">
            <v>T687</v>
          </cell>
          <cell r="C6174" t="str">
            <v>ซิลค์แจ็คการ์ด แขนสั้นขายาว หมีติดปีก ดอกไม้ชมพู F</v>
          </cell>
        </row>
        <row r="6175">
          <cell r="A6175" t="str">
            <v>ST0694-F</v>
          </cell>
          <cell r="B6175" t="str">
            <v>T694</v>
          </cell>
          <cell r="C6175" t="str">
            <v>ซิลค์แจ็คการ์ด แขนสั้นขายาว อุ๋งๆ พื้นชมพู F</v>
          </cell>
        </row>
        <row r="6176">
          <cell r="A6176" t="str">
            <v>ST0695-M</v>
          </cell>
          <cell r="B6176" t="str">
            <v>T695</v>
          </cell>
          <cell r="C6176" t="str">
            <v>ซาติน แขนสั้นขายาว ตารางฟ้า โบว์แดง เกงส้ม M</v>
          </cell>
        </row>
        <row r="6177">
          <cell r="A6177" t="str">
            <v>ST0697-L</v>
          </cell>
          <cell r="B6177" t="str">
            <v>T697</v>
          </cell>
          <cell r="C6177" t="str">
            <v>ซาติน แขนสั้นขายาว ชิโนริ เขียว กระเป๋าหมี L</v>
          </cell>
        </row>
        <row r="6178">
          <cell r="A6178" t="str">
            <v>ST0697-M</v>
          </cell>
          <cell r="B6178" t="str">
            <v>T697</v>
          </cell>
          <cell r="C6178" t="str">
            <v>ซาติน แขนสั้นขายาว ชิโนริ เขียว กระเป๋าหมี M</v>
          </cell>
        </row>
        <row r="6179">
          <cell r="A6179" t="str">
            <v>ST0697-XL</v>
          </cell>
          <cell r="B6179" t="str">
            <v>T697</v>
          </cell>
          <cell r="C6179" t="str">
            <v>ซาติน แขนสั้นขายาว ชิโนริ เขียว กระเป๋าหมี XL</v>
          </cell>
        </row>
        <row r="6180">
          <cell r="A6180" t="str">
            <v>ST0698-L</v>
          </cell>
          <cell r="B6180" t="str">
            <v>JT698</v>
          </cell>
          <cell r="C6180" t="str">
            <v>ซาติน แขนสั้นขายาว ชิโนริ ชมพู กระเป๋าหมี L ตัวโชว์</v>
          </cell>
        </row>
        <row r="6181">
          <cell r="A6181" t="str">
            <v>ST0698-M</v>
          </cell>
          <cell r="B6181" t="str">
            <v>JT698</v>
          </cell>
          <cell r="C6181" t="str">
            <v>ซาติน แขนสั้นขายาว ชิโนริ ชมพู กระเป๋าหมี M</v>
          </cell>
        </row>
        <row r="6182">
          <cell r="A6182" t="str">
            <v>ST0698-XL</v>
          </cell>
          <cell r="B6182" t="str">
            <v>JT698</v>
          </cell>
          <cell r="C6182" t="str">
            <v>ซาติน แขนสั้นขายาว ชิโนริ ชมพู กระเป๋าหมี XL ตัวโชว์</v>
          </cell>
        </row>
        <row r="6183">
          <cell r="A6183" t="str">
            <v>ST0699-L</v>
          </cell>
          <cell r="B6183" t="str">
            <v>T699</v>
          </cell>
          <cell r="C6183" t="str">
            <v>ซาติน แขนสั้นขายาว ชิโนริ ดำ กระเป๋าหมี L</v>
          </cell>
        </row>
        <row r="6184">
          <cell r="A6184" t="str">
            <v>ST0699-M</v>
          </cell>
          <cell r="B6184" t="str">
            <v>JT699</v>
          </cell>
          <cell r="C6184" t="str">
            <v>ซาติน แขนสั้นขายาว ชิโนริ ดำ กระเป๋าหมี M ตัวโชว์</v>
          </cell>
        </row>
        <row r="6185">
          <cell r="A6185" t="str">
            <v>ST0699-XL</v>
          </cell>
          <cell r="B6185" t="str">
            <v>JT699</v>
          </cell>
          <cell r="C6185" t="str">
            <v>ซาติน แขนสั้นขายาว ชิโนริ ดำ กระเป๋าหมี XL ตัวโชว์</v>
          </cell>
        </row>
        <row r="6186">
          <cell r="A6186" t="str">
            <v>ST0700-2XL</v>
          </cell>
          <cell r="B6186" t="str">
            <v>T700</v>
          </cell>
          <cell r="C6186" t="str">
            <v>ซาติน แขนสั้นขายาว Royal Rabbit 2XL</v>
          </cell>
        </row>
        <row r="6187">
          <cell r="A6187" t="str">
            <v>ST0700-L</v>
          </cell>
          <cell r="B6187" t="str">
            <v>T700</v>
          </cell>
          <cell r="C6187" t="str">
            <v>ซาติน แขนสั้นขายาว Royal Rabbit L</v>
          </cell>
        </row>
        <row r="6188">
          <cell r="A6188" t="str">
            <v>ST0700-M</v>
          </cell>
          <cell r="B6188" t="str">
            <v>T700</v>
          </cell>
          <cell r="C6188" t="str">
            <v>ซาติน แขนสั้นขายาว Royal Rabbit M</v>
          </cell>
        </row>
        <row r="6189">
          <cell r="A6189" t="str">
            <v>ST0700-XL</v>
          </cell>
          <cell r="B6189" t="str">
            <v>T700</v>
          </cell>
          <cell r="C6189" t="str">
            <v>ซาติน แขนสั้นขายาว Royal Rabbit XL</v>
          </cell>
        </row>
        <row r="6190">
          <cell r="A6190" t="str">
            <v>ST0701-2XL</v>
          </cell>
          <cell r="B6190" t="str">
            <v>JT701</v>
          </cell>
          <cell r="C6190" t="str">
            <v>ซาติน แขนสั้นขายาว คณะแมว 2XL ตัวโชว์</v>
          </cell>
        </row>
        <row r="6191">
          <cell r="A6191" t="str">
            <v>ST0701-L</v>
          </cell>
          <cell r="B6191" t="str">
            <v>JT701</v>
          </cell>
          <cell r="C6191" t="str">
            <v>ซาติน แขนสั้นขายาว คณะแมว L ตัวโชว์</v>
          </cell>
        </row>
        <row r="6192">
          <cell r="A6192" t="str">
            <v>ST0701-M</v>
          </cell>
          <cell r="B6192" t="str">
            <v>JT701</v>
          </cell>
          <cell r="C6192" t="str">
            <v>ซาติน แขนสั้นขายาว คณะแมว M ตัวโชว์</v>
          </cell>
        </row>
        <row r="6193">
          <cell r="A6193" t="str">
            <v>ST0701-XL</v>
          </cell>
          <cell r="B6193" t="str">
            <v>JT701</v>
          </cell>
          <cell r="C6193" t="str">
            <v>ซาติน แขนสั้นขายาว คณะแมว XL ตัวโชว์</v>
          </cell>
        </row>
        <row r="6194">
          <cell r="A6194" t="str">
            <v>ST0708-F</v>
          </cell>
          <cell r="B6194" t="str">
            <v>T708</v>
          </cell>
          <cell r="C6194" t="str">
            <v>ซิลค์แจ็คการ์ด แขนสั้นขายาว คลื่นชมพู ตุ๊กตาหมี F</v>
          </cell>
        </row>
        <row r="6195">
          <cell r="A6195" t="str">
            <v>ST0709-F</v>
          </cell>
          <cell r="B6195" t="str">
            <v>T709</v>
          </cell>
          <cell r="C6195" t="str">
            <v>ซาติน แขนสั้นขายาว Cat In Heart F (กปก)</v>
          </cell>
        </row>
        <row r="6196">
          <cell r="A6196" t="str">
            <v>ST0721-L</v>
          </cell>
          <cell r="B6196" t="str">
            <v>T721</v>
          </cell>
          <cell r="C6196" t="str">
            <v>ซาติน แขนสั้นขายาว ยูนิคอร์น ขาวดำ L</v>
          </cell>
        </row>
        <row r="6197">
          <cell r="A6197" t="str">
            <v>ST0721-M</v>
          </cell>
          <cell r="B6197" t="str">
            <v>JT721</v>
          </cell>
          <cell r="C6197" t="str">
            <v>ซาติน แขนสั้นขายาว ยูนิคอร์น ขาวดำ M ตัวโชว์</v>
          </cell>
        </row>
        <row r="6198">
          <cell r="A6198" t="str">
            <v>ST0721-XL</v>
          </cell>
          <cell r="B6198" t="str">
            <v>T721</v>
          </cell>
          <cell r="C6198" t="str">
            <v>ซาติน แขนสั้นขายาว ยูนิคอร์น ขาวดำ XL</v>
          </cell>
        </row>
        <row r="6199">
          <cell r="A6199" t="str">
            <v>ST0723-L</v>
          </cell>
          <cell r="B6199" t="str">
            <v>T723</v>
          </cell>
          <cell r="C6199" t="str">
            <v>ซาติน แขนสั้นขายาว ข้ามหลามตัดตำ พื้นขาว  L</v>
          </cell>
        </row>
        <row r="6200">
          <cell r="A6200" t="str">
            <v>ST0723-M</v>
          </cell>
          <cell r="B6200" t="str">
            <v>T723</v>
          </cell>
          <cell r="C6200" t="str">
            <v>ซาติน แขนสั้นขายาว ข้ามหลามตัดตำ พื้นขาว  M</v>
          </cell>
        </row>
        <row r="6201">
          <cell r="A6201" t="str">
            <v>ST0723-S</v>
          </cell>
          <cell r="B6201" t="str">
            <v>T723</v>
          </cell>
          <cell r="C6201" t="str">
            <v>ซาติน แขนสั้นขายาว ข้ามหลามตัดตำ พื้นขาว  S</v>
          </cell>
        </row>
        <row r="6202">
          <cell r="A6202" t="str">
            <v>ST0724-L</v>
          </cell>
          <cell r="B6202" t="str">
            <v>JT724</v>
          </cell>
          <cell r="C6202" t="str">
            <v>ซาติน แขนสั้นขายาว จุดเล็ก พื้นเหลือง  L ตัวโชว์</v>
          </cell>
        </row>
        <row r="6203">
          <cell r="A6203" t="str">
            <v>ST0724-M</v>
          </cell>
          <cell r="B6203" t="str">
            <v>T724</v>
          </cell>
          <cell r="C6203" t="str">
            <v>ซาติน แขนสั้นขายาว จุดเล็ก พื้นเหลือง  M</v>
          </cell>
        </row>
        <row r="6204">
          <cell r="A6204" t="str">
            <v>ST0724-S</v>
          </cell>
          <cell r="B6204" t="str">
            <v>T724</v>
          </cell>
          <cell r="C6204" t="str">
            <v>ซาติน แขนสั้นขายาว จุดเล็ก พื้นเหลือง  S</v>
          </cell>
        </row>
        <row r="6205">
          <cell r="A6205" t="str">
            <v>ST0725-L</v>
          </cell>
          <cell r="B6205" t="str">
            <v>BT725</v>
          </cell>
          <cell r="C6205" t="str">
            <v>ซาติน แขนสั้นขายาว จุดเล็ก พื้นชมพู  L</v>
          </cell>
        </row>
        <row r="6206">
          <cell r="A6206" t="str">
            <v>ST0725-M</v>
          </cell>
          <cell r="B6206" t="str">
            <v>T725</v>
          </cell>
          <cell r="C6206" t="str">
            <v>ซาติน แขนสั้นขายาว จุดเล็ก พื้นชมพู  M</v>
          </cell>
        </row>
        <row r="6207">
          <cell r="A6207" t="str">
            <v>ST0725-S</v>
          </cell>
          <cell r="B6207" t="str">
            <v>JT725</v>
          </cell>
          <cell r="C6207" t="str">
            <v>ซาติน แขนสั้นขายาว จุดเล็ก พื้นชมพู  S ตัวโชว์</v>
          </cell>
        </row>
        <row r="6208">
          <cell r="A6208" t="str">
            <v>ST0739-L</v>
          </cell>
          <cell r="B6208" t="str">
            <v>T739</v>
          </cell>
          <cell r="C6208" t="str">
            <v>ซาติน แขนสั้นขายาว Tiger Flower พื้นชมพู L</v>
          </cell>
        </row>
        <row r="6209">
          <cell r="A6209" t="str">
            <v>ST0739-M</v>
          </cell>
          <cell r="B6209" t="str">
            <v>T739</v>
          </cell>
          <cell r="C6209" t="str">
            <v>ซาติน แขนสั้นขายาว Tiger Flower พื้นชมพู M</v>
          </cell>
        </row>
        <row r="6210">
          <cell r="A6210" t="str">
            <v>ST0739-XL</v>
          </cell>
          <cell r="B6210" t="str">
            <v>T739</v>
          </cell>
          <cell r="C6210" t="str">
            <v>ซาติน แขนสั้นขายาว Tiger Flower พื้นชมพู XL</v>
          </cell>
        </row>
        <row r="6211">
          <cell r="A6211" t="str">
            <v>ST0755-2XL</v>
          </cell>
          <cell r="B6211" t="str">
            <v>BT755</v>
          </cell>
          <cell r="C6211" t="str">
            <v>ซิลค์แจ็คการ์ด แขนสั้นขายาว เสือ พืนชมพู ปกส้มฟ้า 2XL</v>
          </cell>
        </row>
        <row r="6212">
          <cell r="A6212" t="str">
            <v>ST0755-L</v>
          </cell>
          <cell r="B6212" t="str">
            <v>T755</v>
          </cell>
          <cell r="C6212" t="str">
            <v>ซิลค์แจ็คการ์ด แขนสั้นขายาว เสือ พืนชมพู ปกส้มฟ้า L</v>
          </cell>
        </row>
        <row r="6213">
          <cell r="A6213" t="str">
            <v>ST0755-M</v>
          </cell>
          <cell r="B6213" t="str">
            <v>T755</v>
          </cell>
          <cell r="C6213" t="str">
            <v>ซิลค์แจ็คการ์ด แขนสั้นขายาว เสือ พืนชมพู ปกส้มฟ้า M</v>
          </cell>
        </row>
        <row r="6214">
          <cell r="A6214" t="str">
            <v>ST0755-XL</v>
          </cell>
          <cell r="B6214" t="str">
            <v>BT755</v>
          </cell>
          <cell r="C6214" t="str">
            <v>ซิลค์แจ็คการ์ด แขนสั้นขายาว เสือ พืนชมพู ปกส้มฟ้า XL</v>
          </cell>
        </row>
        <row r="6215">
          <cell r="A6215" t="str">
            <v>ST0765-L</v>
          </cell>
          <cell r="B6215" t="str">
            <v>T765</v>
          </cell>
          <cell r="C6215" t="str">
            <v>ซาติน แขนสั้นขายาว โซ่ พื้นดำ L</v>
          </cell>
        </row>
        <row r="6216">
          <cell r="A6216" t="str">
            <v>ST0765-M</v>
          </cell>
          <cell r="B6216" t="str">
            <v>T765</v>
          </cell>
          <cell r="C6216" t="str">
            <v>ซาติน แขนสั้นขายาว โซ่ พื้นดำ M</v>
          </cell>
        </row>
        <row r="6217">
          <cell r="A6217" t="str">
            <v>ST0765-XL</v>
          </cell>
          <cell r="B6217" t="str">
            <v>T765</v>
          </cell>
          <cell r="C6217" t="str">
            <v>ซาติน แขนสั้นขายาว โซ่ พื้นดำ XL</v>
          </cell>
        </row>
        <row r="6218">
          <cell r="A6218" t="str">
            <v>ST0766-2XL</v>
          </cell>
          <cell r="B6218" t="str">
            <v>T766</v>
          </cell>
          <cell r="C6218" t="str">
            <v>ซาติน แขนสั้นขายาว Pinky Rose พื้นครีม 2XL</v>
          </cell>
        </row>
        <row r="6219">
          <cell r="A6219" t="str">
            <v>ST0766-3XL</v>
          </cell>
          <cell r="B6219" t="str">
            <v>T766</v>
          </cell>
          <cell r="C6219" t="str">
            <v>ซาติน แขนสั้นขายาว Pinky Rose พื้นครีม 3XL</v>
          </cell>
        </row>
        <row r="6220">
          <cell r="A6220" t="str">
            <v>ST0766-L</v>
          </cell>
          <cell r="B6220" t="str">
            <v>T766</v>
          </cell>
          <cell r="C6220" t="str">
            <v>ซาติน แขนสั้นขายาว Pinky Rose พื้นครีม L</v>
          </cell>
        </row>
        <row r="6221">
          <cell r="A6221" t="str">
            <v>ST0766-M</v>
          </cell>
          <cell r="B6221" t="str">
            <v>BT766</v>
          </cell>
          <cell r="C6221" t="str">
            <v>ซาติน แขนสั้นขายาว Pinky Rose พื้นครีม M</v>
          </cell>
        </row>
        <row r="6222">
          <cell r="A6222" t="str">
            <v>ST0766-XL</v>
          </cell>
          <cell r="B6222" t="str">
            <v>T766</v>
          </cell>
          <cell r="C6222" t="str">
            <v>ซาติน แขนสั้นขายาว Pinky Rose พื้นครีม XL</v>
          </cell>
        </row>
        <row r="6223">
          <cell r="A6223" t="str">
            <v>ST0780-2XL</v>
          </cell>
          <cell r="B6223" t="str">
            <v>T780</v>
          </cell>
          <cell r="C6223" t="str">
            <v>ซาติน แขนสั้นขายาว พื้นฟ้า เถาวัลย์ฟ้า 2XL (กปก)</v>
          </cell>
        </row>
        <row r="6224">
          <cell r="A6224" t="str">
            <v>ST0780-3XL</v>
          </cell>
          <cell r="B6224" t="str">
            <v>T780</v>
          </cell>
          <cell r="C6224" t="str">
            <v>ซาติน แขนสั้นขายาว พื้นฟ้า เถาวัลย์ฟ้า 3XL (กปก)</v>
          </cell>
        </row>
        <row r="6225">
          <cell r="A6225" t="str">
            <v>ST0780-L</v>
          </cell>
          <cell r="B6225" t="str">
            <v>T780</v>
          </cell>
          <cell r="C6225" t="str">
            <v>ซาติน แขนสั้นขายาว พื้นฟ้า เถาวัลย์ฟ้า L (กปก)</v>
          </cell>
        </row>
        <row r="6226">
          <cell r="A6226" t="str">
            <v>ST0780-M</v>
          </cell>
          <cell r="B6226" t="str">
            <v>T780</v>
          </cell>
          <cell r="C6226" t="str">
            <v>ซาติน แขนสั้นขายาว พื้นฟ้า เถาวัลย์ฟ้า M (กปก)</v>
          </cell>
        </row>
        <row r="6227">
          <cell r="A6227" t="str">
            <v>ST0780-XL</v>
          </cell>
          <cell r="B6227" t="str">
            <v>T780</v>
          </cell>
          <cell r="C6227" t="str">
            <v>ซาติน แขนสั้นขายาว พื้นฟ้า เถาวัลย์ฟ้า XL (กปก)</v>
          </cell>
        </row>
        <row r="6228">
          <cell r="A6228" t="str">
            <v>ST0781-2XL</v>
          </cell>
          <cell r="B6228" t="str">
            <v>T781</v>
          </cell>
          <cell r="C6228" t="str">
            <v>ซาติน แขนสั้นขายาว ดอกท้อ พื้นเขียว 2XL</v>
          </cell>
        </row>
        <row r="6229">
          <cell r="A6229" t="str">
            <v>ST0781-3XL</v>
          </cell>
          <cell r="B6229" t="str">
            <v>T781</v>
          </cell>
          <cell r="C6229" t="str">
            <v>ซาติน แขนสั้นขายาว ดอกท้อ พื้นเขียว 3XL</v>
          </cell>
        </row>
        <row r="6230">
          <cell r="A6230" t="str">
            <v>ST0781-L</v>
          </cell>
          <cell r="B6230" t="str">
            <v>T781</v>
          </cell>
          <cell r="C6230" t="str">
            <v>ซาติน แขนสั้นขายาว ดอกท้อ พื้นเขียว L</v>
          </cell>
        </row>
        <row r="6231">
          <cell r="A6231" t="str">
            <v>ST0781-M</v>
          </cell>
          <cell r="B6231" t="str">
            <v>T781</v>
          </cell>
          <cell r="C6231" t="str">
            <v>ซาติน แขนสั้นขายาว ดอกท้อ พื้นเขียว M</v>
          </cell>
        </row>
        <row r="6232">
          <cell r="A6232" t="str">
            <v>ST0781-XL</v>
          </cell>
          <cell r="B6232" t="str">
            <v>T781</v>
          </cell>
          <cell r="C6232" t="str">
            <v>ซาติน แขนสั้นขายาว ดอกท้อ พื้นเขียว XL</v>
          </cell>
        </row>
        <row r="6233">
          <cell r="A6233" t="str">
            <v>ST0786-2XL</v>
          </cell>
          <cell r="B6233" t="str">
            <v>T786</v>
          </cell>
          <cell r="C6233" t="str">
            <v>ซาติน แขนสั้นขายาว เกสรดอกไม้ คอวี 2XL</v>
          </cell>
        </row>
        <row r="6234">
          <cell r="A6234" t="str">
            <v>ST0786-3XL</v>
          </cell>
          <cell r="B6234" t="str">
            <v>BT786</v>
          </cell>
          <cell r="C6234" t="str">
            <v>ซาติน แขนสั้นขายาว เกสรดอกไม้ คอวี 3XL</v>
          </cell>
        </row>
        <row r="6235">
          <cell r="A6235" t="str">
            <v>ST0786-L</v>
          </cell>
          <cell r="B6235" t="str">
            <v>BT786</v>
          </cell>
          <cell r="C6235" t="str">
            <v>ซาติน แขนสั้นขายาว เกสรดอกไม้ คอวี L</v>
          </cell>
        </row>
        <row r="6236">
          <cell r="A6236" t="str">
            <v>ST0786-M</v>
          </cell>
          <cell r="B6236" t="str">
            <v>T786</v>
          </cell>
          <cell r="C6236" t="str">
            <v>ซาติน แขนสั้นขายาว เกสรดอกไม้ คอวี M</v>
          </cell>
        </row>
        <row r="6237">
          <cell r="A6237" t="str">
            <v>ST0786-XL</v>
          </cell>
          <cell r="B6237" t="str">
            <v>T786</v>
          </cell>
          <cell r="C6237" t="str">
            <v>ซาติน แขนสั้นขายาว เกสรดอกไม้ คอวี XL</v>
          </cell>
        </row>
        <row r="6238">
          <cell r="A6238" t="str">
            <v>ST0790-2XL</v>
          </cell>
          <cell r="B6238" t="str">
            <v>T790</v>
          </cell>
          <cell r="C6238" t="str">
            <v>ซาติน แขนสั้นขายาว แฟนซี่ พิ้งค์ 2XL</v>
          </cell>
        </row>
        <row r="6239">
          <cell r="A6239" t="str">
            <v>ST0790-L</v>
          </cell>
          <cell r="B6239" t="str">
            <v>T790</v>
          </cell>
          <cell r="C6239" t="str">
            <v>ซาติน แขนสั้นขายาว แฟนซี่ พิ้งค์ L</v>
          </cell>
        </row>
        <row r="6240">
          <cell r="A6240" t="str">
            <v>ST0790-M</v>
          </cell>
          <cell r="B6240" t="str">
            <v>T790</v>
          </cell>
          <cell r="C6240" t="str">
            <v>ซาติน แขนสั้นขายาว แฟนซี่ พิ้งค์ M</v>
          </cell>
        </row>
        <row r="6241">
          <cell r="A6241" t="str">
            <v>ST0790-XL</v>
          </cell>
          <cell r="B6241" t="str">
            <v>T790</v>
          </cell>
          <cell r="C6241" t="str">
            <v>ซาติน แขนสั้นขายาว แฟนซี่ พิ้งค์ XL</v>
          </cell>
        </row>
        <row r="6242">
          <cell r="A6242" t="str">
            <v>ST0797-2XL</v>
          </cell>
          <cell r="B6242" t="str">
            <v>T797</v>
          </cell>
          <cell r="C6242" t="str">
            <v>ซาติน แขนสั้นขายาว Green Village 2XL</v>
          </cell>
        </row>
        <row r="6243">
          <cell r="A6243" t="str">
            <v>ST0797-3XL</v>
          </cell>
          <cell r="B6243" t="str">
            <v>T797</v>
          </cell>
          <cell r="C6243" t="str">
            <v>ซาติน แขนสั้นขายาว Green Village 3XL</v>
          </cell>
        </row>
        <row r="6244">
          <cell r="A6244" t="str">
            <v>ST0797-L</v>
          </cell>
          <cell r="B6244" t="str">
            <v>T797</v>
          </cell>
          <cell r="C6244" t="str">
            <v>ซาติน แขนสั้นขายาว Green Village L</v>
          </cell>
        </row>
        <row r="6245">
          <cell r="A6245" t="str">
            <v>ST0797-M</v>
          </cell>
          <cell r="B6245" t="str">
            <v>T797</v>
          </cell>
          <cell r="C6245" t="str">
            <v>ซาติน แขนสั้นขายาว Green Village M</v>
          </cell>
        </row>
        <row r="6246">
          <cell r="A6246" t="str">
            <v>ST0797-XL</v>
          </cell>
          <cell r="B6246" t="str">
            <v>T797</v>
          </cell>
          <cell r="C6246" t="str">
            <v>ซาติน แขนสั้นขายาว Green Village XL</v>
          </cell>
        </row>
        <row r="6247">
          <cell r="A6247" t="str">
            <v>ST0798-2XL</v>
          </cell>
          <cell r="B6247" t="str">
            <v>T798</v>
          </cell>
          <cell r="C6247" t="str">
            <v>ซาติน แขนสั้นขายาว Red Village 2XL</v>
          </cell>
        </row>
        <row r="6248">
          <cell r="A6248" t="str">
            <v>ST0798-3XL</v>
          </cell>
          <cell r="B6248" t="str">
            <v>T798</v>
          </cell>
          <cell r="C6248" t="str">
            <v>ซาติน แขนสั้นขายาว Red Village 3XL</v>
          </cell>
        </row>
        <row r="6249">
          <cell r="A6249" t="str">
            <v>ST0798-L</v>
          </cell>
          <cell r="B6249" t="str">
            <v>T798</v>
          </cell>
          <cell r="C6249" t="str">
            <v>ซาติน แขนสั้นขายาว Red Village L</v>
          </cell>
        </row>
        <row r="6250">
          <cell r="A6250" t="str">
            <v>ST0798-M</v>
          </cell>
          <cell r="B6250" t="str">
            <v>JT798</v>
          </cell>
          <cell r="C6250" t="str">
            <v>ซาติน แขนสั้นขายาว Red Village M ตัวโชว์</v>
          </cell>
        </row>
        <row r="6251">
          <cell r="A6251" t="str">
            <v>ST0798-XL</v>
          </cell>
          <cell r="B6251" t="str">
            <v>T798</v>
          </cell>
          <cell r="C6251" t="str">
            <v>ซาติน แขนสั้นขายาว Red Village XL</v>
          </cell>
        </row>
        <row r="6252">
          <cell r="A6252" t="str">
            <v>ST0800-L</v>
          </cell>
          <cell r="B6252" t="str">
            <v>T800</v>
          </cell>
          <cell r="C6252" t="str">
            <v>ซิลค์แจ็คการ์ด แขนสั้นขายาว กุหลาบ พื้นขาว ปกชมพู L</v>
          </cell>
        </row>
        <row r="6253">
          <cell r="A6253" t="str">
            <v>ST0800-M</v>
          </cell>
          <cell r="B6253" t="str">
            <v>T800</v>
          </cell>
          <cell r="C6253" t="str">
            <v>ซิลค์แจ็คการ์ด แขนสั้นขายาว กุหลาบ พื้นขาว ปกชมพู M</v>
          </cell>
        </row>
        <row r="6254">
          <cell r="A6254" t="str">
            <v>ST0800-XL</v>
          </cell>
          <cell r="B6254" t="str">
            <v>T800</v>
          </cell>
          <cell r="C6254" t="str">
            <v>ซิลค์แจ็คการ์ด แขนสั้นขายาว กุหลาบ พื้นขาว ปกชมพู XL</v>
          </cell>
        </row>
        <row r="6255">
          <cell r="A6255" t="str">
            <v>ST0801-L</v>
          </cell>
          <cell r="B6255" t="str">
            <v>JT801</v>
          </cell>
          <cell r="C6255" t="str">
            <v>ซาติน แขนสั้นขายาว พื้นฟ้าคราม สีครีม L ตัวโชว์</v>
          </cell>
        </row>
        <row r="6256">
          <cell r="A6256" t="str">
            <v>ST0801-M</v>
          </cell>
          <cell r="B6256" t="str">
            <v>JT801</v>
          </cell>
          <cell r="C6256" t="str">
            <v>ซาติน แขนสั้นขายาว พื้นฟ้าคราม สีครีม M ตัวโชว์</v>
          </cell>
        </row>
        <row r="6257">
          <cell r="A6257" t="str">
            <v>ST0801-XL</v>
          </cell>
          <cell r="B6257" t="str">
            <v>JT801</v>
          </cell>
          <cell r="C6257" t="str">
            <v>ซาติน แขนสั้นขายาว พื้นฟ้าคราม สีครีม XL ตัวโชว์</v>
          </cell>
        </row>
        <row r="6258">
          <cell r="A6258" t="str">
            <v>ST0802-L</v>
          </cell>
          <cell r="B6258" t="str">
            <v>JT802</v>
          </cell>
          <cell r="C6258" t="str">
            <v>ซิลค์แจ็คการ์ด แขนสั้นขายาว พื้นเขียว ดอกไม้ฟ้าขาว L ตัวโชว์</v>
          </cell>
        </row>
        <row r="6259">
          <cell r="A6259" t="str">
            <v>ST0802-M</v>
          </cell>
          <cell r="B6259" t="str">
            <v>JT802</v>
          </cell>
          <cell r="C6259" t="str">
            <v>ซิลค์แจ็คการ์ด แขนสั้นขายาว พื้นเขียว ดอกไม้ฟ้าขาว M ตัวโชว์</v>
          </cell>
        </row>
        <row r="6260">
          <cell r="A6260" t="str">
            <v>ST0802-XL</v>
          </cell>
          <cell r="B6260" t="str">
            <v>JT802</v>
          </cell>
          <cell r="C6260" t="str">
            <v>ซิลค์แจ็คการ์ด แขนสั้นขายาว พื้นเขียว ดอกไม้ฟ้าขาว XL</v>
          </cell>
        </row>
        <row r="6261">
          <cell r="A6261" t="str">
            <v>ST0804-L</v>
          </cell>
          <cell r="B6261" t="str">
            <v>T804</v>
          </cell>
          <cell r="C6261" t="str">
            <v>ซาติน แขนสั้นขายาว พื้นชมพูคราม สีครีม L</v>
          </cell>
        </row>
        <row r="6262">
          <cell r="A6262" t="str">
            <v>ST0804-M</v>
          </cell>
          <cell r="B6262" t="str">
            <v>T804</v>
          </cell>
          <cell r="C6262" t="str">
            <v>ซาติน แขนสั้นขายาว พื้นชมพูคราม สีครีม M</v>
          </cell>
        </row>
        <row r="6263">
          <cell r="A6263" t="str">
            <v>ST0804-XL</v>
          </cell>
          <cell r="B6263" t="str">
            <v>T804</v>
          </cell>
          <cell r="C6263" t="str">
            <v>ซาติน แขนสั้นขายาว พื้นชมพูคราม สีครีม XL</v>
          </cell>
        </row>
        <row r="6264">
          <cell r="A6264" t="str">
            <v>ST0806-L</v>
          </cell>
          <cell r="B6264" t="str">
            <v>T806</v>
          </cell>
          <cell r="C6264" t="str">
            <v>ซาติน แขนสั้นขายาว ดอกไม้เขียว ชมพู L</v>
          </cell>
        </row>
        <row r="6265">
          <cell r="A6265" t="str">
            <v>ST0806-M</v>
          </cell>
          <cell r="B6265" t="str">
            <v>T806</v>
          </cell>
          <cell r="C6265" t="str">
            <v>ซาติน แขนสั้นขายาว ดอกไม้เขียว ชมพู M</v>
          </cell>
        </row>
        <row r="6266">
          <cell r="A6266" t="str">
            <v>ST0806-XL</v>
          </cell>
          <cell r="B6266" t="str">
            <v>T806</v>
          </cell>
          <cell r="C6266" t="str">
            <v>ซาติน แขนสั้นขายาว ดอกไม้เขียว ชมพู XL</v>
          </cell>
        </row>
        <row r="6267">
          <cell r="A6267" t="str">
            <v>ST0807-L</v>
          </cell>
          <cell r="B6267" t="str">
            <v>T807</v>
          </cell>
          <cell r="C6267" t="str">
            <v>ซาติน แขนสั้นขายาว หกเหลี่ยม เขียว ขาว L</v>
          </cell>
        </row>
        <row r="6268">
          <cell r="A6268" t="str">
            <v>ST0807-M</v>
          </cell>
          <cell r="B6268" t="str">
            <v>JT807</v>
          </cell>
          <cell r="C6268" t="str">
            <v>ซาติน แขนสั้นขายาว หกเหลี่ยม เขียว ขาว M ตัวโชว์</v>
          </cell>
        </row>
        <row r="6269">
          <cell r="A6269" t="str">
            <v>ST0807-XL</v>
          </cell>
          <cell r="B6269" t="str">
            <v>T807</v>
          </cell>
          <cell r="C6269" t="str">
            <v>ซาติน แขนสั้นขายาว หกเหลี่ยม เขียว ขาว XL</v>
          </cell>
        </row>
        <row r="6270">
          <cell r="A6270" t="str">
            <v>ST0808-2XL</v>
          </cell>
          <cell r="B6270" t="str">
            <v>T808</v>
          </cell>
          <cell r="C6270" t="str">
            <v>ซาติน แขนสั้นขายาว tulip ม่วง 2XL</v>
          </cell>
        </row>
        <row r="6271">
          <cell r="A6271" t="str">
            <v>ST0808-3XL</v>
          </cell>
          <cell r="B6271" t="str">
            <v>T808</v>
          </cell>
          <cell r="C6271" t="str">
            <v>ซาติน แขนสั้นขายาว tulip ม่วง 3XL</v>
          </cell>
        </row>
        <row r="6272">
          <cell r="A6272" t="str">
            <v>ST0808-L</v>
          </cell>
          <cell r="B6272" t="str">
            <v>T808</v>
          </cell>
          <cell r="C6272" t="str">
            <v>ซาติน แขนสั้นขายาว tulip ม่วง L</v>
          </cell>
        </row>
        <row r="6273">
          <cell r="A6273" t="str">
            <v>ST0808-M</v>
          </cell>
          <cell r="B6273" t="str">
            <v>T808</v>
          </cell>
          <cell r="C6273" t="str">
            <v>ซาติน แขนสั้นขายาว tulip ม่วง M</v>
          </cell>
        </row>
        <row r="6274">
          <cell r="A6274" t="str">
            <v>ST0808-S</v>
          </cell>
          <cell r="B6274" t="str">
            <v>T808</v>
          </cell>
          <cell r="C6274" t="str">
            <v>ซาติน แขนสั้นขายาว tulip ม่วง S</v>
          </cell>
        </row>
        <row r="6275">
          <cell r="A6275" t="str">
            <v>ST0808-XL</v>
          </cell>
          <cell r="B6275" t="str">
            <v>T808</v>
          </cell>
          <cell r="C6275" t="str">
            <v>ซาติน แขนสั้นขายาว tulip ม่วง XL</v>
          </cell>
        </row>
        <row r="6276">
          <cell r="A6276" t="str">
            <v>ST0813-2XL</v>
          </cell>
          <cell r="B6276" t="str">
            <v>T813</v>
          </cell>
          <cell r="C6276" t="str">
            <v>ซาติน แขนสั้นขายาว ดอกโสน พื้นฟ้า 2XL</v>
          </cell>
        </row>
        <row r="6277">
          <cell r="A6277" t="str">
            <v>ST0813-3XL</v>
          </cell>
          <cell r="B6277" t="str">
            <v>BT813</v>
          </cell>
          <cell r="C6277" t="str">
            <v>ซาติน แขนสั้นขายาว ดอกโสน พื้นฟ้า 3XL</v>
          </cell>
        </row>
        <row r="6278">
          <cell r="A6278" t="str">
            <v>ST0813-L</v>
          </cell>
          <cell r="B6278" t="str">
            <v>T813</v>
          </cell>
          <cell r="C6278" t="str">
            <v>ซาติน แขนสั้นขายาว ดอกโสน พื้นฟ้า L</v>
          </cell>
        </row>
        <row r="6279">
          <cell r="A6279" t="str">
            <v>ST0813-M</v>
          </cell>
          <cell r="B6279" t="str">
            <v>T813</v>
          </cell>
          <cell r="C6279" t="str">
            <v>ซาติน แขนสั้นขายาว ดอกโสน พื้นฟ้า M</v>
          </cell>
        </row>
        <row r="6280">
          <cell r="A6280" t="str">
            <v>ST0813-XL</v>
          </cell>
          <cell r="B6280" t="str">
            <v>T813</v>
          </cell>
          <cell r="C6280" t="str">
            <v>ซาติน แขนสั้นขายาว ดอกโสน พื้นฟ้า XL</v>
          </cell>
        </row>
        <row r="6281">
          <cell r="A6281" t="str">
            <v>ST0818-2XL</v>
          </cell>
          <cell r="B6281" t="str">
            <v>T818</v>
          </cell>
          <cell r="C6281" t="str">
            <v>ซาติน แขนสั้นขายาว Royal Green Art 2XL</v>
          </cell>
        </row>
        <row r="6282">
          <cell r="A6282" t="str">
            <v>ST0818-3XL</v>
          </cell>
          <cell r="B6282" t="str">
            <v>T818</v>
          </cell>
          <cell r="C6282" t="str">
            <v>ซาติน แขนสั้นขายาว Royal Green Art 3XL</v>
          </cell>
        </row>
        <row r="6283">
          <cell r="A6283" t="str">
            <v>ST0818-L</v>
          </cell>
          <cell r="B6283" t="str">
            <v>T818</v>
          </cell>
          <cell r="C6283" t="str">
            <v>ซาติน แขนสั้นขายาว Royal Green Art L</v>
          </cell>
        </row>
        <row r="6284">
          <cell r="A6284" t="str">
            <v>ST0818-M</v>
          </cell>
          <cell r="B6284" t="str">
            <v>T818</v>
          </cell>
          <cell r="C6284" t="str">
            <v>ซาติน แขนสั้นขายาว Royal Green Art M</v>
          </cell>
        </row>
        <row r="6285">
          <cell r="A6285" t="str">
            <v>ST0818-S</v>
          </cell>
          <cell r="B6285" t="str">
            <v>T818</v>
          </cell>
          <cell r="C6285" t="str">
            <v>ซาติน แขนสั้นขายาว Royal Green Art S</v>
          </cell>
        </row>
        <row r="6286">
          <cell r="A6286" t="str">
            <v>ST0818-XL</v>
          </cell>
          <cell r="B6286" t="str">
            <v>T818</v>
          </cell>
          <cell r="C6286" t="str">
            <v>ซาติน แขนสั้นขายาว Royal Green Art XL</v>
          </cell>
        </row>
        <row r="6287">
          <cell r="A6287" t="str">
            <v>ST0819-2XL</v>
          </cell>
          <cell r="B6287" t="str">
            <v>T819</v>
          </cell>
          <cell r="C6287" t="str">
            <v>ซาติน แขนสั้นขายาว ดอกมะลิ พื้นฟ้า 2XL</v>
          </cell>
        </row>
        <row r="6288">
          <cell r="A6288" t="str">
            <v>ST0819-L</v>
          </cell>
          <cell r="B6288" t="str">
            <v>BT819</v>
          </cell>
          <cell r="C6288" t="str">
            <v>ซาติน แขนสั้นขายาว ดอกมะลิ พื้นฟ้า L</v>
          </cell>
        </row>
        <row r="6289">
          <cell r="A6289" t="str">
            <v>ST0819-M</v>
          </cell>
          <cell r="B6289" t="str">
            <v>T819</v>
          </cell>
          <cell r="C6289" t="str">
            <v>ซาติน แขนสั้นขายาว ดอกมะลิ พื้นฟ้า M</v>
          </cell>
        </row>
        <row r="6290">
          <cell r="A6290" t="str">
            <v>ST0819-XL</v>
          </cell>
          <cell r="B6290" t="str">
            <v>T819</v>
          </cell>
          <cell r="C6290" t="str">
            <v>ซาติน แขนสั้นขายาว ดอกมะลิ พื้นฟ้า XL</v>
          </cell>
        </row>
        <row r="6291">
          <cell r="A6291" t="str">
            <v>ST0820-2XL</v>
          </cell>
          <cell r="B6291" t="str">
            <v>T820</v>
          </cell>
          <cell r="C6291" t="str">
            <v>ซาติน แขนสั้นขายาว Blue Lotus 2XL (กปก)</v>
          </cell>
        </row>
        <row r="6292">
          <cell r="A6292" t="str">
            <v>ST0820-L</v>
          </cell>
          <cell r="B6292" t="str">
            <v>T820</v>
          </cell>
          <cell r="C6292" t="str">
            <v>ซาติน แขนสั้นขายาว Blue Lotus L (กปก)</v>
          </cell>
        </row>
        <row r="6293">
          <cell r="A6293" t="str">
            <v>ST0820-M</v>
          </cell>
          <cell r="B6293" t="str">
            <v>BT820</v>
          </cell>
          <cell r="C6293" t="str">
            <v>ซาติน แขนสั้นขายาว Blue Lotus M (กปก)</v>
          </cell>
        </row>
        <row r="6294">
          <cell r="A6294" t="str">
            <v>ST0820-XL</v>
          </cell>
          <cell r="B6294" t="str">
            <v>BT820</v>
          </cell>
          <cell r="C6294" t="str">
            <v>ซาติน แขนสั้นขายาว Blue Lotus XL (กปก)</v>
          </cell>
        </row>
        <row r="6295">
          <cell r="A6295" t="str">
            <v>ST0826-2XL</v>
          </cell>
          <cell r="B6295" t="str">
            <v>T826</v>
          </cell>
          <cell r="C6295" t="str">
            <v>ซาติน แขนสั้นขายาว ป่าดิบชื้น 2XL</v>
          </cell>
        </row>
        <row r="6296">
          <cell r="A6296" t="str">
            <v>ST0826-3XL</v>
          </cell>
          <cell r="B6296" t="str">
            <v>T826</v>
          </cell>
          <cell r="C6296" t="str">
            <v>ซาติน แขนสั้นขายาว ป่าดิบชื้น 3XL</v>
          </cell>
        </row>
        <row r="6297">
          <cell r="A6297" t="str">
            <v>ST0826-L</v>
          </cell>
          <cell r="B6297" t="str">
            <v>T826</v>
          </cell>
          <cell r="C6297" t="str">
            <v>ซาติน แขนสั้นขายาว ป่าดิบชื้น L</v>
          </cell>
        </row>
        <row r="6298">
          <cell r="A6298" t="str">
            <v>ST0826-M</v>
          </cell>
          <cell r="B6298" t="str">
            <v>T826</v>
          </cell>
          <cell r="C6298" t="str">
            <v>ซาติน แขนสั้นขายาว ป่าดิบชื้น M</v>
          </cell>
        </row>
        <row r="6299">
          <cell r="A6299" t="str">
            <v>ST0826-XL</v>
          </cell>
          <cell r="B6299" t="str">
            <v>BT826</v>
          </cell>
          <cell r="C6299" t="str">
            <v>ซาติน แขนสั้นขายาว ป่าดิบชื้น XL</v>
          </cell>
        </row>
        <row r="6300">
          <cell r="A6300" t="str">
            <v>ST0827-2XL</v>
          </cell>
          <cell r="B6300" t="str">
            <v>T827</v>
          </cell>
          <cell r="C6300" t="str">
            <v>ซาติน แขนสั้นขายาว ดอกไม้พาสเทล ปกฟ้า 2XL</v>
          </cell>
        </row>
        <row r="6301">
          <cell r="A6301" t="str">
            <v>ST0827-3XL</v>
          </cell>
          <cell r="B6301" t="str">
            <v>T827</v>
          </cell>
          <cell r="C6301" t="str">
            <v>ซาติน แขนสั้นขายาว ดอกไม้พาสเทล ปกฟ้า 3XL</v>
          </cell>
        </row>
        <row r="6302">
          <cell r="A6302" t="str">
            <v>ST0827-L</v>
          </cell>
          <cell r="B6302" t="str">
            <v>T827</v>
          </cell>
          <cell r="C6302" t="str">
            <v>ซาติน แขนสั้นขายาว ดอกไม้พาสเทล ปกฟ้า L</v>
          </cell>
        </row>
        <row r="6303">
          <cell r="A6303" t="str">
            <v>ST0827-M</v>
          </cell>
          <cell r="B6303" t="str">
            <v>T827</v>
          </cell>
          <cell r="C6303" t="str">
            <v>ซาติน แขนสั้นขายาว ดอกไม้พาสเทล ปกฟ้า M</v>
          </cell>
        </row>
        <row r="6304">
          <cell r="A6304" t="str">
            <v>ST0827-XL</v>
          </cell>
          <cell r="B6304" t="str">
            <v>BT827</v>
          </cell>
          <cell r="C6304" t="str">
            <v>ซาติน แขนสั้นขายาว ดอกไม้พาสเทล ปกฟ้า XL</v>
          </cell>
        </row>
        <row r="6305">
          <cell r="A6305" t="str">
            <v>ST0828-2XL</v>
          </cell>
          <cell r="B6305" t="str">
            <v>T828</v>
          </cell>
          <cell r="C6305" t="str">
            <v>ซาติน แขนสั้นขายาว ผีเสื้อ ชมพู 2XL</v>
          </cell>
        </row>
        <row r="6306">
          <cell r="A6306" t="str">
            <v>ST0828-L</v>
          </cell>
          <cell r="B6306" t="str">
            <v>BT828</v>
          </cell>
          <cell r="C6306" t="str">
            <v>ซาติน แขนสั้นขายาว ผีเสื้อ ชมพู L</v>
          </cell>
        </row>
        <row r="6307">
          <cell r="A6307" t="str">
            <v>ST0828-M</v>
          </cell>
          <cell r="B6307" t="str">
            <v>T828</v>
          </cell>
          <cell r="C6307" t="str">
            <v>ซาติน แขนสั้นขายาว ผีเสื้อ ชมพู M</v>
          </cell>
        </row>
        <row r="6308">
          <cell r="A6308" t="str">
            <v>ST0828-XL</v>
          </cell>
          <cell r="B6308" t="str">
            <v>T828</v>
          </cell>
          <cell r="C6308" t="str">
            <v>ซาติน แขนสั้นขายาว ผีเสื้อ ชมพู XL</v>
          </cell>
        </row>
        <row r="6309">
          <cell r="A6309" t="str">
            <v>ST0836-2XL</v>
          </cell>
          <cell r="B6309" t="str">
            <v>T836</v>
          </cell>
          <cell r="C6309" t="str">
            <v>ซาติน แขนสั้นขายาว เสือดาว พื้นเขียว 2XL</v>
          </cell>
        </row>
        <row r="6310">
          <cell r="A6310" t="str">
            <v>ST0836-3XL</v>
          </cell>
          <cell r="B6310" t="str">
            <v>T836</v>
          </cell>
          <cell r="C6310" t="str">
            <v>ซาติน แขนสั้นขายาว เสือดาว พื้นเขียว 3XL</v>
          </cell>
        </row>
        <row r="6311">
          <cell r="A6311" t="str">
            <v>ST0836-L</v>
          </cell>
          <cell r="B6311" t="str">
            <v>T836</v>
          </cell>
          <cell r="C6311" t="str">
            <v>ซาติน แขนสั้นขายาว เสือดาว พื้นเขียว L</v>
          </cell>
        </row>
        <row r="6312">
          <cell r="A6312" t="str">
            <v>ST0836-M</v>
          </cell>
          <cell r="B6312" t="str">
            <v>T836</v>
          </cell>
          <cell r="C6312" t="str">
            <v>ซาติน แขนสั้นขายาว เสือดาว พื้นเขียว M</v>
          </cell>
        </row>
        <row r="6313">
          <cell r="A6313" t="str">
            <v>ST0836-XL</v>
          </cell>
          <cell r="B6313" t="str">
            <v>T836</v>
          </cell>
          <cell r="C6313" t="str">
            <v>ซาติน แขนสั้นขายาว เสือดาว พื้นเขียว XL</v>
          </cell>
        </row>
        <row r="6314">
          <cell r="A6314" t="str">
            <v>ST0837-2XL</v>
          </cell>
          <cell r="B6314" t="str">
            <v>T837</v>
          </cell>
          <cell r="C6314" t="str">
            <v>ซาติน แขนสั้นขายาว ซากุระ ไทเกอร์ พื้นชมพู  2XL</v>
          </cell>
        </row>
        <row r="6315">
          <cell r="A6315" t="str">
            <v>ST0837-3XL</v>
          </cell>
          <cell r="B6315" t="str">
            <v>T837</v>
          </cell>
          <cell r="C6315" t="str">
            <v>ซาติน แขนสั้นขายาว ซากุระ ไทเกอร์ พื้นชมพู  3XL</v>
          </cell>
        </row>
        <row r="6316">
          <cell r="A6316" t="str">
            <v>ST0837-L</v>
          </cell>
          <cell r="B6316" t="str">
            <v>BT837</v>
          </cell>
          <cell r="C6316" t="str">
            <v>ซาติน แขนสั้นขายาว ซากุระ ไทเกอร์ พื้นชมพู  L</v>
          </cell>
        </row>
        <row r="6317">
          <cell r="A6317" t="str">
            <v>ST0837-M</v>
          </cell>
          <cell r="B6317" t="str">
            <v>T837</v>
          </cell>
          <cell r="C6317" t="str">
            <v>ซาติน แขนสั้นขายาว ซากุระ ไทเกอร์ พื้นชมพู  M</v>
          </cell>
        </row>
        <row r="6318">
          <cell r="A6318" t="str">
            <v>ST0837-XL</v>
          </cell>
          <cell r="B6318" t="str">
            <v>T837</v>
          </cell>
          <cell r="C6318" t="str">
            <v>ซาติน แขนสั้นขายาว ซากุระ ไทเกอร์ พื้นชมพู  XL</v>
          </cell>
        </row>
        <row r="6319">
          <cell r="A6319" t="str">
            <v>ST0838-2XL</v>
          </cell>
          <cell r="B6319" t="str">
            <v>T838</v>
          </cell>
          <cell r="C6319" t="str">
            <v>ซาติน แขนสั้นขายาว ซากุระ ไทเกอร์ พื้นกรม  2XL</v>
          </cell>
        </row>
        <row r="6320">
          <cell r="A6320" t="str">
            <v>ST0838-3XL</v>
          </cell>
          <cell r="B6320" t="str">
            <v>T838</v>
          </cell>
          <cell r="C6320" t="str">
            <v>ซาติน แขนสั้นขายาว ซากุระ ไทเกอร์ พื้นกรม  3XL</v>
          </cell>
        </row>
        <row r="6321">
          <cell r="A6321" t="str">
            <v>ST0838-L</v>
          </cell>
          <cell r="B6321" t="str">
            <v>T838</v>
          </cell>
          <cell r="C6321" t="str">
            <v>ซาติน แขนสั้นขายาว ซากุระ ไทเกอร์ พื้นกรม  L</v>
          </cell>
        </row>
        <row r="6322">
          <cell r="A6322" t="str">
            <v>ST0838-M</v>
          </cell>
          <cell r="B6322" t="str">
            <v>T838</v>
          </cell>
          <cell r="C6322" t="str">
            <v>ซาติน แขนสั้นขายาว ซากุระ ไทเกอร์ พื้นกรม  M</v>
          </cell>
        </row>
        <row r="6323">
          <cell r="A6323" t="str">
            <v>ST0838-XL</v>
          </cell>
          <cell r="B6323" t="str">
            <v>T838</v>
          </cell>
          <cell r="C6323" t="str">
            <v>ซาติน แขนสั้นขายาว ซากุระ ไทเกอร์ พื้นกรม  XL</v>
          </cell>
        </row>
        <row r="6324">
          <cell r="A6324" t="str">
            <v>ST0841-2XL</v>
          </cell>
          <cell r="B6324" t="str">
            <v>T841</v>
          </cell>
          <cell r="C6324" t="str">
            <v>ซาติน แขนสั้นขายาว Green Forest 2XL</v>
          </cell>
        </row>
        <row r="6325">
          <cell r="A6325" t="str">
            <v>ST0841-3XL</v>
          </cell>
          <cell r="B6325" t="str">
            <v>T841</v>
          </cell>
          <cell r="C6325" t="str">
            <v>ซาติน แขนสั้นขายาว Green Forest 3XL</v>
          </cell>
        </row>
        <row r="6326">
          <cell r="A6326" t="str">
            <v>ST0841-L</v>
          </cell>
          <cell r="B6326" t="str">
            <v>T841</v>
          </cell>
          <cell r="C6326" t="str">
            <v>ซาติน แขนสั้นขายาว Green Forest L</v>
          </cell>
        </row>
        <row r="6327">
          <cell r="A6327" t="str">
            <v>ST0841-M</v>
          </cell>
          <cell r="B6327" t="str">
            <v>T841</v>
          </cell>
          <cell r="C6327" t="str">
            <v>ซาติน แขนสั้นขายาว Green Forest M</v>
          </cell>
        </row>
        <row r="6328">
          <cell r="A6328" t="str">
            <v>ST0841-XL</v>
          </cell>
          <cell r="B6328" t="str">
            <v>T841</v>
          </cell>
          <cell r="C6328" t="str">
            <v>ซาติน แขนสั้นขายาว Green Forest XL</v>
          </cell>
        </row>
        <row r="6329">
          <cell r="A6329" t="str">
            <v>ST0844-2XL</v>
          </cell>
          <cell r="B6329" t="str">
            <v>T844</v>
          </cell>
          <cell r="C6329" t="str">
            <v>ซาติน แขนสั้นขายาว ดอกไม้แมงกระพรุน ขอบม่วง 2XL</v>
          </cell>
        </row>
        <row r="6330">
          <cell r="A6330" t="str">
            <v>ST0844-3XL</v>
          </cell>
          <cell r="B6330" t="str">
            <v>T844</v>
          </cell>
          <cell r="C6330" t="str">
            <v>ซาติน แขนสั้นขายาว ดอกไม้แมงกระพรุน ขอบม่วง 3XL</v>
          </cell>
        </row>
        <row r="6331">
          <cell r="A6331" t="str">
            <v>ST0844-L</v>
          </cell>
          <cell r="B6331" t="str">
            <v>T844</v>
          </cell>
          <cell r="C6331" t="str">
            <v>ซาติน แขนสั้นขายาว ดอกไม้แมงกระพรุน ขอบม่วง L</v>
          </cell>
        </row>
        <row r="6332">
          <cell r="A6332" t="str">
            <v>ST0844-M</v>
          </cell>
          <cell r="B6332" t="str">
            <v>T844</v>
          </cell>
          <cell r="C6332" t="str">
            <v>ซาติน แขนสั้นขายาว ดอกไม้แมงกระพรุน ขอบม่วง M</v>
          </cell>
        </row>
        <row r="6333">
          <cell r="A6333" t="str">
            <v>ST0844-XL</v>
          </cell>
          <cell r="B6333" t="str">
            <v>T844</v>
          </cell>
          <cell r="C6333" t="str">
            <v>ซาติน แขนสั้นขายาว ดอกไม้แมงกระพรุน ขอบม่วง XL</v>
          </cell>
        </row>
        <row r="6334">
          <cell r="A6334" t="str">
            <v>ST0846-2XL</v>
          </cell>
          <cell r="B6334" t="str">
            <v>T846</v>
          </cell>
          <cell r="C6334" t="str">
            <v>ซาติน แขนสั้นขายาว ภาพหญ้าแห้ง 2XL</v>
          </cell>
        </row>
        <row r="6335">
          <cell r="A6335" t="str">
            <v>ST0846-3XL</v>
          </cell>
          <cell r="B6335" t="str">
            <v>T846</v>
          </cell>
          <cell r="C6335" t="str">
            <v>ซาติน แขนสั้นขายาว ภาพหญ้าแห้ง 3XL</v>
          </cell>
        </row>
        <row r="6336">
          <cell r="A6336" t="str">
            <v>ST0846-L</v>
          </cell>
          <cell r="B6336" t="str">
            <v>T846</v>
          </cell>
          <cell r="C6336" t="str">
            <v>ซาติน แขนสั้นขายาว ภาพหญ้าแห้ง L</v>
          </cell>
        </row>
        <row r="6337">
          <cell r="A6337" t="str">
            <v>ST0846-M</v>
          </cell>
          <cell r="B6337" t="str">
            <v>T846</v>
          </cell>
          <cell r="C6337" t="str">
            <v>ซาติน แขนสั้นขายาว ภาพหญ้าแห้ง M</v>
          </cell>
        </row>
        <row r="6338">
          <cell r="A6338" t="str">
            <v>ST0846-XL</v>
          </cell>
          <cell r="B6338" t="str">
            <v>T846</v>
          </cell>
          <cell r="C6338" t="str">
            <v>ซาติน แขนสั้นขายาว ภาพหญ้าแห้ง XL</v>
          </cell>
        </row>
        <row r="6339">
          <cell r="A6339" t="str">
            <v>ST0852-2XL</v>
          </cell>
          <cell r="B6339" t="str">
            <v>T852</v>
          </cell>
          <cell r="C6339" t="str">
            <v>ซาติน แขนสั้นขายาว แมวเทา พื้นครีม 2XL</v>
          </cell>
        </row>
        <row r="6340">
          <cell r="A6340" t="str">
            <v>ST0852-L</v>
          </cell>
          <cell r="B6340" t="str">
            <v>T852</v>
          </cell>
          <cell r="C6340" t="str">
            <v>ซาติน แขนสั้นขายาว แมวเทา พื้นครีม L</v>
          </cell>
        </row>
        <row r="6341">
          <cell r="A6341" t="str">
            <v>ST0852-M</v>
          </cell>
          <cell r="B6341" t="str">
            <v>T852</v>
          </cell>
          <cell r="C6341" t="str">
            <v>ซาติน แขนสั้นขายาว แมวเทา พื้นครีม M</v>
          </cell>
        </row>
        <row r="6342">
          <cell r="A6342" t="str">
            <v>ST0852-XL</v>
          </cell>
          <cell r="B6342" t="str">
            <v>T852</v>
          </cell>
          <cell r="C6342" t="str">
            <v>ซาติน แขนสั้นขายาว แมวเทา พื้นครีม XL</v>
          </cell>
        </row>
        <row r="6343">
          <cell r="A6343" t="str">
            <v>ST0853-2XL</v>
          </cell>
          <cell r="B6343" t="str">
            <v>T853</v>
          </cell>
          <cell r="C6343" t="str">
            <v>ซาติน แขนสั้นขายาว พื้นดำ ดอกไม้เหลือง 2XL</v>
          </cell>
        </row>
        <row r="6344">
          <cell r="A6344" t="str">
            <v>ST0853-L</v>
          </cell>
          <cell r="B6344" t="str">
            <v>T853</v>
          </cell>
          <cell r="C6344" t="str">
            <v>ซาติน แขนสั้นขายาว พื้นดำ ดอกไม้เหลือง L</v>
          </cell>
        </row>
        <row r="6345">
          <cell r="A6345" t="str">
            <v>ST0853-M</v>
          </cell>
          <cell r="B6345" t="str">
            <v>T853</v>
          </cell>
          <cell r="C6345" t="str">
            <v>ซาติน แขนสั้นขายาว พื้นดำ ดอกไม้เหลือง M</v>
          </cell>
        </row>
        <row r="6346">
          <cell r="A6346" t="str">
            <v>ST0853-XL</v>
          </cell>
          <cell r="B6346" t="str">
            <v>T853</v>
          </cell>
          <cell r="C6346" t="str">
            <v>ซาติน แขนสั้นขายาว พื้นดำ ดอกไม้เหลือง XL</v>
          </cell>
        </row>
        <row r="6347">
          <cell r="A6347" t="str">
            <v>ST0854-2XL</v>
          </cell>
          <cell r="B6347" t="str">
            <v>T854</v>
          </cell>
          <cell r="C6347" t="str">
            <v>ซาติน แขนสั้นขายาว Women พื้นชมพู 2XL</v>
          </cell>
        </row>
        <row r="6348">
          <cell r="A6348" t="str">
            <v>ST0854-L</v>
          </cell>
          <cell r="B6348" t="str">
            <v>T854</v>
          </cell>
          <cell r="C6348" t="str">
            <v>ซาติน แขนสั้นขายาว Women พื้นชมพู L</v>
          </cell>
        </row>
        <row r="6349">
          <cell r="A6349" t="str">
            <v>ST0854-M</v>
          </cell>
          <cell r="B6349" t="str">
            <v>T854</v>
          </cell>
          <cell r="C6349" t="str">
            <v>ซาติน แขนสั้นขายาว Women พื้นชมพู M</v>
          </cell>
        </row>
        <row r="6350">
          <cell r="A6350" t="str">
            <v>ST0854-XL</v>
          </cell>
          <cell r="B6350" t="str">
            <v>T854</v>
          </cell>
          <cell r="C6350" t="str">
            <v>ซาติน แขนสั้นขายาว Women พื้นชมพู XL</v>
          </cell>
        </row>
        <row r="6351">
          <cell r="A6351" t="str">
            <v>ST0855-2XL</v>
          </cell>
          <cell r="B6351" t="str">
            <v>T855</v>
          </cell>
          <cell r="C6351" t="str">
            <v>ซาติน แขนสั้นขายาว ซากุระ พื้นชมพู 2XL</v>
          </cell>
        </row>
        <row r="6352">
          <cell r="A6352" t="str">
            <v>ST0855-L</v>
          </cell>
          <cell r="B6352" t="str">
            <v>T855</v>
          </cell>
          <cell r="C6352" t="str">
            <v>ซาติน แขนสั้นขายาว ซากุระ พื้นชมพู L</v>
          </cell>
        </row>
        <row r="6353">
          <cell r="A6353" t="str">
            <v>ST0855-M</v>
          </cell>
          <cell r="B6353" t="str">
            <v>T855</v>
          </cell>
          <cell r="C6353" t="str">
            <v>ซาติน แขนสั้นขายาว ซากุระ พื้นชมพู M</v>
          </cell>
        </row>
        <row r="6354">
          <cell r="A6354" t="str">
            <v>ST0855-XL</v>
          </cell>
          <cell r="B6354" t="str">
            <v>T855</v>
          </cell>
          <cell r="C6354" t="str">
            <v>ซาติน แขนสั้นขายาว ซากุระ พื้นชมพู XL</v>
          </cell>
        </row>
        <row r="6355">
          <cell r="A6355" t="str">
            <v>ST0856-2XL</v>
          </cell>
          <cell r="B6355" t="str">
            <v>T856</v>
          </cell>
          <cell r="C6355" t="str">
            <v>ซาติน แขนสั้นขายาว โซ่ ลายทาง (กปก) 2XL</v>
          </cell>
        </row>
        <row r="6356">
          <cell r="A6356" t="str">
            <v>ST0856-3XL</v>
          </cell>
          <cell r="B6356" t="str">
            <v>T856</v>
          </cell>
          <cell r="C6356" t="str">
            <v>ซาติน แขนสั้นขายาว โซ่ ลายทาง (กปก) 3XL</v>
          </cell>
        </row>
        <row r="6357">
          <cell r="A6357" t="str">
            <v>ST0856-L</v>
          </cell>
          <cell r="B6357" t="str">
            <v>T856</v>
          </cell>
          <cell r="C6357" t="str">
            <v>ซาติน แขนสั้นขายาว โซ่ ลายทาง (กปก) L</v>
          </cell>
        </row>
        <row r="6358">
          <cell r="A6358" t="str">
            <v>ST0856-M</v>
          </cell>
          <cell r="B6358" t="str">
            <v>T856</v>
          </cell>
          <cell r="C6358" t="str">
            <v>ซาติน แขนสั้นขายาว โซ่ ลายทาง (กปก) M</v>
          </cell>
        </row>
        <row r="6359">
          <cell r="A6359" t="str">
            <v>ST0856-XL</v>
          </cell>
          <cell r="B6359" t="str">
            <v>T856</v>
          </cell>
          <cell r="C6359" t="str">
            <v>ซาติน แขนสั้นขายาว โซ่ ลายทาง (กปก) XL</v>
          </cell>
        </row>
        <row r="6360">
          <cell r="A6360" t="str">
            <v>ST0857-2XL</v>
          </cell>
          <cell r="B6360" t="str">
            <v>T857</v>
          </cell>
          <cell r="C6360" t="str">
            <v>ซาติน แขนสั้นขายาว ดอกไม้ฟ้า พื้นชมพู 2XL</v>
          </cell>
        </row>
        <row r="6361">
          <cell r="A6361" t="str">
            <v>ST0857-3XL</v>
          </cell>
          <cell r="B6361" t="str">
            <v>T857</v>
          </cell>
          <cell r="C6361" t="str">
            <v>ซาติน แขนสั้นขายาว ดอกไม้ฟ้า พื้นชมพู 3XL</v>
          </cell>
        </row>
        <row r="6362">
          <cell r="A6362" t="str">
            <v>ST0857-L</v>
          </cell>
          <cell r="B6362" t="str">
            <v>T857</v>
          </cell>
          <cell r="C6362" t="str">
            <v>ซาติน แขนสั้นขายาว ดอกไม้ฟ้า พื้นชมพู L</v>
          </cell>
        </row>
        <row r="6363">
          <cell r="A6363" t="str">
            <v>ST0857-M</v>
          </cell>
          <cell r="B6363" t="str">
            <v>BT857</v>
          </cell>
          <cell r="C6363" t="str">
            <v>ซาติน แขนสั้นขายาว ดอกไม้ฟ้า พื้นชมพู M</v>
          </cell>
        </row>
        <row r="6364">
          <cell r="A6364" t="str">
            <v>ST0857-XL</v>
          </cell>
          <cell r="B6364" t="str">
            <v>T857</v>
          </cell>
          <cell r="C6364" t="str">
            <v>ซาติน แขนสั้นขายาว ดอกไม้ฟ้า พื้นชมพู XL</v>
          </cell>
        </row>
        <row r="6365">
          <cell r="A6365" t="str">
            <v>ST0862-2XL</v>
          </cell>
          <cell r="B6365" t="str">
            <v>BT862</v>
          </cell>
          <cell r="C6365" t="str">
            <v>ซาติน แขนสั้นขายาว Blue Comic 2XL</v>
          </cell>
        </row>
        <row r="6366">
          <cell r="A6366" t="str">
            <v>ST0862-3XL</v>
          </cell>
          <cell r="B6366" t="str">
            <v>BT862</v>
          </cell>
          <cell r="C6366" t="str">
            <v>ซาติน แขนสั้นขายาว Blue Comic 3XL</v>
          </cell>
        </row>
        <row r="6367">
          <cell r="A6367" t="str">
            <v>ST0862-L</v>
          </cell>
          <cell r="B6367" t="str">
            <v>T862</v>
          </cell>
          <cell r="C6367" t="str">
            <v>ซาติน แขนสั้นขายาว Blue Comic L</v>
          </cell>
        </row>
        <row r="6368">
          <cell r="A6368" t="str">
            <v>ST0862-M</v>
          </cell>
          <cell r="B6368" t="str">
            <v>T862</v>
          </cell>
          <cell r="C6368" t="str">
            <v>ซาติน แขนสั้นขายาว Blue Comic M</v>
          </cell>
        </row>
        <row r="6369">
          <cell r="A6369" t="str">
            <v>ST0862-XL</v>
          </cell>
          <cell r="B6369" t="str">
            <v>T862</v>
          </cell>
          <cell r="C6369" t="str">
            <v>ซาติน แขนสั้นขายาว Blue Comic XL</v>
          </cell>
        </row>
        <row r="6370">
          <cell r="A6370" t="str">
            <v>ST0864-2XL</v>
          </cell>
          <cell r="B6370" t="str">
            <v>T864</v>
          </cell>
          <cell r="C6370" t="str">
            <v>ซาติน แขนสั้นขายาว Pangea 2XL</v>
          </cell>
        </row>
        <row r="6371">
          <cell r="A6371" t="str">
            <v>ST0864-3XL</v>
          </cell>
          <cell r="B6371" t="str">
            <v>T864</v>
          </cell>
          <cell r="C6371" t="str">
            <v>ซาติน แขนสั้นขายาว Pangea 3XL</v>
          </cell>
        </row>
        <row r="6372">
          <cell r="A6372" t="str">
            <v>ST0864-L</v>
          </cell>
          <cell r="B6372" t="str">
            <v>T864</v>
          </cell>
          <cell r="C6372" t="str">
            <v>ซาติน แขนสั้นขายาว Pangea L</v>
          </cell>
        </row>
        <row r="6373">
          <cell r="A6373" t="str">
            <v>ST0864-M</v>
          </cell>
          <cell r="B6373" t="str">
            <v>T864</v>
          </cell>
          <cell r="C6373" t="str">
            <v>ซาติน แขนสั้นขายาว Pangea M</v>
          </cell>
        </row>
        <row r="6374">
          <cell r="A6374" t="str">
            <v>ST0864-XL</v>
          </cell>
          <cell r="B6374" t="str">
            <v>T864</v>
          </cell>
          <cell r="C6374" t="str">
            <v>ซาติน แขนสั้นขายาว Pangea XL</v>
          </cell>
        </row>
        <row r="6375">
          <cell r="A6375" t="str">
            <v>ST0865-2XL</v>
          </cell>
          <cell r="B6375" t="str">
            <v>T865</v>
          </cell>
          <cell r="C6375" t="str">
            <v>ซาติน แขนสั้นขายาว Green Garden and Blue flowers 2XL</v>
          </cell>
        </row>
        <row r="6376">
          <cell r="A6376" t="str">
            <v>ST0865-L</v>
          </cell>
          <cell r="B6376" t="str">
            <v>T865</v>
          </cell>
          <cell r="C6376" t="str">
            <v>ซาติน  แขนสั้นขายาว Green Garden and Blue flowers L</v>
          </cell>
        </row>
        <row r="6377">
          <cell r="A6377" t="str">
            <v>ST0865-M</v>
          </cell>
          <cell r="B6377" t="str">
            <v>T865</v>
          </cell>
          <cell r="C6377" t="str">
            <v>ซาติน  ขาสั้นขายาว Green Garden and Blue flowers M</v>
          </cell>
        </row>
        <row r="6378">
          <cell r="A6378" t="str">
            <v>ST0865-XL</v>
          </cell>
          <cell r="B6378" t="str">
            <v>T865</v>
          </cell>
          <cell r="C6378" t="str">
            <v>ซาติน แขนสั้นขายาว Green Garden and Blue flowers XL</v>
          </cell>
        </row>
        <row r="6379">
          <cell r="A6379" t="str">
            <v>ST0866-2XL</v>
          </cell>
          <cell r="B6379" t="str">
            <v>T866</v>
          </cell>
          <cell r="C6379" t="str">
            <v>ซาติน แขนสั้นขายาว เกสรดอกไม้ คอจีบ 2XL</v>
          </cell>
        </row>
        <row r="6380">
          <cell r="A6380" t="str">
            <v>ST0866-L</v>
          </cell>
          <cell r="B6380" t="str">
            <v>T866</v>
          </cell>
          <cell r="C6380" t="str">
            <v>ซาติน แขนสั้นขายาว เกสรดอกไม้ คอจีบ L</v>
          </cell>
        </row>
        <row r="6381">
          <cell r="A6381" t="str">
            <v>ST0866-M</v>
          </cell>
          <cell r="B6381" t="str">
            <v>T866</v>
          </cell>
          <cell r="C6381" t="str">
            <v>ซาติน แขนสั้นขายาว เกสรดอกไม้ คอจีบ M</v>
          </cell>
        </row>
        <row r="6382">
          <cell r="A6382" t="str">
            <v>ST0866-XL</v>
          </cell>
          <cell r="B6382" t="str">
            <v>T866</v>
          </cell>
          <cell r="C6382" t="str">
            <v>ซาติน แขนสั้นขายาว เกสรดอกไม้ คอจีบ XL</v>
          </cell>
        </row>
        <row r="6383">
          <cell r="A6383" t="str">
            <v>ST0867-2XL</v>
          </cell>
          <cell r="B6383" t="str">
            <v>T867</v>
          </cell>
          <cell r="C6383" t="str">
            <v>ซาติน แขนสั้นขายาว สวนหลังบ้าน คอปกส้ม 2XL (กปก)</v>
          </cell>
        </row>
        <row r="6384">
          <cell r="A6384" t="str">
            <v>ST0867-3XL</v>
          </cell>
          <cell r="B6384" t="str">
            <v>T867</v>
          </cell>
          <cell r="C6384" t="str">
            <v>ซาติน แขนสั้นขายาว สวนหลังบ้าน คอปกส้ม 3XL (กปก)</v>
          </cell>
        </row>
        <row r="6385">
          <cell r="A6385" t="str">
            <v>ST0867-L</v>
          </cell>
          <cell r="B6385" t="str">
            <v>T867</v>
          </cell>
          <cell r="C6385" t="str">
            <v>ซาติน แขนสั้นขายาว สวนหลังบ้าน คอปกส้ม L (กปก)</v>
          </cell>
        </row>
        <row r="6386">
          <cell r="A6386" t="str">
            <v>ST0867-M</v>
          </cell>
          <cell r="B6386" t="str">
            <v>T867</v>
          </cell>
          <cell r="C6386" t="str">
            <v>ซาติน แขนสั้นขายาว สวนหลังบ้าน คอปกส้ม M (กปก)</v>
          </cell>
        </row>
        <row r="6387">
          <cell r="A6387" t="str">
            <v>ST0867-XL</v>
          </cell>
          <cell r="B6387" t="str">
            <v>T867</v>
          </cell>
          <cell r="C6387" t="str">
            <v>ซาติน แขนสั้นขายาว สวนหลังบ้าน คอปกส้ม XL (กปก)</v>
          </cell>
        </row>
        <row r="6388">
          <cell r="A6388" t="str">
            <v>ST0868-2XL</v>
          </cell>
          <cell r="B6388" t="str">
            <v>BT868</v>
          </cell>
          <cell r="C6388" t="str">
            <v>ซาติน แขนสั้นขายาว Red Rose And Heart 2XL</v>
          </cell>
        </row>
        <row r="6389">
          <cell r="A6389" t="str">
            <v>ST0868-L</v>
          </cell>
          <cell r="B6389" t="str">
            <v>T868</v>
          </cell>
          <cell r="C6389" t="str">
            <v>ซาติน แขนสั้นขายาว Red Rose And Heart L</v>
          </cell>
        </row>
        <row r="6390">
          <cell r="A6390" t="str">
            <v>ST0868-M</v>
          </cell>
          <cell r="B6390" t="str">
            <v>BT868</v>
          </cell>
          <cell r="C6390" t="str">
            <v>ซาติน แขนสั้นขายาว Red Rose And Heart M</v>
          </cell>
        </row>
        <row r="6391">
          <cell r="A6391" t="str">
            <v>ST0868-XL</v>
          </cell>
          <cell r="B6391" t="str">
            <v>T868</v>
          </cell>
          <cell r="C6391" t="str">
            <v>ซาติน แขนสั้นขายาว Red Rose And Heart XL</v>
          </cell>
        </row>
        <row r="6392">
          <cell r="A6392" t="str">
            <v>ST0880-2XL</v>
          </cell>
          <cell r="B6392" t="str">
            <v>T880</v>
          </cell>
          <cell r="C6392" t="str">
            <v>ซาติน แขนสั้นขายาว ฮัมมิ่งเบิร์ด พื้นเขียว ขอบส้ม 2XL</v>
          </cell>
        </row>
        <row r="6393">
          <cell r="A6393" t="str">
            <v>ST0880-3XL</v>
          </cell>
          <cell r="B6393" t="str">
            <v>T880</v>
          </cell>
          <cell r="C6393" t="str">
            <v>ซาติน แขนสั้นขายาว ฮัมมิ่งเบิร์ด พื้นเขียว ขอบส้ม 3XL</v>
          </cell>
        </row>
        <row r="6394">
          <cell r="A6394" t="str">
            <v>ST0880-L</v>
          </cell>
          <cell r="B6394" t="str">
            <v>T880</v>
          </cell>
          <cell r="C6394" t="str">
            <v>ซาติน แขนสั้นขายาว ฮัมมิ่งเบิร์ด พื้นเขียว ขอบส้ม L</v>
          </cell>
        </row>
        <row r="6395">
          <cell r="A6395" t="str">
            <v>ST0880-M</v>
          </cell>
          <cell r="B6395" t="str">
            <v>T880</v>
          </cell>
          <cell r="C6395" t="str">
            <v>ซาติน แขนสั้นขายาว ฮัมมิ่งเบิร์ด พื้นเขียว ขอบส้ม M</v>
          </cell>
        </row>
        <row r="6396">
          <cell r="A6396" t="str">
            <v>ST0880-XL</v>
          </cell>
          <cell r="B6396" t="str">
            <v>T880</v>
          </cell>
          <cell r="C6396" t="str">
            <v>ซาติน แขนสั้นขายาว ฮัมมิ่งเบิร์ด พื้นเขียว ขอบส้ม XL</v>
          </cell>
        </row>
        <row r="6397">
          <cell r="A6397" t="str">
            <v>ST0881-2XL</v>
          </cell>
          <cell r="B6397" t="str">
            <v>T881</v>
          </cell>
          <cell r="C6397" t="str">
            <v>ซาติน แขนสั้นขายาว ดอกไม้ใต้ทะเล ปกชมพู 2XL (กปก)</v>
          </cell>
        </row>
        <row r="6398">
          <cell r="A6398" t="str">
            <v>ST0881-3XL</v>
          </cell>
          <cell r="B6398" t="str">
            <v>T881</v>
          </cell>
          <cell r="C6398" t="str">
            <v>ซาติน แขนสั้นขายาว ดอกไม้ใต้ทะเล ปกชมพู 3XL (กปก)</v>
          </cell>
        </row>
        <row r="6399">
          <cell r="A6399" t="str">
            <v>ST0881-L</v>
          </cell>
          <cell r="B6399" t="str">
            <v>T881</v>
          </cell>
          <cell r="C6399" t="str">
            <v>ซาติน แขนสั้นขายาว ดอกไม้ใต้ทะเล ปกชมพู L (กปก)</v>
          </cell>
        </row>
        <row r="6400">
          <cell r="A6400" t="str">
            <v>ST0881-M</v>
          </cell>
          <cell r="B6400" t="str">
            <v>T881</v>
          </cell>
          <cell r="C6400" t="str">
            <v>ซาติน แขนสั้นขายาว ดอกไม้ใต้ทะเล ปกชมพู M (กปก)</v>
          </cell>
        </row>
        <row r="6401">
          <cell r="A6401" t="str">
            <v>ST0881-XL</v>
          </cell>
          <cell r="B6401" t="str">
            <v>T881</v>
          </cell>
          <cell r="C6401" t="str">
            <v>ซาติน แขนสั้นขายาว ดอกไม้ใต้ทะเล ปกชมพู XL (กปก)</v>
          </cell>
        </row>
        <row r="6402">
          <cell r="A6402" t="str">
            <v>ST0882-2XL</v>
          </cell>
          <cell r="B6402" t="str">
            <v>T882</v>
          </cell>
          <cell r="C6402" t="str">
            <v>ซาติน แขนสั้นขายาว กุหลาบและผีเสื้อ พื้นครีม 2XL (กปก)</v>
          </cell>
        </row>
        <row r="6403">
          <cell r="A6403" t="str">
            <v>ST0882-3XL</v>
          </cell>
          <cell r="B6403" t="str">
            <v>T882</v>
          </cell>
          <cell r="C6403" t="str">
            <v>ซาติน แขนสั้นขายาว กุหลาบและผีเสื้อ พื้นครีม 3XL (กปก)</v>
          </cell>
        </row>
        <row r="6404">
          <cell r="A6404" t="str">
            <v>ST0882-L</v>
          </cell>
          <cell r="B6404" t="str">
            <v>T882</v>
          </cell>
          <cell r="C6404" t="str">
            <v>ซาติน แขนสั้นขายาว กุหลาบและผีเสื้อ พื้นครีม L (กปก)</v>
          </cell>
        </row>
        <row r="6405">
          <cell r="A6405" t="str">
            <v>ST0882-M</v>
          </cell>
          <cell r="B6405" t="str">
            <v>T882</v>
          </cell>
          <cell r="C6405" t="str">
            <v>ซาติน แขนสั้นขายาว กุหลาบและผีเสื้อ พื้นครีม M (กปก)</v>
          </cell>
        </row>
        <row r="6406">
          <cell r="A6406" t="str">
            <v>ST0882-XL</v>
          </cell>
          <cell r="B6406" t="str">
            <v>T882</v>
          </cell>
          <cell r="C6406" t="str">
            <v>ซาติน แขนสั้นขายาว กุหลาบและผีเสื้อ พื้นครีม XL (กปก)</v>
          </cell>
        </row>
        <row r="6407">
          <cell r="A6407" t="str">
            <v>ST0883-2XL</v>
          </cell>
          <cell r="B6407" t="str">
            <v>T883</v>
          </cell>
          <cell r="C6407" t="str">
            <v>ซาติน แขนสั้นขายาว Pinky Flowers 2XL (กปก)</v>
          </cell>
        </row>
        <row r="6408">
          <cell r="A6408" t="str">
            <v>ST0883-3XL</v>
          </cell>
          <cell r="B6408" t="str">
            <v>T883</v>
          </cell>
          <cell r="C6408" t="str">
            <v>ซาติน แขนสั้นขายาว Pinky Flowers 3XL (กปก)</v>
          </cell>
        </row>
        <row r="6409">
          <cell r="A6409" t="str">
            <v>ST0883-L</v>
          </cell>
          <cell r="B6409" t="str">
            <v>T883</v>
          </cell>
          <cell r="C6409" t="str">
            <v>ซาติน แขนสั้นขายาว Pinky Flowers L (กปก)</v>
          </cell>
        </row>
        <row r="6410">
          <cell r="A6410" t="str">
            <v>ST0883-M</v>
          </cell>
          <cell r="B6410" t="str">
            <v>T883</v>
          </cell>
          <cell r="C6410" t="str">
            <v>ซาติน แขนสั้นขายาว Pinky Flowers M (กปก)</v>
          </cell>
        </row>
        <row r="6411">
          <cell r="A6411" t="str">
            <v>ST0883-XL</v>
          </cell>
          <cell r="B6411" t="str">
            <v>BT883</v>
          </cell>
          <cell r="C6411" t="str">
            <v>ซาติน แขนสั้นขายาว Pinky Flowers XL (กปก)</v>
          </cell>
        </row>
        <row r="6412">
          <cell r="A6412" t="str">
            <v>ST0884-2XL</v>
          </cell>
          <cell r="B6412" t="str">
            <v>T884</v>
          </cell>
          <cell r="C6412" t="str">
            <v>ซาติน แขนสั้นขายาว สวนดอกไม้ พื้นเขียว 2XL (กปก)</v>
          </cell>
        </row>
        <row r="6413">
          <cell r="A6413" t="str">
            <v>ST0884-3XL</v>
          </cell>
          <cell r="B6413" t="str">
            <v>T884</v>
          </cell>
          <cell r="C6413" t="str">
            <v>ซาติน แขนสั้นขายาว สวนดอกไม้ พื้นเขียว 3XL (กปก)</v>
          </cell>
        </row>
        <row r="6414">
          <cell r="A6414" t="str">
            <v>ST0884-L</v>
          </cell>
          <cell r="B6414" t="str">
            <v>T884</v>
          </cell>
          <cell r="C6414" t="str">
            <v>ซาติน แขนสั้นขายาว สวนดอกไม้ พื้นเขียว L (กปก)</v>
          </cell>
        </row>
        <row r="6415">
          <cell r="A6415" t="str">
            <v>ST0884-M</v>
          </cell>
          <cell r="B6415" t="str">
            <v>T884</v>
          </cell>
          <cell r="C6415" t="str">
            <v>ซาติน แขนสั้นขายาว สวนดอกไม้ พื้นเขียว M (กปก)</v>
          </cell>
        </row>
        <row r="6416">
          <cell r="A6416" t="str">
            <v>ST0884-XL</v>
          </cell>
          <cell r="B6416" t="str">
            <v>T884</v>
          </cell>
          <cell r="C6416" t="str">
            <v>ซาติน แขนสั้นขายาว สวนดอกไม้ พื้นเขียว XL (กปก)</v>
          </cell>
        </row>
        <row r="6417">
          <cell r="A6417" t="str">
            <v>ST0885-2XL</v>
          </cell>
          <cell r="B6417" t="str">
            <v>T885</v>
          </cell>
          <cell r="C6417" t="str">
            <v>ซาติน แขนสั้นขายาว สุนัขรวม พื้นชมพู 2XL</v>
          </cell>
        </row>
        <row r="6418">
          <cell r="A6418" t="str">
            <v>ST0885-3XL</v>
          </cell>
          <cell r="B6418" t="str">
            <v>T885</v>
          </cell>
          <cell r="C6418" t="str">
            <v>ซาติน แขนสั้นขายาว สุนัขรวม พื้นชมพู 3XL</v>
          </cell>
        </row>
        <row r="6419">
          <cell r="A6419" t="str">
            <v>ST0885-L</v>
          </cell>
          <cell r="B6419" t="str">
            <v>T885</v>
          </cell>
          <cell r="C6419" t="str">
            <v>ซาติน แขนสั้นขายาว สุนัขรวม พื้นชมพู L</v>
          </cell>
        </row>
        <row r="6420">
          <cell r="A6420" t="str">
            <v>ST0885-M</v>
          </cell>
          <cell r="B6420" t="str">
            <v>T885</v>
          </cell>
          <cell r="C6420" t="str">
            <v>ซาติน แขนสั้นขายาว สุนัขรวม พื้นชมพู M</v>
          </cell>
        </row>
        <row r="6421">
          <cell r="A6421" t="str">
            <v>ST0885-XL</v>
          </cell>
          <cell r="B6421" t="str">
            <v>T885</v>
          </cell>
          <cell r="C6421" t="str">
            <v>ซาติน แขนสั้นขายาว สุนัขรวม พื้นชมพู XL</v>
          </cell>
        </row>
        <row r="6422">
          <cell r="A6422" t="str">
            <v>ST0886-2XL</v>
          </cell>
          <cell r="B6422" t="str">
            <v>T886</v>
          </cell>
          <cell r="C6422" t="str">
            <v>ซาติน แขนสั้นขายาว แพนกวินรวม พื้นเขียว 2XL</v>
          </cell>
        </row>
        <row r="6423">
          <cell r="A6423" t="str">
            <v>ST0886-L</v>
          </cell>
          <cell r="B6423" t="str">
            <v>T886</v>
          </cell>
          <cell r="C6423" t="str">
            <v>ซาติน แขนสั้นขายาว แพนกวินรวม พื้นเขียว L</v>
          </cell>
        </row>
        <row r="6424">
          <cell r="A6424" t="str">
            <v>ST0886-M</v>
          </cell>
          <cell r="B6424" t="str">
            <v>T886</v>
          </cell>
          <cell r="C6424" t="str">
            <v>ซาติน แขนสั้นขายาว แพนกวินรวม พื้นเขียว M</v>
          </cell>
        </row>
        <row r="6425">
          <cell r="A6425" t="str">
            <v>ST0886-XL</v>
          </cell>
          <cell r="B6425" t="str">
            <v>T886</v>
          </cell>
          <cell r="C6425" t="str">
            <v>ซาติน แขนสั้นขายาว แพนกวินรวม พื้นเขียว XL</v>
          </cell>
        </row>
        <row r="6426">
          <cell r="A6426" t="str">
            <v>ST0887-2XL</v>
          </cell>
          <cell r="B6426" t="str">
            <v>T887</v>
          </cell>
          <cell r="C6426" t="str">
            <v>ซาติน แขนสั้นขายาว แมวรวม พื้นเขียวขี้ม้า 2XL</v>
          </cell>
        </row>
        <row r="6427">
          <cell r="A6427" t="str">
            <v>ST0887-3XL</v>
          </cell>
          <cell r="B6427" t="str">
            <v>T887</v>
          </cell>
          <cell r="C6427" t="str">
            <v>ซาติน แขนสั้นขายาว แมวรวม พื้นเขียวขี้ม้า 3XL</v>
          </cell>
        </row>
        <row r="6428">
          <cell r="A6428" t="str">
            <v>ST0887-L</v>
          </cell>
          <cell r="B6428" t="str">
            <v>T887</v>
          </cell>
          <cell r="C6428" t="str">
            <v>ซาติน แขนสั้นขายาว แมวรวม พื้นเขียวขี้ม้า L</v>
          </cell>
        </row>
        <row r="6429">
          <cell r="A6429" t="str">
            <v>ST0887-M</v>
          </cell>
          <cell r="B6429" t="str">
            <v>T887</v>
          </cell>
          <cell r="C6429" t="str">
            <v>ซาติน แขนสั้นขายาว แมวรวม พื้นเขียวขี้ม้า M</v>
          </cell>
        </row>
        <row r="6430">
          <cell r="A6430" t="str">
            <v>ST0887-XL</v>
          </cell>
          <cell r="B6430" t="str">
            <v>T887</v>
          </cell>
          <cell r="C6430" t="str">
            <v>ซาติน แขนสั้นขายาว แมวรวม พื้นเขียวขี้ม้า XL</v>
          </cell>
        </row>
        <row r="6431">
          <cell r="A6431" t="str">
            <v>ST0888-2XL</v>
          </cell>
          <cell r="B6431" t="str">
            <v>T888</v>
          </cell>
          <cell r="C6431" t="str">
            <v>ซาติน แขนสั้นขายาว ผักรวม พื้นชมพู 2XL</v>
          </cell>
        </row>
        <row r="6432">
          <cell r="A6432" t="str">
            <v>ST0888-L</v>
          </cell>
          <cell r="B6432" t="str">
            <v>T888</v>
          </cell>
          <cell r="C6432" t="str">
            <v>ซาติน แขนสั้นขายาว ผักรวม พื้นชมพู L</v>
          </cell>
        </row>
        <row r="6433">
          <cell r="A6433" t="str">
            <v>ST0888-M</v>
          </cell>
          <cell r="B6433" t="str">
            <v>T888</v>
          </cell>
          <cell r="C6433" t="str">
            <v>ซาติน แขนสั้นขายาว ผักรวม พื้นชมพู M</v>
          </cell>
        </row>
        <row r="6434">
          <cell r="A6434" t="str">
            <v>ST0888-XL</v>
          </cell>
          <cell r="B6434" t="str">
            <v>T888</v>
          </cell>
          <cell r="C6434" t="str">
            <v>ซาติน แขนสั้นขายาว ผักรวม พื้นชมพู XL</v>
          </cell>
        </row>
        <row r="6435">
          <cell r="A6435" t="str">
            <v>ST0889-2XL</v>
          </cell>
          <cell r="B6435" t="str">
            <v>T889</v>
          </cell>
          <cell r="C6435" t="str">
            <v>ซาติน แขนสั้นขายาว แมวรวม พื้นฟ้า 2XL</v>
          </cell>
        </row>
        <row r="6436">
          <cell r="A6436" t="str">
            <v>ST0889-L</v>
          </cell>
          <cell r="B6436" t="str">
            <v>T889</v>
          </cell>
          <cell r="C6436" t="str">
            <v>ซาติน แขนสั้นขายาว แมวรวม พื้นฟ้า L</v>
          </cell>
        </row>
        <row r="6437">
          <cell r="A6437" t="str">
            <v>ST0889-M</v>
          </cell>
          <cell r="B6437" t="str">
            <v>T889</v>
          </cell>
          <cell r="C6437" t="str">
            <v>ซาติน แขนสั้นขายาว แมวรวม พื้นฟ้า M</v>
          </cell>
        </row>
        <row r="6438">
          <cell r="A6438" t="str">
            <v>ST0889-XL</v>
          </cell>
          <cell r="B6438" t="str">
            <v>BT889</v>
          </cell>
          <cell r="C6438" t="str">
            <v>ซาติน แขนสั้นขายาว แมวรวม พื้นฟ้า XL</v>
          </cell>
        </row>
        <row r="6439">
          <cell r="A6439" t="str">
            <v>ST0891-2XL</v>
          </cell>
          <cell r="B6439" t="str">
            <v>T891</v>
          </cell>
          <cell r="C6439" t="str">
            <v>ซาติน แขนสั้นขายาว Sweety Rainbow 2XL (กปก)</v>
          </cell>
        </row>
        <row r="6440">
          <cell r="A6440" t="str">
            <v>ST0891-L</v>
          </cell>
          <cell r="B6440" t="str">
            <v>T891</v>
          </cell>
          <cell r="C6440" t="str">
            <v>ซาติน แขนสั้นขายาว Sweety Rainbow L (กปก)</v>
          </cell>
        </row>
        <row r="6441">
          <cell r="A6441" t="str">
            <v>ST0891-M</v>
          </cell>
          <cell r="B6441" t="str">
            <v>T891</v>
          </cell>
          <cell r="C6441" t="str">
            <v>ซาติน แขนสั้นขายาว Sweety Rainbow M (กปก)</v>
          </cell>
        </row>
        <row r="6442">
          <cell r="A6442" t="str">
            <v>ST0891-XL</v>
          </cell>
          <cell r="B6442" t="str">
            <v>T891</v>
          </cell>
          <cell r="C6442" t="str">
            <v>ซาติน แขนสั้นขายาว Sweety Rainbow XL (กปก)</v>
          </cell>
        </row>
        <row r="6443">
          <cell r="A6443" t="str">
            <v>ST0892-2XL</v>
          </cell>
          <cell r="B6443" t="str">
            <v>T892</v>
          </cell>
          <cell r="C6443" t="str">
            <v>ซาติน แขนสั้นขายาว เสือ น้ำตาล 2XL  (กปก)</v>
          </cell>
        </row>
        <row r="6444">
          <cell r="A6444" t="str">
            <v>ST0892-3XL</v>
          </cell>
          <cell r="B6444" t="str">
            <v>T892</v>
          </cell>
          <cell r="C6444" t="str">
            <v>ซาติน แขนสั้นขายาว เสือ น้ำตาล 3XL  (กปก)</v>
          </cell>
        </row>
        <row r="6445">
          <cell r="A6445" t="str">
            <v>ST0892-L</v>
          </cell>
          <cell r="B6445" t="str">
            <v>T892</v>
          </cell>
          <cell r="C6445" t="str">
            <v>ซาติน แขนสั้นขายาว เสือ น้ำตาล L (กปก)</v>
          </cell>
        </row>
        <row r="6446">
          <cell r="A6446" t="str">
            <v>ST0892-M</v>
          </cell>
          <cell r="B6446" t="str">
            <v>T892</v>
          </cell>
          <cell r="C6446" t="str">
            <v>ซาติน แขนสั้นขายาว เสือ น้ำตาล M (กปก)</v>
          </cell>
        </row>
        <row r="6447">
          <cell r="A6447" t="str">
            <v>ST0892-XL</v>
          </cell>
          <cell r="B6447" t="str">
            <v>T892</v>
          </cell>
          <cell r="C6447" t="str">
            <v>ซาติน แขนสั้นขายาว เสือ น้ำตาล XL (กปก)</v>
          </cell>
        </row>
        <row r="6448">
          <cell r="A6448" t="str">
            <v>ST0906-2XL</v>
          </cell>
          <cell r="B6448" t="str">
            <v>T906</v>
          </cell>
          <cell r="C6448" t="str">
            <v>ซาติน แขนสั้นขายาว ใบไม้ขาว พื้นดำ 2XL (กปก)</v>
          </cell>
        </row>
        <row r="6449">
          <cell r="A6449" t="str">
            <v>ST0906-3XL</v>
          </cell>
          <cell r="B6449" t="str">
            <v>T906</v>
          </cell>
          <cell r="C6449" t="str">
            <v>ซาติน แขนสั้นขายาว ใบไม้ขาว พื้นดำ 3XL (กปก)</v>
          </cell>
        </row>
        <row r="6450">
          <cell r="A6450" t="str">
            <v>ST0906-L</v>
          </cell>
          <cell r="B6450" t="str">
            <v>T906</v>
          </cell>
          <cell r="C6450" t="str">
            <v>ซาติน แขนสั้นขายาว ใบไม้ขาว พื้นดำ L (กปก)</v>
          </cell>
        </row>
        <row r="6451">
          <cell r="A6451" t="str">
            <v>ST0906-M</v>
          </cell>
          <cell r="B6451" t="str">
            <v>T906</v>
          </cell>
          <cell r="C6451" t="str">
            <v>ซาติน แขนสั้นขายาว ใบไม้ขาว พื้นดำ M (กปก)</v>
          </cell>
        </row>
        <row r="6452">
          <cell r="A6452" t="str">
            <v>ST0906-XL</v>
          </cell>
          <cell r="B6452" t="str">
            <v>T906</v>
          </cell>
          <cell r="C6452" t="str">
            <v>ซาติน แขนสั้นขายาว ใบไม้ขาว พื้นดำ XL (กปก)</v>
          </cell>
        </row>
        <row r="6453">
          <cell r="A6453" t="str">
            <v>ST0908-2XL</v>
          </cell>
          <cell r="B6453" t="str">
            <v>T908</v>
          </cell>
          <cell r="C6453" t="str">
            <v>ซาติน แขนสั้นขายาว ลายจิงโจ้ขาว พื้นม่วง 2XL (กปก)</v>
          </cell>
        </row>
        <row r="6454">
          <cell r="A6454" t="str">
            <v>ST0908-3XL</v>
          </cell>
          <cell r="B6454" t="str">
            <v>T908</v>
          </cell>
          <cell r="C6454" t="str">
            <v>ซาติน แขนสั้นขายาว ลายจิงโจ้ขาว พื้นม่วง 3XL (กปก)</v>
          </cell>
        </row>
        <row r="6455">
          <cell r="A6455" t="str">
            <v>ST0908-L</v>
          </cell>
          <cell r="B6455" t="str">
            <v>T908</v>
          </cell>
          <cell r="C6455" t="str">
            <v>ซาติน แขนสั้นขายาว ลายจิงโจ้ขาว พื้นม่วง L (กปก)</v>
          </cell>
        </row>
        <row r="6456">
          <cell r="A6456" t="str">
            <v>ST0908-M</v>
          </cell>
          <cell r="B6456" t="str">
            <v>T908</v>
          </cell>
          <cell r="C6456" t="str">
            <v>ซาติน แขนสั้นขายาว ลายจิงโจ้ขาว พื้นม่วง M (กปก)</v>
          </cell>
        </row>
        <row r="6457">
          <cell r="A6457" t="str">
            <v>ST0908-XL</v>
          </cell>
          <cell r="B6457" t="str">
            <v>T908</v>
          </cell>
          <cell r="C6457" t="str">
            <v>ซาติน แขนสั้นขายาว ลายจิงโจ้ขาว พื้นม่วง XL (กปก)</v>
          </cell>
        </row>
        <row r="6458">
          <cell r="A6458" t="str">
            <v>ST0918-L</v>
          </cell>
          <cell r="B6458" t="str">
            <v>T918</v>
          </cell>
          <cell r="C6458" t="str">
            <v>ซาติน แขนสั้นขายาว ลายทาง ชมพู เหลือง L</v>
          </cell>
        </row>
        <row r="6459">
          <cell r="A6459" t="str">
            <v>ST0918-M</v>
          </cell>
          <cell r="B6459" t="str">
            <v>T918</v>
          </cell>
          <cell r="C6459" t="str">
            <v>ซาติน แขนสั้นขายาว ลายทาง ชมพู เหลือง M</v>
          </cell>
        </row>
        <row r="6460">
          <cell r="A6460" t="str">
            <v>ST0919-L</v>
          </cell>
          <cell r="B6460" t="str">
            <v>T919</v>
          </cell>
          <cell r="C6460" t="str">
            <v>ซาติน แขนสั้นขายาว ลายทาง ชมพู ขาว L</v>
          </cell>
        </row>
        <row r="6461">
          <cell r="A6461" t="str">
            <v>ST0919-M</v>
          </cell>
          <cell r="B6461" t="str">
            <v>T919</v>
          </cell>
          <cell r="C6461" t="str">
            <v>ซาติน แขนสั้นขายาว ลายทาง ชมพู ขาว M</v>
          </cell>
        </row>
        <row r="6462">
          <cell r="A6462" t="str">
            <v>ST0920-2XL</v>
          </cell>
          <cell r="B6462" t="str">
            <v>T920</v>
          </cell>
          <cell r="C6462" t="str">
            <v>ซาติน แขนสั้นขายาว Butterfly พื้นเขียว 2XL (กปก)</v>
          </cell>
        </row>
        <row r="6463">
          <cell r="A6463" t="str">
            <v>ST0920-L</v>
          </cell>
          <cell r="B6463" t="str">
            <v>T920</v>
          </cell>
          <cell r="C6463" t="str">
            <v>ซาติน แขนสั้นขายาว Butterfly พื้นเขียว L (กปก)</v>
          </cell>
        </row>
        <row r="6464">
          <cell r="A6464" t="str">
            <v>ST0920-M</v>
          </cell>
          <cell r="B6464" t="str">
            <v>T920</v>
          </cell>
          <cell r="C6464" t="str">
            <v>ซาติน แขนสั้นขายาว Butterfly พื้นเขียว M (กปก)</v>
          </cell>
        </row>
        <row r="6465">
          <cell r="A6465" t="str">
            <v>ST0920-XL</v>
          </cell>
          <cell r="B6465" t="str">
            <v>T920</v>
          </cell>
          <cell r="C6465" t="str">
            <v>ซาติน แขนสั้นขายาว Butterfly พื้นเขียว XL (กปก)</v>
          </cell>
        </row>
        <row r="6466">
          <cell r="A6466" t="str">
            <v>ST0921-2XL</v>
          </cell>
          <cell r="B6466" t="str">
            <v>T921</v>
          </cell>
          <cell r="C6466" t="str">
            <v>ซาติน แขนสั้นขายาว Butterfly พื้นครีม 2XL (กปก)</v>
          </cell>
        </row>
        <row r="6467">
          <cell r="A6467" t="str">
            <v>ST0921-L</v>
          </cell>
          <cell r="B6467" t="str">
            <v>T921</v>
          </cell>
          <cell r="C6467" t="str">
            <v>ซาติน แขนสั้นขายาว Butterfly พื้นครีม L (กปก)</v>
          </cell>
        </row>
        <row r="6468">
          <cell r="A6468" t="str">
            <v>ST0921-M</v>
          </cell>
          <cell r="B6468" t="str">
            <v>T921</v>
          </cell>
          <cell r="C6468" t="str">
            <v>ซาติน แขนสั้นขายาว Butterfly พื้นครีม M (กปก)</v>
          </cell>
        </row>
        <row r="6469">
          <cell r="A6469" t="str">
            <v>ST0921-XL</v>
          </cell>
          <cell r="B6469" t="str">
            <v>T921</v>
          </cell>
          <cell r="C6469" t="str">
            <v>ซาติน แขนสั้นขายาว Butterfly พื้นครีม XL (กปก)</v>
          </cell>
        </row>
        <row r="6470">
          <cell r="A6470" t="str">
            <v>ST0922-2XL</v>
          </cell>
          <cell r="B6470" t="str">
            <v>T922</v>
          </cell>
          <cell r="C6470" t="str">
            <v>ซาติน แขนสั้นขายาว Bird Orchid พื้นขาว 2XL  (กปก)</v>
          </cell>
        </row>
        <row r="6471">
          <cell r="A6471" t="str">
            <v>ST0922-L</v>
          </cell>
          <cell r="B6471" t="str">
            <v>T922</v>
          </cell>
          <cell r="C6471" t="str">
            <v>ซาติน แขนสั้นขายาว Bird Orchid พื้นขาว L (กปก)</v>
          </cell>
        </row>
        <row r="6472">
          <cell r="A6472" t="str">
            <v>ST0922-M</v>
          </cell>
          <cell r="B6472" t="str">
            <v>T922</v>
          </cell>
          <cell r="C6472" t="str">
            <v>ซาติน แขนสั้นขายาว Bird Orchid พื้นขาว M (กปก)</v>
          </cell>
        </row>
        <row r="6473">
          <cell r="A6473" t="str">
            <v>ST0922-XL</v>
          </cell>
          <cell r="B6473" t="str">
            <v>T922</v>
          </cell>
          <cell r="C6473" t="str">
            <v>ซาติน แขนสั้นขายาว Bird Orchid พื้นขาว XL (กปก)</v>
          </cell>
        </row>
        <row r="6474">
          <cell r="A6474" t="str">
            <v>ST0923-2XL</v>
          </cell>
          <cell r="B6474" t="str">
            <v>T923</v>
          </cell>
          <cell r="C6474" t="str">
            <v>ซาติน แขนสั้นขายาว Jungle Cruise ดำ 2XL  (กปก)</v>
          </cell>
        </row>
        <row r="6475">
          <cell r="A6475" t="str">
            <v>ST0923-3XL</v>
          </cell>
          <cell r="B6475" t="str">
            <v>T923</v>
          </cell>
          <cell r="C6475" t="str">
            <v>ซาติน แขนสั้นขายาว Jungle Cruise ดำ 3XL  (กปก)</v>
          </cell>
        </row>
        <row r="6476">
          <cell r="A6476" t="str">
            <v>ST0923-L</v>
          </cell>
          <cell r="B6476" t="str">
            <v>T923</v>
          </cell>
          <cell r="C6476" t="str">
            <v>ซาติน แขนสั้นขายาว Jungle Cruise ดำ L (กปก)</v>
          </cell>
        </row>
        <row r="6477">
          <cell r="A6477" t="str">
            <v>ST0923-M</v>
          </cell>
          <cell r="B6477" t="str">
            <v>T923</v>
          </cell>
          <cell r="C6477" t="str">
            <v>ซาติน แขนสั้นขายาว Jungle Cruise ดำ M (กปก)</v>
          </cell>
        </row>
        <row r="6478">
          <cell r="A6478" t="str">
            <v>ST0923-XL</v>
          </cell>
          <cell r="B6478" t="str">
            <v>T923</v>
          </cell>
          <cell r="C6478" t="str">
            <v>ซาติน แขนสั้นขายาว Jungle Cruise ดำ XL (กปก)</v>
          </cell>
        </row>
        <row r="6479">
          <cell r="A6479" t="str">
            <v>ST0924-2XL</v>
          </cell>
          <cell r="B6479" t="str">
            <v>T924</v>
          </cell>
          <cell r="C6479" t="str">
            <v>ซาติน แขนสั้นขายาว Jungle Cruise ครีม 2XL  (กปก)</v>
          </cell>
        </row>
        <row r="6480">
          <cell r="A6480" t="str">
            <v>ST0924-3XL</v>
          </cell>
          <cell r="B6480" t="str">
            <v>T924</v>
          </cell>
          <cell r="C6480" t="str">
            <v>ซาติน แขนสั้นขายาว Jungle Cruise ครีม 3XL  (กปก)</v>
          </cell>
        </row>
        <row r="6481">
          <cell r="A6481" t="str">
            <v>ST0924-L</v>
          </cell>
          <cell r="B6481" t="str">
            <v>T924</v>
          </cell>
          <cell r="C6481" t="str">
            <v>ซาติน แขนสั้นขายาว Jungle Cruise ครีม L (กปก)</v>
          </cell>
        </row>
        <row r="6482">
          <cell r="A6482" t="str">
            <v>ST0924-M</v>
          </cell>
          <cell r="B6482" t="str">
            <v>T924</v>
          </cell>
          <cell r="C6482" t="str">
            <v>ซาติน แขนสั้นขายาว Jungle Cruise ครีม M (กปก)</v>
          </cell>
        </row>
        <row r="6483">
          <cell r="A6483" t="str">
            <v>ST0924-XL</v>
          </cell>
          <cell r="B6483" t="str">
            <v>T924</v>
          </cell>
          <cell r="C6483" t="str">
            <v>ซาติน แขนสั้นขายาว Jungle Cruise ครีม XL (กปก)</v>
          </cell>
        </row>
        <row r="6484">
          <cell r="A6484" t="str">
            <v>ST0925-2XL</v>
          </cell>
          <cell r="B6484" t="str">
            <v>T925</v>
          </cell>
          <cell r="C6484" t="str">
            <v>ซาติน แขนสั้นขายาว Bird Orchid พื้นเขียว 2XL  (กปก)</v>
          </cell>
        </row>
        <row r="6485">
          <cell r="A6485" t="str">
            <v>ST0925-L</v>
          </cell>
          <cell r="B6485" t="str">
            <v>T925</v>
          </cell>
          <cell r="C6485" t="str">
            <v>ซาติน แขนสั้นขายาว Bird Orchid พื้นเขียว L (กปก)</v>
          </cell>
        </row>
        <row r="6486">
          <cell r="A6486" t="str">
            <v>ST0925-M</v>
          </cell>
          <cell r="B6486" t="str">
            <v>T925</v>
          </cell>
          <cell r="C6486" t="str">
            <v>ซาติน แขนสั้นขายาว Bird Orchid พื้นเขียว M (กปก)</v>
          </cell>
        </row>
        <row r="6487">
          <cell r="A6487" t="str">
            <v>ST0925-XL</v>
          </cell>
          <cell r="B6487" t="str">
            <v>T925</v>
          </cell>
          <cell r="C6487" t="str">
            <v>ซาติน แขนสั้นขายาว Bird Orchid พื้นเขียว XL (กปก)</v>
          </cell>
        </row>
        <row r="6488">
          <cell r="A6488" t="str">
            <v>ST0926-2XL</v>
          </cell>
          <cell r="B6488" t="str">
            <v>T926</v>
          </cell>
          <cell r="C6488" t="str">
            <v>ซาติน แขนสั้นขายาว พื้นกรม ลายม้าลาย 2XL (กปก)</v>
          </cell>
        </row>
        <row r="6489">
          <cell r="A6489" t="str">
            <v>ST0926-3XL</v>
          </cell>
          <cell r="B6489" t="str">
            <v>T926</v>
          </cell>
          <cell r="C6489" t="str">
            <v>ซาติน แขนสั้นขายาว พื้นกรม ลายม้าลาย 3XL (กปก)</v>
          </cell>
        </row>
        <row r="6490">
          <cell r="A6490" t="str">
            <v>ST0926-L</v>
          </cell>
          <cell r="B6490" t="str">
            <v>T926</v>
          </cell>
          <cell r="C6490" t="str">
            <v>ซาติน แขนสั้นขายาว พื้นกรม ลายม้าลาย L (กปก)</v>
          </cell>
        </row>
        <row r="6491">
          <cell r="A6491" t="str">
            <v>ST0926-M</v>
          </cell>
          <cell r="B6491" t="str">
            <v>T926</v>
          </cell>
          <cell r="C6491" t="str">
            <v>ซาติน แขนสั้นขายาว พื้นกรม ลายม้าลาย M (กปก)</v>
          </cell>
        </row>
        <row r="6492">
          <cell r="A6492" t="str">
            <v>ST0926-XL</v>
          </cell>
          <cell r="B6492" t="str">
            <v>T926</v>
          </cell>
          <cell r="C6492" t="str">
            <v>ซาติน แขนสั้นขายาว พื้นกรม ลายม้าลาย XL (กปก)</v>
          </cell>
        </row>
        <row r="6493">
          <cell r="A6493" t="str">
            <v>ST0927-2XL</v>
          </cell>
          <cell r="B6493" t="str">
            <v>T927</v>
          </cell>
          <cell r="C6493" t="str">
            <v>ซาติน แขนสั้นขายาว หน้าแมว พื้นดำ 2XL</v>
          </cell>
        </row>
        <row r="6494">
          <cell r="A6494" t="str">
            <v>ST0927-3XL</v>
          </cell>
          <cell r="B6494" t="str">
            <v>T927</v>
          </cell>
          <cell r="C6494" t="str">
            <v>ซาติน แขนสั้นขายาว หน้าแมว พื้นดำ 3XL</v>
          </cell>
        </row>
        <row r="6495">
          <cell r="A6495" t="str">
            <v>ST0927-L</v>
          </cell>
          <cell r="B6495" t="str">
            <v>T927</v>
          </cell>
          <cell r="C6495" t="str">
            <v>ซาติน แขนสั้นขายาว หน้าแมว พื้นดำ L</v>
          </cell>
        </row>
        <row r="6496">
          <cell r="A6496" t="str">
            <v>ST0927-M</v>
          </cell>
          <cell r="B6496" t="str">
            <v>T927</v>
          </cell>
          <cell r="C6496" t="str">
            <v>ซาติน แขนสั้นขายาว หน้าแมว พื้นดำ M</v>
          </cell>
        </row>
        <row r="6497">
          <cell r="A6497" t="str">
            <v>ST0927-XL</v>
          </cell>
          <cell r="B6497" t="str">
            <v>T927</v>
          </cell>
          <cell r="C6497" t="str">
            <v>ซาติน แขนสั้นขายาว หน้าแมว พื้นดำ XL</v>
          </cell>
        </row>
        <row r="6498">
          <cell r="A6498" t="str">
            <v>ST0928-2XL</v>
          </cell>
          <cell r="B6498" t="str">
            <v>T928</v>
          </cell>
          <cell r="C6498" t="str">
            <v>ซาติน แขนสั้นขายาว ลายทางน้ำตาล 2XL (กปก)</v>
          </cell>
        </row>
        <row r="6499">
          <cell r="A6499" t="str">
            <v>ST0928-3XL</v>
          </cell>
          <cell r="B6499" t="str">
            <v>T928</v>
          </cell>
          <cell r="C6499" t="str">
            <v>ซาติน แขนสั้นขายาว ลายทางน้ำตาล 3XL (กปก)</v>
          </cell>
        </row>
        <row r="6500">
          <cell r="A6500" t="str">
            <v>ST0928-L</v>
          </cell>
          <cell r="B6500" t="str">
            <v>T928</v>
          </cell>
          <cell r="C6500" t="str">
            <v>ซาติน แขนสั้นขายาว ลายทางน้ำตาล L (กปก)</v>
          </cell>
        </row>
        <row r="6501">
          <cell r="A6501" t="str">
            <v>ST0928-M</v>
          </cell>
          <cell r="B6501" t="str">
            <v>T928</v>
          </cell>
          <cell r="C6501" t="str">
            <v>ซาติน แขนสั้นขายาว ลายทางน้ำตาล M (กปก)</v>
          </cell>
        </row>
        <row r="6502">
          <cell r="A6502" t="str">
            <v>ST0928-XL</v>
          </cell>
          <cell r="B6502" t="str">
            <v>T928</v>
          </cell>
          <cell r="C6502" t="str">
            <v>ซาติน แขนสั้นขายาว ลายทางน้ำตาล XL (กปก)</v>
          </cell>
        </row>
        <row r="6503">
          <cell r="A6503" t="str">
            <v>ST0929-2XL</v>
          </cell>
          <cell r="B6503" t="str">
            <v>T929</v>
          </cell>
          <cell r="C6503" t="str">
            <v>ซาติน แขนสั้นขายาว ดอกไม้ฟ้า ปะการัง ปกชมพู 2XL</v>
          </cell>
        </row>
        <row r="6504">
          <cell r="A6504" t="str">
            <v>ST0929-3XL</v>
          </cell>
          <cell r="B6504" t="str">
            <v>T929</v>
          </cell>
          <cell r="C6504" t="str">
            <v>ซาติน แขนสั้นขายาว ดอกไม้ฟ้า ปะการัง ปกชมพู 3XL</v>
          </cell>
        </row>
        <row r="6505">
          <cell r="A6505" t="str">
            <v>ST0929-L</v>
          </cell>
          <cell r="B6505" t="str">
            <v>T929</v>
          </cell>
          <cell r="C6505" t="str">
            <v>ซาติน แขนสั้นขายาว ดอกไม้ฟ้า ปะการัง ปกชมพู L</v>
          </cell>
        </row>
        <row r="6506">
          <cell r="A6506" t="str">
            <v>ST0929-M</v>
          </cell>
          <cell r="B6506" t="str">
            <v>T929</v>
          </cell>
          <cell r="C6506" t="str">
            <v>ซาติน แขนสั้นขายาว ดอกไม้ฟ้า ปะการัง ปกชมพู M</v>
          </cell>
        </row>
        <row r="6507">
          <cell r="A6507" t="str">
            <v>ST0929-XL</v>
          </cell>
          <cell r="B6507" t="str">
            <v>T929</v>
          </cell>
          <cell r="C6507" t="str">
            <v>ซาติน แขนสั้นขายาว ดอกไม้ฟ้า ปะการัง ปกชมพู XL</v>
          </cell>
        </row>
        <row r="6508">
          <cell r="A6508" t="str">
            <v>ST0930-2XL</v>
          </cell>
          <cell r="B6508" t="str">
            <v>T930</v>
          </cell>
          <cell r="C6508" t="str">
            <v>ซาติน แขนสั้นขายาว pinky 2XL (กปก)</v>
          </cell>
        </row>
        <row r="6509">
          <cell r="A6509" t="str">
            <v>ST0930-L</v>
          </cell>
          <cell r="B6509" t="str">
            <v>T930</v>
          </cell>
          <cell r="C6509" t="str">
            <v>ซาติน แขนสั้นขายาว pinky L (กปก)</v>
          </cell>
        </row>
        <row r="6510">
          <cell r="A6510" t="str">
            <v>ST0930-M</v>
          </cell>
          <cell r="B6510" t="str">
            <v>T930</v>
          </cell>
          <cell r="C6510" t="str">
            <v>ซาติน แขนสั้นขายาว pinky M (กปก)</v>
          </cell>
        </row>
        <row r="6511">
          <cell r="A6511" t="str">
            <v>ST0930-XL</v>
          </cell>
          <cell r="B6511" t="str">
            <v>T930</v>
          </cell>
          <cell r="C6511" t="str">
            <v>ซาติน แขนสั้นขายาว pinky XL (กปก)</v>
          </cell>
        </row>
        <row r="6512">
          <cell r="A6512" t="str">
            <v>ST0931-2XL</v>
          </cell>
          <cell r="B6512" t="str">
            <v>T931</v>
          </cell>
          <cell r="C6512" t="str">
            <v>ซาติน แขนสั้นขายาว olivia 2XL (กปก)</v>
          </cell>
        </row>
        <row r="6513">
          <cell r="A6513" t="str">
            <v>ST0931-L</v>
          </cell>
          <cell r="B6513" t="str">
            <v>T931</v>
          </cell>
          <cell r="C6513" t="str">
            <v>ซาติน แขนสั้นขายาว olivia L (กปก)</v>
          </cell>
        </row>
        <row r="6514">
          <cell r="A6514" t="str">
            <v>ST0931-M</v>
          </cell>
          <cell r="B6514" t="str">
            <v>T931</v>
          </cell>
          <cell r="C6514" t="str">
            <v>ซาติน แขนสั้นขายาว olivia M (กปก)</v>
          </cell>
        </row>
        <row r="6515">
          <cell r="A6515" t="str">
            <v>ST0931-XL</v>
          </cell>
          <cell r="B6515" t="str">
            <v>T931</v>
          </cell>
          <cell r="C6515" t="str">
            <v>ซาติน แขนสั้นขายาว olivia XL (กปก)</v>
          </cell>
        </row>
        <row r="6516">
          <cell r="A6516" t="str">
            <v>ST0932-2XL</v>
          </cell>
          <cell r="B6516" t="str">
            <v>T932</v>
          </cell>
          <cell r="C6516" t="str">
            <v>ซาติน แขนสั้นขายาว violet 2XL (กปก)</v>
          </cell>
        </row>
        <row r="6517">
          <cell r="A6517" t="str">
            <v>ST0932-L</v>
          </cell>
          <cell r="B6517" t="str">
            <v>T932</v>
          </cell>
          <cell r="C6517" t="str">
            <v>ซาติน แขนสั้นขายาว violet L (กปก)</v>
          </cell>
        </row>
        <row r="6518">
          <cell r="A6518" t="str">
            <v>ST0932-M</v>
          </cell>
          <cell r="B6518" t="str">
            <v>T932</v>
          </cell>
          <cell r="C6518" t="str">
            <v>ซาติน แขนสั้นขายาว violet M (กปก)</v>
          </cell>
        </row>
        <row r="6519">
          <cell r="A6519" t="str">
            <v>ST0932-XL</v>
          </cell>
          <cell r="B6519" t="str">
            <v>T932</v>
          </cell>
          <cell r="C6519" t="str">
            <v>ซาติน แขนสั้นขายาว violet XL (กปก)</v>
          </cell>
        </row>
        <row r="6520">
          <cell r="A6520" t="str">
            <v>ST0934-2XL</v>
          </cell>
          <cell r="B6520" t="str">
            <v>T934</v>
          </cell>
          <cell r="C6520" t="str">
            <v>ซาติน แขนสั้นขายาว navy 2XL (กปก)</v>
          </cell>
        </row>
        <row r="6521">
          <cell r="A6521" t="str">
            <v>ST0934-L</v>
          </cell>
          <cell r="B6521" t="str">
            <v>T934</v>
          </cell>
          <cell r="C6521" t="str">
            <v>ซาติน แขนสั้นขายาว navy L (กปก)</v>
          </cell>
        </row>
        <row r="6522">
          <cell r="A6522" t="str">
            <v>ST0934-M</v>
          </cell>
          <cell r="B6522" t="str">
            <v>T934</v>
          </cell>
          <cell r="C6522" t="str">
            <v>ซาติน แขนสั้นขายาว navy M (กปก)</v>
          </cell>
        </row>
        <row r="6523">
          <cell r="A6523" t="str">
            <v>ST0934-XL</v>
          </cell>
          <cell r="B6523" t="str">
            <v>T934</v>
          </cell>
          <cell r="C6523" t="str">
            <v>ซาติน แขนสั้นขายาว navy XL (กปก)</v>
          </cell>
        </row>
        <row r="6524">
          <cell r="A6524" t="str">
            <v>ST0935-2XL</v>
          </cell>
          <cell r="B6524" t="str">
            <v>T935</v>
          </cell>
          <cell r="C6524" t="str">
            <v>ซาติน แขนสั้นขายาว Cute old totoro 2XL (กปก)</v>
          </cell>
        </row>
        <row r="6525">
          <cell r="A6525" t="str">
            <v>ST0935-3XL</v>
          </cell>
          <cell r="B6525" t="str">
            <v>T935</v>
          </cell>
          <cell r="C6525" t="str">
            <v>ซาติน แขนสั้นขายาว Cute old totoro 3XL (กปก)</v>
          </cell>
        </row>
        <row r="6526">
          <cell r="A6526" t="str">
            <v>ST0935-L</v>
          </cell>
          <cell r="B6526" t="str">
            <v>T935</v>
          </cell>
          <cell r="C6526" t="str">
            <v>ซาติน แขนสั้นขายาว Cute old totoro L (กปก)</v>
          </cell>
        </row>
        <row r="6527">
          <cell r="A6527" t="str">
            <v>ST0935-M</v>
          </cell>
          <cell r="B6527" t="str">
            <v>T935</v>
          </cell>
          <cell r="C6527" t="str">
            <v>ซาติน แขนสั้นขายาว Cute old totoro M (กปก)</v>
          </cell>
        </row>
        <row r="6528">
          <cell r="A6528" t="str">
            <v>ST0935-XL</v>
          </cell>
          <cell r="B6528" t="str">
            <v>T935</v>
          </cell>
          <cell r="C6528" t="str">
            <v>ซาติน แขนสั้นขายาว Cute old totoro XL (กปก)</v>
          </cell>
        </row>
        <row r="6529">
          <cell r="A6529" t="str">
            <v>ST0936-2XL</v>
          </cell>
          <cell r="B6529" t="str">
            <v>T936</v>
          </cell>
          <cell r="C6529" t="str">
            <v>ซาติน แขนสั้นขายาว Balloon Cat พื้นชมพู 2XL (กปก)</v>
          </cell>
        </row>
        <row r="6530">
          <cell r="A6530" t="str">
            <v>ST0936-3XL</v>
          </cell>
          <cell r="B6530" t="str">
            <v>T936</v>
          </cell>
          <cell r="C6530" t="str">
            <v>ซาติน แขนสั้นขายาว Balloon Cat พื้นชมพู 3XL (กปก)</v>
          </cell>
        </row>
        <row r="6531">
          <cell r="A6531" t="str">
            <v>ST0936-L</v>
          </cell>
          <cell r="B6531" t="str">
            <v>T936</v>
          </cell>
          <cell r="C6531" t="str">
            <v>ซาติน แขนสั้นขายาว Balloon Cat พื้นชมพู L (กปก)</v>
          </cell>
        </row>
        <row r="6532">
          <cell r="A6532" t="str">
            <v>ST0936-M</v>
          </cell>
          <cell r="B6532" t="str">
            <v>T936</v>
          </cell>
          <cell r="C6532" t="str">
            <v>ซาติน แขนสั้นขายาว Balloon Cat พื้นชมพู M (กปก)</v>
          </cell>
        </row>
        <row r="6533">
          <cell r="A6533" t="str">
            <v>ST0936-XL</v>
          </cell>
          <cell r="B6533" t="str">
            <v>T936</v>
          </cell>
          <cell r="C6533" t="str">
            <v>ซาติน แขนสั้นขายาว Balloon Cat พื้นชมพู XL (กปก)</v>
          </cell>
        </row>
        <row r="6534">
          <cell r="A6534" t="str">
            <v>ST0937-2XL</v>
          </cell>
          <cell r="B6534" t="str">
            <v>T937</v>
          </cell>
          <cell r="C6534" t="str">
            <v>ซาติน แขนสั้นขายาว Little pink tiger 2XL</v>
          </cell>
        </row>
        <row r="6535">
          <cell r="A6535" t="str">
            <v>ST0937-3XL</v>
          </cell>
          <cell r="B6535" t="str">
            <v>T937</v>
          </cell>
          <cell r="C6535" t="str">
            <v>ซาติน แขนสั้นขายาว Little pink tiger 3XL</v>
          </cell>
        </row>
        <row r="6536">
          <cell r="A6536" t="str">
            <v>ST0937-L</v>
          </cell>
          <cell r="B6536" t="str">
            <v>T937</v>
          </cell>
          <cell r="C6536" t="str">
            <v>ซาติน แขนสั้นขายาว Little pink tiger L</v>
          </cell>
        </row>
        <row r="6537">
          <cell r="A6537" t="str">
            <v>ST0937-M</v>
          </cell>
          <cell r="B6537" t="str">
            <v>T937</v>
          </cell>
          <cell r="C6537" t="str">
            <v>ซาติน แขนสั้นขายาว Little pink tiger M</v>
          </cell>
        </row>
        <row r="6538">
          <cell r="A6538" t="str">
            <v>ST0937-XL</v>
          </cell>
          <cell r="B6538" t="str">
            <v>T937</v>
          </cell>
          <cell r="C6538" t="str">
            <v>ซาติน แขนสั้นขายาว Little pink tiger XL</v>
          </cell>
        </row>
        <row r="6539">
          <cell r="A6539" t="str">
            <v>ST0938-2XL</v>
          </cell>
          <cell r="B6539" t="str">
            <v>T938</v>
          </cell>
          <cell r="C6539" t="str">
            <v>ซาติน แขนสั้นขายาว Black forest 2XL</v>
          </cell>
        </row>
        <row r="6540">
          <cell r="A6540" t="str">
            <v>ST0938-3XL</v>
          </cell>
          <cell r="B6540" t="str">
            <v>T938</v>
          </cell>
          <cell r="C6540" t="str">
            <v>ซาติน แขนสั้นขายาว Black forest 3XL</v>
          </cell>
        </row>
        <row r="6541">
          <cell r="A6541" t="str">
            <v>ST0938-L</v>
          </cell>
          <cell r="B6541" t="str">
            <v>T938</v>
          </cell>
          <cell r="C6541" t="str">
            <v>ซาติน แขนสั้นขายาว Black forest L</v>
          </cell>
        </row>
        <row r="6542">
          <cell r="A6542" t="str">
            <v>ST0938-M</v>
          </cell>
          <cell r="B6542" t="str">
            <v>T938</v>
          </cell>
          <cell r="C6542" t="str">
            <v>ซาติน แขนสั้นขายาว Black forest M</v>
          </cell>
        </row>
        <row r="6543">
          <cell r="A6543" t="str">
            <v>ST0938-XL</v>
          </cell>
          <cell r="B6543" t="str">
            <v>T938</v>
          </cell>
          <cell r="C6543" t="str">
            <v>ซาติน แขนสั้นขายาว Black forest XL</v>
          </cell>
        </row>
        <row r="6544">
          <cell r="A6544" t="str">
            <v>ST0944-2XL</v>
          </cell>
          <cell r="B6544" t="str">
            <v>T944</v>
          </cell>
          <cell r="C6544" t="str">
            <v>ซาติน แขนสั้นขายาว กวางพื้นกรม  2XL</v>
          </cell>
        </row>
        <row r="6545">
          <cell r="A6545" t="str">
            <v>ST0944-3XL</v>
          </cell>
          <cell r="B6545" t="str">
            <v>T944</v>
          </cell>
          <cell r="C6545" t="str">
            <v>ซาติน แขนสั้นขายาว กวางพื้นกรม  3XL</v>
          </cell>
        </row>
        <row r="6546">
          <cell r="A6546" t="str">
            <v>ST0944-L</v>
          </cell>
          <cell r="B6546" t="str">
            <v>T944</v>
          </cell>
          <cell r="C6546" t="str">
            <v>ซาติน แขนสั้นขายาว กวางพื้นกรม  L</v>
          </cell>
        </row>
        <row r="6547">
          <cell r="A6547" t="str">
            <v>ST0944-M</v>
          </cell>
          <cell r="B6547" t="str">
            <v>T944</v>
          </cell>
          <cell r="C6547" t="str">
            <v>ซาติน แขนสั้นขายาว กวางพื้นกรม  M</v>
          </cell>
        </row>
        <row r="6548">
          <cell r="A6548" t="str">
            <v>ST0944-XL</v>
          </cell>
          <cell r="B6548" t="str">
            <v>T944</v>
          </cell>
          <cell r="C6548" t="str">
            <v>ซาติน แขนสั้นขายาว กวางพื้นกรม  XL</v>
          </cell>
        </row>
        <row r="6549">
          <cell r="A6549" t="str">
            <v>ST0945-2XL</v>
          </cell>
          <cell r="B6549" t="str">
            <v>T945</v>
          </cell>
          <cell r="C6549" t="str">
            <v>ซาติน แขนสั้นขายาว พื้นกรม ดอกกุหลาบแดง กล้วยไม้ 2XL (กปก)</v>
          </cell>
        </row>
        <row r="6550">
          <cell r="A6550" t="str">
            <v>ST0945-3XL</v>
          </cell>
          <cell r="B6550" t="str">
            <v>T945</v>
          </cell>
          <cell r="C6550" t="str">
            <v>ซาติน แขนสั้นขายาว พื้นกรม ดอกกุหลาบแดง กล้วยไม้ 3XL (กปก)</v>
          </cell>
        </row>
        <row r="6551">
          <cell r="A6551" t="str">
            <v>ST0945-L</v>
          </cell>
          <cell r="B6551" t="str">
            <v>T945</v>
          </cell>
          <cell r="C6551" t="str">
            <v>ซาติน แขนสั้นขายาว พื้นกรม ดอกกุหลาบแดง กล้วยไม้ L (กปก)</v>
          </cell>
        </row>
        <row r="6552">
          <cell r="A6552" t="str">
            <v>ST0945-M</v>
          </cell>
          <cell r="B6552" t="str">
            <v>T945</v>
          </cell>
          <cell r="C6552" t="str">
            <v>ซาติน แขนสั้นขายาว พื้นกรม ดอกกุหลาบแดง กล้วยไม้ M (กปก)</v>
          </cell>
        </row>
        <row r="6553">
          <cell r="A6553" t="str">
            <v>ST0945-XL</v>
          </cell>
          <cell r="B6553" t="str">
            <v>T945</v>
          </cell>
          <cell r="C6553" t="str">
            <v>ซาติน แขนสั้นขายาว พื้นกรม ดอกกุหลาบแดง กล้วยไม้ XL (กปก)</v>
          </cell>
        </row>
        <row r="6554">
          <cell r="A6554" t="str">
            <v>ST0946-2XL</v>
          </cell>
          <cell r="B6554" t="str">
            <v>T946</v>
          </cell>
          <cell r="C6554" t="str">
            <v>ซาติน แขนสั้นขายาว เกสรดอกไม้ พื้นขาว 2XL (กปก)</v>
          </cell>
        </row>
        <row r="6555">
          <cell r="A6555" t="str">
            <v>ST0946-3XL</v>
          </cell>
          <cell r="B6555" t="str">
            <v>T946</v>
          </cell>
          <cell r="C6555" t="str">
            <v>ซาติน แขนสั้นขายาว เกสรดอกไม้ พื้นขาว 3XL (กปก)</v>
          </cell>
        </row>
        <row r="6556">
          <cell r="A6556" t="str">
            <v>ST0946-L</v>
          </cell>
          <cell r="B6556" t="str">
            <v>T946</v>
          </cell>
          <cell r="C6556" t="str">
            <v>ซาติน แขนสั้นขายาว เกสรดอกไม้ พื้นขาว L (กปก)</v>
          </cell>
        </row>
        <row r="6557">
          <cell r="A6557" t="str">
            <v>ST0946-M</v>
          </cell>
          <cell r="B6557" t="str">
            <v>T946</v>
          </cell>
          <cell r="C6557" t="str">
            <v>ซาติน แขนสั้นขายาว เกสรดอกไม้ พื้นขาว M (กปก)</v>
          </cell>
        </row>
        <row r="6558">
          <cell r="A6558" t="str">
            <v>ST0946-XL</v>
          </cell>
          <cell r="B6558" t="str">
            <v>T946</v>
          </cell>
          <cell r="C6558" t="str">
            <v>ซาติน แขนสั้นขายาว เกสรดอกไม้ พื้นขาว XL (กปก)</v>
          </cell>
        </row>
        <row r="6559">
          <cell r="A6559" t="str">
            <v>ST0947-2XL</v>
          </cell>
          <cell r="B6559" t="str">
            <v>T947</v>
          </cell>
          <cell r="C6559" t="str">
            <v>ซาติน แขนสั้นขายาว ลายทางฟ้า 2XL (กปก)</v>
          </cell>
        </row>
        <row r="6560">
          <cell r="A6560" t="str">
            <v>ST0947-3XL</v>
          </cell>
          <cell r="B6560" t="str">
            <v>T947</v>
          </cell>
          <cell r="C6560" t="str">
            <v>ซาติน แขนสั้นขายาว ลายทางฟ้า 3XL (กปก)</v>
          </cell>
        </row>
        <row r="6561">
          <cell r="A6561" t="str">
            <v>ST0947-L</v>
          </cell>
          <cell r="B6561" t="str">
            <v>T947</v>
          </cell>
          <cell r="C6561" t="str">
            <v>ซาติน แขนสั้นขายาว ลายทางฟ้า L (กปก)</v>
          </cell>
        </row>
        <row r="6562">
          <cell r="A6562" t="str">
            <v>ST0947-M</v>
          </cell>
          <cell r="B6562" t="str">
            <v>T947</v>
          </cell>
          <cell r="C6562" t="str">
            <v>ซาติน แขนสั้นขายาว ลายทางฟ้า M (กปก)</v>
          </cell>
        </row>
        <row r="6563">
          <cell r="A6563" t="str">
            <v>ST0947-XL</v>
          </cell>
          <cell r="B6563" t="str">
            <v>T947</v>
          </cell>
          <cell r="C6563" t="str">
            <v>ซาติน แขนสั้นขายาว ลายทางฟ้า XL (กปก)</v>
          </cell>
        </row>
        <row r="6564">
          <cell r="A6564" t="str">
            <v>ST0948-2XL</v>
          </cell>
          <cell r="B6564" t="str">
            <v>T948</v>
          </cell>
          <cell r="C6564" t="str">
            <v>ซาติน แขนสั้นขายาว แมวดำ พื้นชมพู 2XL (กปก)</v>
          </cell>
        </row>
        <row r="6565">
          <cell r="A6565" t="str">
            <v>ST0948-3XL</v>
          </cell>
          <cell r="B6565" t="str">
            <v>T948</v>
          </cell>
          <cell r="C6565" t="str">
            <v>ซาติน แขนสั้นขายาว แมวดำ พื้นชมพู 3XL (กปก)</v>
          </cell>
        </row>
        <row r="6566">
          <cell r="A6566" t="str">
            <v>ST0948-L</v>
          </cell>
          <cell r="B6566" t="str">
            <v>T948</v>
          </cell>
          <cell r="C6566" t="str">
            <v>ซาติน แขนสั้นขายาว แมวดำ พื้นชมพู L (กปก)</v>
          </cell>
        </row>
        <row r="6567">
          <cell r="A6567" t="str">
            <v>ST0948-M</v>
          </cell>
          <cell r="B6567" t="str">
            <v>T948</v>
          </cell>
          <cell r="C6567" t="str">
            <v>ซาติน แขนสั้นขายาว แมวดำ พื้นชมพู M (กปก)</v>
          </cell>
        </row>
        <row r="6568">
          <cell r="A6568" t="str">
            <v>ST0948-XL</v>
          </cell>
          <cell r="B6568" t="str">
            <v>T948</v>
          </cell>
          <cell r="C6568" t="str">
            <v>ซาติน แขนสั้นขายาว แมวดำ พื้นชมพู XL (กปก)</v>
          </cell>
        </row>
        <row r="6569">
          <cell r="A6569" t="str">
            <v>ST0955-2XL</v>
          </cell>
          <cell r="B6569" t="str">
            <v>T955</v>
          </cell>
          <cell r="C6569" t="str">
            <v>ซาติน แขนสั้นขายาว ภาพถ่ายวิวเมือง (กปก) 2XL</v>
          </cell>
        </row>
        <row r="6570">
          <cell r="A6570" t="str">
            <v>ST0955-3XL</v>
          </cell>
          <cell r="B6570" t="str">
            <v>T955</v>
          </cell>
          <cell r="C6570" t="str">
            <v>ซาติน แขนสั้นขายาว ภาพถ่ายวิวเมือง (กปก) 3XL</v>
          </cell>
        </row>
        <row r="6571">
          <cell r="A6571" t="str">
            <v>ST0955-L</v>
          </cell>
          <cell r="B6571" t="str">
            <v>T955</v>
          </cell>
          <cell r="C6571" t="str">
            <v>ซาติน แขนสั้นขายาว ภาพถ่ายวิวเมือง (กปก) L</v>
          </cell>
        </row>
        <row r="6572">
          <cell r="A6572" t="str">
            <v>ST0955-M</v>
          </cell>
          <cell r="B6572" t="str">
            <v>T955</v>
          </cell>
          <cell r="C6572" t="str">
            <v>ซาติน แขนสั้นขายาว ภาพถ่ายวิวเมือง (กปก) M</v>
          </cell>
        </row>
        <row r="6573">
          <cell r="A6573" t="str">
            <v>ST0955-XL</v>
          </cell>
          <cell r="B6573" t="str">
            <v>T955</v>
          </cell>
          <cell r="C6573" t="str">
            <v>ซาติน แขนสั้นขายาว ภาพถ่ายวิวเมือง (กปก) XL</v>
          </cell>
        </row>
        <row r="6574">
          <cell r="A6574" t="str">
            <v>SU0001-L</v>
          </cell>
          <cell r="B6574" t="str">
            <v>U1</v>
          </cell>
          <cell r="C6574" t="str">
            <v>ซาติน แขนยาวขาสั้น สีเทียน ขอบเขียว L</v>
          </cell>
        </row>
        <row r="6575">
          <cell r="A6575" t="str">
            <v>SU0001-M</v>
          </cell>
          <cell r="B6575" t="str">
            <v>U1</v>
          </cell>
          <cell r="C6575" t="str">
            <v>ซาติน แขนยาวขาสั้น สีเทียน ขอบเขียว M</v>
          </cell>
        </row>
        <row r="6576">
          <cell r="A6576" t="str">
            <v>SU0001-XL</v>
          </cell>
          <cell r="B6576" t="str">
            <v>U1</v>
          </cell>
          <cell r="C6576" t="str">
            <v>ซาติน แขนยาวขาสั้น สีเทียน ขอบเขียว XL</v>
          </cell>
        </row>
        <row r="6577">
          <cell r="A6577" t="str">
            <v>SU0002-L</v>
          </cell>
          <cell r="B6577" t="str">
            <v>U2</v>
          </cell>
          <cell r="C6577" t="str">
            <v>ซาติน แขนยาวขาสั้น Blue Leaf L</v>
          </cell>
        </row>
        <row r="6578">
          <cell r="A6578" t="str">
            <v>SU0002-M</v>
          </cell>
          <cell r="B6578" t="str">
            <v>U2</v>
          </cell>
          <cell r="C6578" t="str">
            <v>ซาติน แขนยาวขาสั้น Blue Leaf M</v>
          </cell>
        </row>
        <row r="6579">
          <cell r="A6579" t="str">
            <v>SU0002-XL</v>
          </cell>
          <cell r="B6579" t="str">
            <v>U2</v>
          </cell>
          <cell r="C6579" t="str">
            <v>ซาติน แขนยาวขาสั้น Blue Leaf XL</v>
          </cell>
        </row>
        <row r="6580">
          <cell r="A6580" t="str">
            <v>SU0035-L</v>
          </cell>
          <cell r="B6580" t="str">
            <v>U35</v>
          </cell>
          <cell r="C6580" t="str">
            <v>ซาติน แขนยาวนขาสั้น ฟรุตตี้ L</v>
          </cell>
        </row>
        <row r="6581">
          <cell r="A6581" t="str">
            <v>SU0061-L</v>
          </cell>
          <cell r="B6581" t="str">
            <v>U61</v>
          </cell>
          <cell r="C6581" t="str">
            <v>ซาติน แขนยาวขาสั้น ชมพู ส้ม L</v>
          </cell>
        </row>
        <row r="6582">
          <cell r="A6582" t="str">
            <v>SU0061-M</v>
          </cell>
          <cell r="B6582" t="str">
            <v>U61</v>
          </cell>
          <cell r="C6582" t="str">
            <v>ซาติน แขนยาวขาสั้น ชมพู ส้ม M</v>
          </cell>
        </row>
        <row r="6583">
          <cell r="A6583" t="str">
            <v>SU0127-L</v>
          </cell>
          <cell r="B6583" t="str">
            <v>U127</v>
          </cell>
          <cell r="C6583" t="str">
            <v>ซาติน แขนยาวขาสั้น สิงโต พื้นดำ L</v>
          </cell>
        </row>
        <row r="6584">
          <cell r="A6584" t="str">
            <v>SU0127-M</v>
          </cell>
          <cell r="B6584" t="str">
            <v>U127</v>
          </cell>
          <cell r="C6584" t="str">
            <v>ซาติน แขนยาวขาสั้น สิงโต พื้นดำ M</v>
          </cell>
        </row>
        <row r="6585">
          <cell r="A6585" t="str">
            <v>SU0128-L</v>
          </cell>
          <cell r="B6585" t="str">
            <v>U128</v>
          </cell>
          <cell r="C6585" t="str">
            <v>ซาติน แขนยาวขาสั้น ผีเสื้อดอกไม้ เขียว L</v>
          </cell>
        </row>
        <row r="6586">
          <cell r="A6586" t="str">
            <v>SU0128-M</v>
          </cell>
          <cell r="B6586" t="str">
            <v>U128</v>
          </cell>
          <cell r="C6586" t="str">
            <v>ซาติน แขนยาวขาสั้น ผีเสื้อดอกไม้ เขียว M</v>
          </cell>
        </row>
        <row r="6587">
          <cell r="A6587" t="str">
            <v>SU0216-M</v>
          </cell>
          <cell r="B6587" t="str">
            <v>U216</v>
          </cell>
          <cell r="C6587" t="str">
            <v>ซาคิน แขนยาวขาสั้น สัปปะรดแตงโม พื้นกรม M</v>
          </cell>
        </row>
        <row r="6588">
          <cell r="A6588" t="str">
            <v>SU0216-S</v>
          </cell>
          <cell r="B6588" t="str">
            <v>U216</v>
          </cell>
          <cell r="C6588" t="str">
            <v>ซาคิน แขนยาวขาสั้น สัปปะรดแตงโม พื้นกรม S</v>
          </cell>
        </row>
        <row r="6589">
          <cell r="A6589" t="str">
            <v>SU0246-L</v>
          </cell>
          <cell r="B6589" t="str">
            <v>JU246</v>
          </cell>
          <cell r="C6589" t="str">
            <v>ซาติน แขนยาวขาสั้น เสือ ชมพู L (กปก) ตัวโชว์</v>
          </cell>
        </row>
        <row r="6590">
          <cell r="A6590" t="str">
            <v>SU0246-M</v>
          </cell>
          <cell r="B6590" t="str">
            <v>JU246</v>
          </cell>
          <cell r="C6590" t="str">
            <v>ซาติน แขนยาวขาสั้น เสือ ชมพู M (กปก) ตัวโชว์</v>
          </cell>
        </row>
        <row r="6591">
          <cell r="A6591" t="str">
            <v>SU0246-XL</v>
          </cell>
          <cell r="B6591" t="str">
            <v>JU246</v>
          </cell>
          <cell r="C6591" t="str">
            <v>ซาติน แขนยาวขาสั้น เสือ ชมพู XL (กปก) ตัวโชว์</v>
          </cell>
        </row>
        <row r="6592">
          <cell r="A6592" t="str">
            <v>SU0255-L</v>
          </cell>
          <cell r="B6592" t="str">
            <v>U255</v>
          </cell>
          <cell r="C6592" t="str">
            <v>ซาติน แขนยาวขาสั้น ซากูระขาว พื้นเขียว L</v>
          </cell>
        </row>
        <row r="6593">
          <cell r="A6593" t="str">
            <v>SU0255-M</v>
          </cell>
          <cell r="B6593" t="str">
            <v>U255</v>
          </cell>
          <cell r="C6593" t="str">
            <v>ซาติน แขนยาวขาสั้น ซากูระขาว พื้นเขียว M</v>
          </cell>
        </row>
        <row r="6594">
          <cell r="A6594" t="str">
            <v>SU0272-L</v>
          </cell>
          <cell r="B6594" t="str">
            <v>U272</v>
          </cell>
          <cell r="C6594" t="str">
            <v>ซาติน แขนยาวขาสั้น อลิส ชุดแดง พื้นชมพู L</v>
          </cell>
        </row>
        <row r="6595">
          <cell r="A6595" t="str">
            <v>SU0272-M</v>
          </cell>
          <cell r="B6595" t="str">
            <v>U272</v>
          </cell>
          <cell r="C6595" t="str">
            <v>ซาติน แขนยาวขาสั้น อลิส ชุดแดง พื้นชมพู M</v>
          </cell>
        </row>
        <row r="6596">
          <cell r="A6596" t="str">
            <v>SU0273-L</v>
          </cell>
          <cell r="B6596" t="str">
            <v>U273</v>
          </cell>
          <cell r="C6596" t="str">
            <v>ซาติน แขนยาวขาสั้น ผู้สาวคนงาม กับผู้บ่าวกินแมว L</v>
          </cell>
        </row>
        <row r="6597">
          <cell r="A6597" t="str">
            <v>SU0273-M</v>
          </cell>
          <cell r="B6597" t="str">
            <v>U273</v>
          </cell>
          <cell r="C6597" t="str">
            <v>ซาติน แขนยาวขาสั้น ผู้สาวคนงาม กับผู้บ่าวกินแมว M</v>
          </cell>
        </row>
        <row r="6598">
          <cell r="A6598" t="str">
            <v>SU0298-L</v>
          </cell>
          <cell r="B6598" t="str">
            <v>U298</v>
          </cell>
          <cell r="C6598" t="str">
            <v>ซาติน แขนยาวขาสั้น teddy bear พื้นน้ำตาล L</v>
          </cell>
        </row>
        <row r="6599">
          <cell r="A6599" t="str">
            <v>SU0298-M</v>
          </cell>
          <cell r="B6599" t="str">
            <v>U298</v>
          </cell>
          <cell r="C6599" t="str">
            <v>ซาติน แขนยาวขาสั้น teddy bear พื้นน้ำตาล M</v>
          </cell>
        </row>
        <row r="6600">
          <cell r="A6600" t="str">
            <v>SU0298-XL</v>
          </cell>
          <cell r="B6600" t="str">
            <v>U298</v>
          </cell>
          <cell r="C6600" t="str">
            <v>ซาติน แขนยาวขาสั้น teddy bear พื้นน้ำตาล XL</v>
          </cell>
        </row>
        <row r="6601">
          <cell r="A6601" t="str">
            <v>SU0300-M</v>
          </cell>
          <cell r="B6601" t="str">
            <v>U300</v>
          </cell>
          <cell r="C6601" t="str">
            <v>ซาติน แขนยาวขาสั้น บอนไซ พื้นครีม M</v>
          </cell>
        </row>
        <row r="6602">
          <cell r="A6602" t="str">
            <v>SU0301-L</v>
          </cell>
          <cell r="B6602" t="str">
            <v>U301</v>
          </cell>
          <cell r="C6602" t="str">
            <v>ซาติน แขนยาวขาสั้น ผู้หญิง ผู้ชาย พื้นชมพู L</v>
          </cell>
        </row>
        <row r="6603">
          <cell r="A6603" t="str">
            <v>SU0301-M</v>
          </cell>
          <cell r="B6603" t="str">
            <v>U301</v>
          </cell>
          <cell r="C6603" t="str">
            <v>ซาติน แขนยาวขาสั้น ผู้หญิง ผู้ชาย พื้นชมพู M</v>
          </cell>
        </row>
        <row r="6604">
          <cell r="A6604" t="str">
            <v>SU0306-L</v>
          </cell>
          <cell r="B6604" t="str">
            <v>U306</v>
          </cell>
          <cell r="C6604" t="str">
            <v>ซาติน แขนยาวขาสั้น พื้นชมพูนู๊ด L</v>
          </cell>
        </row>
        <row r="6605">
          <cell r="A6605" t="str">
            <v>SU0306-M</v>
          </cell>
          <cell r="B6605" t="str">
            <v>U306</v>
          </cell>
          <cell r="C6605" t="str">
            <v>ซาติน แขนยาวขาสั้น พื้นชมพูนู๊ด M</v>
          </cell>
        </row>
        <row r="6606">
          <cell r="A6606" t="str">
            <v>SU0306-XL</v>
          </cell>
          <cell r="B6606" t="str">
            <v>U306</v>
          </cell>
          <cell r="C6606" t="str">
            <v>ซาติน แขนยาวขาสั้น พื้นชมพูนู๊ด XL</v>
          </cell>
        </row>
        <row r="6607">
          <cell r="A6607" t="str">
            <v>SU0307-L</v>
          </cell>
          <cell r="B6607" t="str">
            <v>U307</v>
          </cell>
          <cell r="C6607" t="str">
            <v>ซาติน แขนยาวขาสั้น พื้นกรม L (กปก)</v>
          </cell>
        </row>
        <row r="6608">
          <cell r="A6608" t="str">
            <v>SU0307-M</v>
          </cell>
          <cell r="B6608" t="str">
            <v>U307</v>
          </cell>
          <cell r="C6608" t="str">
            <v>ซาติน แขนยาวขาสั้น พื้นกรม M</v>
          </cell>
        </row>
        <row r="6609">
          <cell r="A6609" t="str">
            <v>SU0307-XL</v>
          </cell>
          <cell r="B6609" t="str">
            <v>U307</v>
          </cell>
          <cell r="C6609" t="str">
            <v>ซาติน แขนยาวขาสั้น พื้นกรม XL</v>
          </cell>
        </row>
        <row r="6610">
          <cell r="A6610" t="str">
            <v>SU0320-L</v>
          </cell>
          <cell r="B6610" t="str">
            <v>JU320</v>
          </cell>
          <cell r="C6610" t="str">
            <v>ซาติน แขนยาวขาสั้น ลายมะพร้าว สีพาสเทล L</v>
          </cell>
        </row>
        <row r="6611">
          <cell r="A6611" t="str">
            <v>SU0320-M</v>
          </cell>
          <cell r="B6611" t="str">
            <v>JU320</v>
          </cell>
          <cell r="C6611" t="str">
            <v>ซาติน แขนยาวขาสั้น ลายมะพร้าว สีพาสเทล M ตัวโชว์</v>
          </cell>
        </row>
        <row r="6612">
          <cell r="A6612" t="str">
            <v>SU0323-L</v>
          </cell>
          <cell r="B6612" t="str">
            <v>U323</v>
          </cell>
          <cell r="C6612" t="str">
            <v>ซาติน แขนยาวขาสั้น ดอกเล็ก โบว์ดำ พื้นขาว L</v>
          </cell>
        </row>
        <row r="6613">
          <cell r="A6613" t="str">
            <v>SU0323-M</v>
          </cell>
          <cell r="B6613" t="str">
            <v>U323</v>
          </cell>
          <cell r="C6613" t="str">
            <v>ซาติน แขนยาวขาสั้น ดอกเล็ก โบว์ดำ พื้นขาว M</v>
          </cell>
        </row>
        <row r="6614">
          <cell r="A6614" t="str">
            <v>SU0323-XL</v>
          </cell>
          <cell r="B6614" t="str">
            <v>U323</v>
          </cell>
          <cell r="C6614" t="str">
            <v>ซาติน แขนยาวขาสั้น ดอกเล็ก โบว์ดำ พื้นขาว XL</v>
          </cell>
        </row>
        <row r="6615">
          <cell r="A6615" t="str">
            <v>SU0330-L</v>
          </cell>
          <cell r="B6615" t="str">
            <v>U330</v>
          </cell>
          <cell r="C6615" t="str">
            <v>ซาติน แขนยาวขาสั้น ปีกัสโซ่ L</v>
          </cell>
        </row>
        <row r="6616">
          <cell r="A6616" t="str">
            <v>SU0330-M</v>
          </cell>
          <cell r="B6616" t="str">
            <v>JU330</v>
          </cell>
          <cell r="C6616" t="str">
            <v>ซาติน แขนยาวขาสั้น ปีกัสโซ่ M ตัวโชว์</v>
          </cell>
        </row>
        <row r="6617">
          <cell r="A6617" t="str">
            <v>SU0347-L</v>
          </cell>
          <cell r="B6617" t="str">
            <v>U347</v>
          </cell>
          <cell r="C6617" t="str">
            <v>ซาติน แขนยาวขาสั้น Coral Sea L</v>
          </cell>
        </row>
        <row r="6618">
          <cell r="A6618" t="str">
            <v>SU0347-M</v>
          </cell>
          <cell r="B6618" t="str">
            <v>U347</v>
          </cell>
          <cell r="C6618" t="str">
            <v>ซาติน แขนยาวขาสั้น Coral Sea M</v>
          </cell>
        </row>
        <row r="6619">
          <cell r="A6619" t="str">
            <v>SU0347-XL</v>
          </cell>
          <cell r="B6619" t="str">
            <v>U347</v>
          </cell>
          <cell r="C6619" t="str">
            <v>ซาติน แขนยาวขาสั้น Coral Sea XL</v>
          </cell>
        </row>
        <row r="6620">
          <cell r="A6620" t="str">
            <v>SU0358-L</v>
          </cell>
          <cell r="B6620" t="str">
            <v>U358</v>
          </cell>
          <cell r="C6620" t="str">
            <v>ซาติน แขนยาวขาสั้น ลายทางม่วงครีม L</v>
          </cell>
        </row>
        <row r="6621">
          <cell r="A6621" t="str">
            <v>SU0358-M</v>
          </cell>
          <cell r="B6621" t="str">
            <v>U358</v>
          </cell>
          <cell r="C6621" t="str">
            <v>ซาติน แขนยาวขาสั้น ลายทางม่วงครีม M</v>
          </cell>
        </row>
        <row r="6622">
          <cell r="A6622" t="str">
            <v>SU0358-XL</v>
          </cell>
          <cell r="B6622" t="str">
            <v>U358</v>
          </cell>
          <cell r="C6622" t="str">
            <v>ซาติน แขนยาวขาสั้น ลายทางม่วงครีม XL</v>
          </cell>
        </row>
        <row r="6623">
          <cell r="A6623" t="str">
            <v>SU0360-2XL</v>
          </cell>
          <cell r="B6623" t="str">
            <v>JU360</v>
          </cell>
          <cell r="C6623" t="str">
            <v>ซาติน แขนสั้นขาสี่ส่วน Comic book 2XL</v>
          </cell>
        </row>
        <row r="6624">
          <cell r="A6624" t="str">
            <v>SU0360-3XL</v>
          </cell>
          <cell r="B6624" t="str">
            <v>JU360</v>
          </cell>
          <cell r="C6624" t="str">
            <v>ซาติน แขนสั้นขาสี่ส่วน Comic book 3XL</v>
          </cell>
        </row>
        <row r="6625">
          <cell r="A6625" t="str">
            <v>SU0360-L</v>
          </cell>
          <cell r="B6625" t="str">
            <v>U360</v>
          </cell>
          <cell r="C6625" t="str">
            <v>ซาติน แขนยาวขาสั้น Comic book L</v>
          </cell>
        </row>
        <row r="6626">
          <cell r="A6626" t="str">
            <v>SU0360-M</v>
          </cell>
          <cell r="B6626" t="str">
            <v>U360</v>
          </cell>
          <cell r="C6626" t="str">
            <v>ซาติน แขนยาวขาสั้น Comic book M</v>
          </cell>
        </row>
        <row r="6627">
          <cell r="A6627" t="str">
            <v>SU0360-XL</v>
          </cell>
          <cell r="B6627" t="str">
            <v>U360</v>
          </cell>
          <cell r="C6627" t="str">
            <v>ซาติน แขนยาวขาสั้น Comic book XL</v>
          </cell>
        </row>
        <row r="6628">
          <cell r="A6628" t="str">
            <v>SU0369-L</v>
          </cell>
          <cell r="B6628" t="str">
            <v>U369</v>
          </cell>
          <cell r="C6628" t="str">
            <v>ซาติน แขนยาวนขาสั้น กุหลาบ ขอบชมพู พื้นขาว L</v>
          </cell>
        </row>
        <row r="6629">
          <cell r="A6629" t="str">
            <v>SU0369-M</v>
          </cell>
          <cell r="B6629" t="str">
            <v>U369</v>
          </cell>
          <cell r="C6629" t="str">
            <v>ซาติน แขนยาวนขาสั้น กุหลาบ ขอบชมพู พื้นขาว M</v>
          </cell>
        </row>
        <row r="6630">
          <cell r="A6630" t="str">
            <v>SU0370-L</v>
          </cell>
          <cell r="B6630" t="str">
            <v>U370</v>
          </cell>
          <cell r="C6630" t="str">
            <v>ซาติน แขนยาวขาสั้น พื้นเทา ขอบขาว L</v>
          </cell>
        </row>
        <row r="6631">
          <cell r="A6631" t="str">
            <v>SU0370-M</v>
          </cell>
          <cell r="B6631" t="str">
            <v>U370</v>
          </cell>
          <cell r="C6631" t="str">
            <v>ซาติน แขนยาวขาสั้น พื้นเทา ขอบขาว M</v>
          </cell>
        </row>
        <row r="6632">
          <cell r="A6632" t="str">
            <v>SU0722-L</v>
          </cell>
          <cell r="B6632" t="str">
            <v>JU722</v>
          </cell>
          <cell r="C6632" t="str">
            <v>ซาติน แขนยาวขาสั้น พื้นครีม ขอบดำ L</v>
          </cell>
        </row>
        <row r="6633">
          <cell r="A6633" t="str">
            <v>SU0722-M</v>
          </cell>
          <cell r="B6633" t="str">
            <v>JU722</v>
          </cell>
          <cell r="C6633" t="str">
            <v>ซาติน แขนยาวขาสั้น พื้นครีม ขอบดำ M ตัวโชว์</v>
          </cell>
        </row>
        <row r="6634">
          <cell r="A6634" t="str">
            <v>SV0035-2XL</v>
          </cell>
          <cell r="B6634" t="str">
            <v>JV35</v>
          </cell>
          <cell r="C6634" t="str">
            <v>ซาติน แขนสั้นขายาว ฟรุตตี้ 2XL (กปก) ตัวโชว์</v>
          </cell>
        </row>
        <row r="6635">
          <cell r="A6635" t="str">
            <v>SV0035-L</v>
          </cell>
          <cell r="B6635" t="str">
            <v>JV35</v>
          </cell>
          <cell r="C6635" t="str">
            <v>ซาติน แขนสั้นขายาว ฟรุตตี้ L (กปก) ตัวโชว์</v>
          </cell>
        </row>
        <row r="6636">
          <cell r="A6636" t="str">
            <v>SV0035-M</v>
          </cell>
          <cell r="B6636" t="str">
            <v>JV35</v>
          </cell>
          <cell r="C6636" t="str">
            <v>ซาติน แขนสั้นขายาว ฟรุตตี้ M (กปก) ตัวโชว์</v>
          </cell>
        </row>
        <row r="6637">
          <cell r="A6637" t="str">
            <v>SV0035-XL</v>
          </cell>
          <cell r="B6637" t="str">
            <v>JV35</v>
          </cell>
          <cell r="C6637" t="str">
            <v>ซาติน แขนสั้นขายาว ฟรุตตี้ XL (กปก) ตัวโชว์</v>
          </cell>
        </row>
        <row r="6638">
          <cell r="A6638" t="str">
            <v>SV0128-2XL</v>
          </cell>
          <cell r="B6638" t="str">
            <v>V128</v>
          </cell>
          <cell r="C6638" t="str">
            <v>ซาติน แขนสั้นขายาว ผีเสื้อดอกไม้ เขียว Oversize 2XL (กปก)</v>
          </cell>
        </row>
        <row r="6639">
          <cell r="A6639" t="str">
            <v>SV0128-L</v>
          </cell>
          <cell r="B6639" t="str">
            <v>V128</v>
          </cell>
          <cell r="C6639" t="str">
            <v>ซาติน แขนสั้นขายาว ผีเสื้อดอกไม้ เขียว Oversize L (กปก)</v>
          </cell>
        </row>
        <row r="6640">
          <cell r="A6640" t="str">
            <v>SV0128-M</v>
          </cell>
          <cell r="B6640" t="str">
            <v>V128</v>
          </cell>
          <cell r="C6640" t="str">
            <v>ซาติน แขนสั้นขายาว ผีเสื้อดอกไม้ เขียว Oversize M (กปก)</v>
          </cell>
        </row>
        <row r="6641">
          <cell r="A6641" t="str">
            <v>SV0128-XL</v>
          </cell>
          <cell r="B6641" t="str">
            <v>V128</v>
          </cell>
          <cell r="C6641" t="str">
            <v>ซาติน แขนสั้นขายาว ผีเสื้อดอกไม้ เขียว Oversize XL (กปก)</v>
          </cell>
        </row>
        <row r="6642">
          <cell r="A6642" t="str">
            <v>SV0320-2XL</v>
          </cell>
          <cell r="B6642" t="str">
            <v>V320</v>
          </cell>
          <cell r="C6642" t="str">
            <v>ซาติน แขนสั้นขายาว ลายมะพร้าว สีพาสเทล  Oversize 2XL</v>
          </cell>
        </row>
        <row r="6643">
          <cell r="A6643" t="str">
            <v>SV0320-L</v>
          </cell>
          <cell r="B6643" t="str">
            <v>V320</v>
          </cell>
          <cell r="C6643" t="str">
            <v>ซาติน แขนสั้นขายาว ลายมะพร้าว สีพาสเทล  Oversize L</v>
          </cell>
        </row>
        <row r="6644">
          <cell r="A6644" t="str">
            <v>SV0320-M</v>
          </cell>
          <cell r="B6644" t="str">
            <v>V320</v>
          </cell>
          <cell r="C6644" t="str">
            <v>ซาติน แขนสั้นขายาว ลายมะพร้าว สีพาสเทล  Oversize M</v>
          </cell>
        </row>
        <row r="6645">
          <cell r="A6645" t="str">
            <v>SV0320-XL</v>
          </cell>
          <cell r="B6645" t="str">
            <v>V320</v>
          </cell>
          <cell r="C6645" t="str">
            <v>ซาติน แขนสั้นขายาว ลายมะพร้าว สีพาสเทล  Oversize XL</v>
          </cell>
        </row>
        <row r="6646">
          <cell r="A6646" t="str">
            <v>SV0330-2XL</v>
          </cell>
          <cell r="B6646" t="str">
            <v>V330</v>
          </cell>
          <cell r="C6646" t="str">
            <v>ซาติน แขนสั้นขายาว ปีกัสโซ่ OVERSIZE 2XL</v>
          </cell>
        </row>
        <row r="6647">
          <cell r="A6647" t="str">
            <v>SV0330-L</v>
          </cell>
          <cell r="B6647" t="str">
            <v>V330</v>
          </cell>
          <cell r="C6647" t="str">
            <v>ซาติน แขนสั้นขายาว ปีกัสโซ่ OVERSIZE L</v>
          </cell>
        </row>
        <row r="6648">
          <cell r="A6648" t="str">
            <v>SV0330-M</v>
          </cell>
          <cell r="B6648" t="str">
            <v>V330</v>
          </cell>
          <cell r="C6648" t="str">
            <v>ซาติน แขนสั้นขายาว ปีกัสโซ่ OVERSIZE M</v>
          </cell>
        </row>
        <row r="6649">
          <cell r="A6649" t="str">
            <v>SV0330-XL</v>
          </cell>
          <cell r="B6649" t="str">
            <v>V330</v>
          </cell>
          <cell r="C6649" t="str">
            <v>ซาติน แขนสั้นขายาว ปีกัสโซ่ OVERSIZE XL</v>
          </cell>
        </row>
        <row r="6650">
          <cell r="A6650" t="str">
            <v>SV0564-L</v>
          </cell>
          <cell r="B6650" t="str">
            <v>V564</v>
          </cell>
          <cell r="C6650" t="str">
            <v>ซาติน แขนสั้นขายาว Blue Mountain Over Size L</v>
          </cell>
        </row>
        <row r="6651">
          <cell r="A6651" t="str">
            <v>SV0564-M</v>
          </cell>
          <cell r="B6651" t="str">
            <v>V564</v>
          </cell>
          <cell r="C6651" t="str">
            <v>ซาติน แขนสั้นขายาว Blue Mountain Over Size M</v>
          </cell>
        </row>
        <row r="6652">
          <cell r="A6652" t="str">
            <v>SV0564-XL</v>
          </cell>
          <cell r="B6652" t="str">
            <v>V564</v>
          </cell>
          <cell r="C6652" t="str">
            <v>ซาติน แขนสั้นขายาว Blue Mountain Over Size XL</v>
          </cell>
        </row>
        <row r="6653">
          <cell r="A6653" t="str">
            <v>SV0565-L</v>
          </cell>
          <cell r="B6653" t="str">
            <v>V565</v>
          </cell>
          <cell r="C6653" t="str">
            <v>ซาติน แขนสั้นขายาว จิ๊กซอว์ ชมพู L</v>
          </cell>
        </row>
        <row r="6654">
          <cell r="A6654" t="str">
            <v>SV0565-M</v>
          </cell>
          <cell r="B6654" t="str">
            <v>V565</v>
          </cell>
          <cell r="C6654" t="str">
            <v>ซาติน แขนสั้นขายาว จิ๊กซอว์ ชมพู M</v>
          </cell>
        </row>
        <row r="6655">
          <cell r="A6655" t="str">
            <v>SV0565-XL</v>
          </cell>
          <cell r="B6655" t="str">
            <v>V565</v>
          </cell>
          <cell r="C6655" t="str">
            <v>ซาติน แขนสั้นขายาว จิ๊กซอว์ ชมพู XL</v>
          </cell>
        </row>
        <row r="6656">
          <cell r="A6656" t="str">
            <v>SV0567-L</v>
          </cell>
          <cell r="B6656" t="str">
            <v>V567</v>
          </cell>
          <cell r="C6656" t="str">
            <v>ซาติน แขนสั้นขายาว พื้นเขียว ขอบดำ เกงจุด Over Size L</v>
          </cell>
        </row>
        <row r="6657">
          <cell r="A6657" t="str">
            <v>SV0567-XL</v>
          </cell>
          <cell r="B6657" t="str">
            <v>V567</v>
          </cell>
          <cell r="C6657" t="str">
            <v>ซาติน แขนสั้นขายาว พื้นเขียว ขอบดำ เกงจุด Over Size XL</v>
          </cell>
        </row>
        <row r="6658">
          <cell r="A6658" t="str">
            <v>SV0600-L</v>
          </cell>
          <cell r="B6658" t="str">
            <v>V600</v>
          </cell>
          <cell r="C6658" t="str">
            <v>ซาติน แขนสั้นขายาว คอกลม หมีอ้วง L</v>
          </cell>
        </row>
        <row r="6659">
          <cell r="A6659" t="str">
            <v>SV0600-M</v>
          </cell>
          <cell r="B6659" t="str">
            <v>V600</v>
          </cell>
          <cell r="C6659" t="str">
            <v>ซาติน แขนสั้นขายาว คอกลม หมีอ้วง M</v>
          </cell>
        </row>
        <row r="6660">
          <cell r="A6660" t="str">
            <v>SV0601-L</v>
          </cell>
          <cell r="B6660" t="str">
            <v>V601</v>
          </cell>
          <cell r="C6660" t="str">
            <v>ซาติน แขนสั้นขายาว คอกลม แมวอ้วง L</v>
          </cell>
        </row>
        <row r="6661">
          <cell r="A6661" t="str">
            <v>SV0601-M</v>
          </cell>
          <cell r="B6661" t="str">
            <v>V601</v>
          </cell>
          <cell r="C6661" t="str">
            <v>ซาติน แขนสั้นขายาว คอกลม แมวอ้วง M</v>
          </cell>
        </row>
        <row r="6662">
          <cell r="A6662" t="str">
            <v>SV0602-L</v>
          </cell>
          <cell r="B6662" t="str">
            <v>V602</v>
          </cell>
          <cell r="C6662" t="str">
            <v>ซาติน แขนสั้นขายาว คอกลม กระต่ายอ้วง L</v>
          </cell>
        </row>
        <row r="6663">
          <cell r="A6663" t="str">
            <v>SV0602-M</v>
          </cell>
          <cell r="B6663" t="str">
            <v>V602</v>
          </cell>
          <cell r="C6663" t="str">
            <v>ซาติน แขนสั้นขายาว คอกลม กระต่ายอ้วง M</v>
          </cell>
        </row>
        <row r="6664">
          <cell r="A6664" t="str">
            <v>SV0660-2XL</v>
          </cell>
          <cell r="B6664" t="str">
            <v>JV660</v>
          </cell>
          <cell r="C6664" t="str">
            <v>ซาติน แขนสั้นขายาว Pink Diamond Pastel 2XL (กปก) ตัวโชว์</v>
          </cell>
        </row>
        <row r="6665">
          <cell r="A6665" t="str">
            <v>SV0660-L</v>
          </cell>
          <cell r="B6665" t="str">
            <v>JV660</v>
          </cell>
          <cell r="C6665" t="str">
            <v>ซาติน แขนสั้นขายาว Pink Diamond Pastel L (กปก) ตัวโชว์</v>
          </cell>
        </row>
        <row r="6666">
          <cell r="A6666" t="str">
            <v>SV0660-M</v>
          </cell>
          <cell r="B6666" t="str">
            <v>JV660</v>
          </cell>
          <cell r="C6666" t="str">
            <v>ซาติน แขนสั้นขายาว Pink Diamond Pastel M (กปก) ตัวโชว์</v>
          </cell>
        </row>
        <row r="6667">
          <cell r="A6667" t="str">
            <v>SV0660-XL</v>
          </cell>
          <cell r="B6667" t="str">
            <v>JV660</v>
          </cell>
          <cell r="C6667" t="str">
            <v>ซาติน แขนสั้นขายาว Pink Diamond Pastel XL (กปก) ตัวโชว์</v>
          </cell>
        </row>
        <row r="6668">
          <cell r="A6668" t="str">
            <v>SV0820-2XL</v>
          </cell>
          <cell r="B6668" t="str">
            <v>V820</v>
          </cell>
          <cell r="C6668" t="str">
            <v>ซาติน แขนสั้นขายาว Blue Lotus Oversize 2XL (กปก)</v>
          </cell>
        </row>
        <row r="6669">
          <cell r="A6669" t="str">
            <v>SV0820-L</v>
          </cell>
          <cell r="B6669" t="str">
            <v>V820</v>
          </cell>
          <cell r="C6669" t="str">
            <v>ซาติน แขนสั้นขายาว Blue Lotus Oversize L (กปก)</v>
          </cell>
        </row>
        <row r="6670">
          <cell r="A6670" t="str">
            <v>SV0820-M</v>
          </cell>
          <cell r="B6670" t="str">
            <v>V820</v>
          </cell>
          <cell r="C6670" t="str">
            <v>ซาติน แขนสั้นขายาว Blue Lotus Oversize M (กปก)</v>
          </cell>
        </row>
        <row r="6671">
          <cell r="A6671" t="str">
            <v>SV0820-XL</v>
          </cell>
          <cell r="B6671" t="str">
            <v>V820</v>
          </cell>
          <cell r="C6671" t="str">
            <v>ซาติน แขนสั้นขายาว Blue Lotus Oversize XL (กปก)</v>
          </cell>
        </row>
        <row r="6672">
          <cell r="A6672" t="str">
            <v>SV0852-2XL</v>
          </cell>
          <cell r="B6672" t="str">
            <v>V852</v>
          </cell>
          <cell r="C6672" t="str">
            <v>ซาติน แขนสั้นขายาว แมวเทา พื้นครีม OVERSIZE 2XL (กปก)</v>
          </cell>
        </row>
        <row r="6673">
          <cell r="A6673" t="str">
            <v>SV0852-3XL</v>
          </cell>
          <cell r="B6673" t="str">
            <v>V852</v>
          </cell>
          <cell r="C6673" t="str">
            <v>ซาติน แขนสั้นขายาว แมวเทา พื้นครีม OVERSIZE 3XL (กปก)</v>
          </cell>
        </row>
        <row r="6674">
          <cell r="A6674" t="str">
            <v>SV0852-L</v>
          </cell>
          <cell r="B6674" t="str">
            <v>V852</v>
          </cell>
          <cell r="C6674" t="str">
            <v>ซาติน แขนสั้นขายาว แมวเทา พื้นครีม OVERSIZE L (กปก)</v>
          </cell>
        </row>
        <row r="6675">
          <cell r="A6675" t="str">
            <v>SV0852-M</v>
          </cell>
          <cell r="B6675" t="str">
            <v>V852</v>
          </cell>
          <cell r="C6675" t="str">
            <v>ซาติน แขนสั้นขายาว แมวเทา พื้นครีม OVERSIZE M (กปก)</v>
          </cell>
        </row>
        <row r="6676">
          <cell r="A6676" t="str">
            <v>SV0852-XL</v>
          </cell>
          <cell r="B6676" t="str">
            <v>V852</v>
          </cell>
          <cell r="C6676" t="str">
            <v>ซาติน แขนสั้นขายาว แมวเทา พื้นครีม OVERSIZE XL (กปก)</v>
          </cell>
        </row>
        <row r="6677">
          <cell r="A6677" t="str">
            <v>SW0007-2XL</v>
          </cell>
          <cell r="B6677" t="str">
            <v>W7</v>
          </cell>
          <cell r="C6677" t="str">
            <v>ซาติน แขนสั้นขาสั้น ควีน สตรอเบอร์รี่ พื้นชมพู Oversize 2XL</v>
          </cell>
        </row>
        <row r="6678">
          <cell r="A6678" t="str">
            <v>SW0007-3XL</v>
          </cell>
          <cell r="B6678" t="str">
            <v>W7</v>
          </cell>
          <cell r="C6678" t="str">
            <v>ซาติน แขนสั้นขาสั้น ควีน สตรอเบอร์รี่ พื้นชมพู Oversize 3XL</v>
          </cell>
        </row>
        <row r="6679">
          <cell r="A6679" t="str">
            <v>SW0007-L</v>
          </cell>
          <cell r="B6679" t="str">
            <v>W7</v>
          </cell>
          <cell r="C6679" t="str">
            <v>ซาติน แขนสั้นขาสั้น ควีน สตรอเบอร์รี่ พื้นชมพู Oversize L</v>
          </cell>
        </row>
        <row r="6680">
          <cell r="A6680" t="str">
            <v>SW0007-M</v>
          </cell>
          <cell r="B6680" t="str">
            <v>W7</v>
          </cell>
          <cell r="C6680" t="str">
            <v>ซาติน แขนสั้นขาสั้น ควีน สตรอเบอร์รี่ พื้นชมพู Oversize M</v>
          </cell>
        </row>
        <row r="6681">
          <cell r="A6681" t="str">
            <v>SW0007-XL</v>
          </cell>
          <cell r="B6681" t="str">
            <v>W7</v>
          </cell>
          <cell r="C6681" t="str">
            <v>ซาติน แขนสั้นขาสั้น ควีน สตรอเบอร์รี่ พื้นชมพู Oversize XL</v>
          </cell>
        </row>
        <row r="6682">
          <cell r="A6682" t="str">
            <v>SW0035-M</v>
          </cell>
          <cell r="B6682" t="str">
            <v>W35</v>
          </cell>
          <cell r="C6682" t="str">
            <v>ซาติน แขนสั้นขาสั้น ฟรุตตี้ OVERSIZE M</v>
          </cell>
        </row>
        <row r="6683">
          <cell r="A6683" t="str">
            <v>SW0035-XL</v>
          </cell>
          <cell r="B6683" t="str">
            <v>W35</v>
          </cell>
          <cell r="C6683" t="str">
            <v>ซาติน แขนสั้นขาสั้น ฟรุตตี้ OVERSIZE XL</v>
          </cell>
        </row>
        <row r="6684">
          <cell r="A6684" t="str">
            <v>SW0128-L</v>
          </cell>
          <cell r="B6684" t="str">
            <v>W128</v>
          </cell>
          <cell r="C6684" t="str">
            <v>ซาติน แขนสั้นขาสั้น ผีเสื้อดอกไม้ เขียว Oversize L</v>
          </cell>
        </row>
        <row r="6685">
          <cell r="A6685" t="str">
            <v>SW0128-M</v>
          </cell>
          <cell r="B6685" t="str">
            <v>W128</v>
          </cell>
          <cell r="C6685" t="str">
            <v>ซาติน แขนสั้นขาสั้น ผีเสื้อดอกไม้ เขียว Oversize M</v>
          </cell>
        </row>
        <row r="6686">
          <cell r="A6686" t="str">
            <v>SW0237-2XL</v>
          </cell>
          <cell r="B6686" t="str">
            <v>W237</v>
          </cell>
          <cell r="C6686" t="str">
            <v>ซาติน แขนสั้นขาสั้น ภาพวาด  OVERSIZE 2XL</v>
          </cell>
        </row>
        <row r="6687">
          <cell r="A6687" t="str">
            <v>SW0237-L</v>
          </cell>
          <cell r="B6687" t="str">
            <v>W237</v>
          </cell>
          <cell r="C6687" t="str">
            <v>ซาติน แขนสั้นขาสั้น ภาพวาด  OVERSIZE L</v>
          </cell>
        </row>
        <row r="6688">
          <cell r="A6688" t="str">
            <v>SW0237-M</v>
          </cell>
          <cell r="B6688" t="str">
            <v>W237</v>
          </cell>
          <cell r="C6688" t="str">
            <v>ซาติน แขนสั้นขาสั้น ภาพวาด  OVERSIZE M</v>
          </cell>
        </row>
        <row r="6689">
          <cell r="A6689" t="str">
            <v>SW0237-XL</v>
          </cell>
          <cell r="B6689" t="str">
            <v>W237</v>
          </cell>
          <cell r="C6689" t="str">
            <v>ซาติน แขนสั้นขาสั้น ภาพวาด  OVERSIZE XL</v>
          </cell>
        </row>
        <row r="6690">
          <cell r="A6690" t="str">
            <v>SW0320-L</v>
          </cell>
          <cell r="B6690" t="str">
            <v>W320</v>
          </cell>
          <cell r="C6690" t="str">
            <v>ซาติน แขนสั้นขาสั้น ลายมะพร้าว สีพาสเทล  Over Size L</v>
          </cell>
        </row>
        <row r="6691">
          <cell r="A6691" t="str">
            <v>SW0320-M</v>
          </cell>
          <cell r="B6691" t="str">
            <v>W320</v>
          </cell>
          <cell r="C6691" t="str">
            <v>ซาติน แขนสั้นขาสั้น ลายมะพร้าว สีพาสเทล Over Size M</v>
          </cell>
        </row>
        <row r="6692">
          <cell r="A6692" t="str">
            <v>SW0320-XL</v>
          </cell>
          <cell r="B6692" t="str">
            <v>W320</v>
          </cell>
          <cell r="C6692" t="str">
            <v>ซาติน แขนสั้นขาสั้น ลายมะพร้าว สีพาสเทล Over Size XL</v>
          </cell>
        </row>
        <row r="6693">
          <cell r="A6693" t="str">
            <v>SW0326-L</v>
          </cell>
          <cell r="B6693" t="str">
            <v>W326</v>
          </cell>
          <cell r="C6693" t="str">
            <v>ซาติน แขนสั้นขาสั้น แคนวาส พื้นครีม Over Size L</v>
          </cell>
        </row>
        <row r="6694">
          <cell r="A6694" t="str">
            <v>SW0326-M</v>
          </cell>
          <cell r="B6694" t="str">
            <v>W326</v>
          </cell>
          <cell r="C6694" t="str">
            <v>ซาติน แขนสั้นขาสั้น แคนวาส พื้นครีม Over Size M</v>
          </cell>
        </row>
        <row r="6695">
          <cell r="A6695" t="str">
            <v>SW0326-XL</v>
          </cell>
          <cell r="B6695" t="str">
            <v>W326</v>
          </cell>
          <cell r="C6695" t="str">
            <v>ซาติน แขนสั้นขาสั้น แคนวาส พื้นครีม Over Size XL</v>
          </cell>
        </row>
        <row r="6696">
          <cell r="A6696" t="str">
            <v>SW0327-XL</v>
          </cell>
          <cell r="B6696" t="str">
            <v>W327</v>
          </cell>
        </row>
        <row r="6697">
          <cell r="A6697" t="str">
            <v>SW0330-2XL</v>
          </cell>
          <cell r="B6697" t="str">
            <v>W330</v>
          </cell>
          <cell r="C6697" t="str">
            <v>ซาติน แขนสั้นขาสั้น ปีกัสโซ่ OVERSIZE 2XL (กปก)</v>
          </cell>
        </row>
        <row r="6698">
          <cell r="A6698" t="str">
            <v>SW0330-L</v>
          </cell>
          <cell r="B6698" t="str">
            <v>W330</v>
          </cell>
          <cell r="C6698" t="str">
            <v>ซาติน แขนสั้นขาสั้น ปีกัสโซ่ OVERSIZE L (กปก)</v>
          </cell>
        </row>
        <row r="6699">
          <cell r="A6699" t="str">
            <v>SW0330-M</v>
          </cell>
          <cell r="B6699" t="str">
            <v>W330</v>
          </cell>
          <cell r="C6699" t="str">
            <v>ซาติน แขนสั้นขาสั้น ปีกัสโซ่ OVERSIZE M (กปก)</v>
          </cell>
        </row>
        <row r="6700">
          <cell r="A6700" t="str">
            <v>SW0330-XL</v>
          </cell>
          <cell r="B6700" t="str">
            <v>W330</v>
          </cell>
          <cell r="C6700" t="str">
            <v>ซาติน แขนสั้นขาสั้น ปีกัสโซ่ OVERSIZE XL (กปก)</v>
          </cell>
        </row>
        <row r="6701">
          <cell r="A6701" t="str">
            <v>SW0348-L</v>
          </cell>
          <cell r="B6701" t="str">
            <v>W348</v>
          </cell>
          <cell r="C6701" t="str">
            <v>ซาติน แขนสั้นขาสั้น Red Flower Over Size L</v>
          </cell>
        </row>
        <row r="6702">
          <cell r="A6702" t="str">
            <v>SW0348-M</v>
          </cell>
          <cell r="B6702" t="str">
            <v>W348</v>
          </cell>
          <cell r="C6702" t="str">
            <v>ซาติน แขนสั้นขาสั้น Red Flower Over Size M</v>
          </cell>
        </row>
        <row r="6703">
          <cell r="A6703" t="str">
            <v>SW0348-XL</v>
          </cell>
          <cell r="B6703" t="str">
            <v>W348</v>
          </cell>
          <cell r="C6703" t="str">
            <v>ซาติน แขนสั้นขาสั้น Red Flower Over Size XL</v>
          </cell>
        </row>
        <row r="6704">
          <cell r="A6704" t="str">
            <v>SW0349-L</v>
          </cell>
          <cell r="B6704" t="str">
            <v>W349</v>
          </cell>
          <cell r="C6704" t="str">
            <v>ซาติน แขนสั้นขาสั้น The Witch L</v>
          </cell>
        </row>
        <row r="6705">
          <cell r="A6705" t="str">
            <v>SW0349-XL</v>
          </cell>
          <cell r="B6705" t="str">
            <v>W349</v>
          </cell>
          <cell r="C6705" t="str">
            <v>ซาติน แขนสั้นขาสั้น The Witch XL</v>
          </cell>
        </row>
        <row r="6706">
          <cell r="A6706" t="str">
            <v>SW0350-L</v>
          </cell>
          <cell r="B6706" t="str">
            <v>BW350</v>
          </cell>
          <cell r="C6706" t="str">
            <v>ซาติน แขนสั้นขาสั้น Flower Gray OVERSIZE L</v>
          </cell>
        </row>
        <row r="6707">
          <cell r="A6707" t="str">
            <v>SW0350-M</v>
          </cell>
          <cell r="B6707" t="str">
            <v>W350</v>
          </cell>
          <cell r="C6707" t="str">
            <v>ซาติน แขนสั้นขาสั้น Flower Gray OVERSIZE M</v>
          </cell>
        </row>
        <row r="6708">
          <cell r="A6708" t="str">
            <v>SW0350-XL</v>
          </cell>
          <cell r="B6708" t="str">
            <v>W350</v>
          </cell>
          <cell r="C6708" t="str">
            <v>ซาติน แขนสั้นขาสั้น Flower Gray OVERSIZE XL</v>
          </cell>
        </row>
        <row r="6709">
          <cell r="A6709" t="str">
            <v>SW0361-L</v>
          </cell>
          <cell r="B6709" t="str">
            <v>W361</v>
          </cell>
          <cell r="C6709" t="str">
            <v>ซาติน แขนสั้นขาสั้น Color Full Over Size L</v>
          </cell>
        </row>
        <row r="6710">
          <cell r="A6710" t="str">
            <v>SW0361-M</v>
          </cell>
          <cell r="B6710" t="str">
            <v>W361</v>
          </cell>
          <cell r="C6710" t="str">
            <v>ซาติน แขนสั้นขาสั้น Color Full Over Size M</v>
          </cell>
        </row>
        <row r="6711">
          <cell r="A6711" t="str">
            <v>SW0361-S</v>
          </cell>
          <cell r="B6711" t="str">
            <v>W361</v>
          </cell>
          <cell r="C6711" t="str">
            <v>ซาติน แขนสั้นขาสั้น Color Full Over Size S</v>
          </cell>
        </row>
        <row r="6712">
          <cell r="A6712" t="str">
            <v>SW0361-XL</v>
          </cell>
          <cell r="B6712" t="str">
            <v>W361</v>
          </cell>
          <cell r="C6712" t="str">
            <v>ซาติน แขนสั้นขาสั้น Color Full Over Size XL</v>
          </cell>
        </row>
        <row r="6713">
          <cell r="A6713" t="str">
            <v>SW0362-L</v>
          </cell>
          <cell r="B6713" t="str">
            <v>W362</v>
          </cell>
          <cell r="C6713" t="str">
            <v>ซาติน แขนสั้นขาสั้น New moon Art L</v>
          </cell>
        </row>
        <row r="6714">
          <cell r="A6714" t="str">
            <v>SW0362-M</v>
          </cell>
          <cell r="B6714" t="str">
            <v>JW362</v>
          </cell>
          <cell r="C6714" t="str">
            <v>ซาติน แขนสั้นขาสั้น New moon Art M ตัวโชว์</v>
          </cell>
        </row>
        <row r="6715">
          <cell r="A6715" t="str">
            <v>SW0362-XL</v>
          </cell>
          <cell r="B6715" t="str">
            <v>W362</v>
          </cell>
          <cell r="C6715" t="str">
            <v>ซาติน แขนสั้นขาสั้น New moon Art XL</v>
          </cell>
        </row>
        <row r="6716">
          <cell r="A6716" t="str">
            <v>SW0368-L</v>
          </cell>
          <cell r="B6716" t="str">
            <v>W368</v>
          </cell>
          <cell r="C6716" t="str">
            <v>ซาติน แขนสั้นขาสั้น เสือ น้ำเงิน Oversize L</v>
          </cell>
        </row>
        <row r="6717">
          <cell r="A6717" t="str">
            <v>SW0368-M</v>
          </cell>
          <cell r="B6717" t="str">
            <v>W368</v>
          </cell>
          <cell r="C6717" t="str">
            <v>ซาติน แขนสั้นขาสั้น เสือ น้ำเงิน Oversize M</v>
          </cell>
        </row>
        <row r="6718">
          <cell r="A6718" t="str">
            <v>SW0368-XL</v>
          </cell>
          <cell r="B6718" t="str">
            <v>W368</v>
          </cell>
          <cell r="C6718" t="str">
            <v>ซาติน แขนสั้นขาสั้น เสือ น้ำเงิน Oversize XL</v>
          </cell>
        </row>
        <row r="6719">
          <cell r="A6719" t="str">
            <v>SW0369-L</v>
          </cell>
          <cell r="B6719" t="str">
            <v>JW369</v>
          </cell>
          <cell r="C6719" t="str">
            <v>ซาติน แขนสั้นขาสั้น กุหลาบ ขอบชมพู พื้นขาว Over Size L ตัวโชว์</v>
          </cell>
        </row>
        <row r="6720">
          <cell r="A6720" t="str">
            <v>SW0369-M</v>
          </cell>
          <cell r="B6720" t="str">
            <v>JW369</v>
          </cell>
          <cell r="C6720" t="str">
            <v>ซาติน แขนสั้นขาสั้น กุหลาบ ขอบชมพู พื้นขาว Over Size M ตัวโชว์</v>
          </cell>
        </row>
        <row r="6721">
          <cell r="A6721" t="str">
            <v>SW0369-XL</v>
          </cell>
          <cell r="B6721" t="str">
            <v>JW369</v>
          </cell>
          <cell r="C6721" t="str">
            <v>ซาติน แขนสั้นขาสั้น กุหลาบ ขอบชมพู พื้นขาว Over Size XL ตัวโชว์</v>
          </cell>
        </row>
        <row r="6722">
          <cell r="A6722" t="str">
            <v>SW0487-L</v>
          </cell>
          <cell r="B6722" t="str">
            <v>JW487</v>
          </cell>
          <cell r="C6722" t="str">
            <v>ซาติน แขนสั้นขาสั้น ORCHID BLACK L ตัวโชว์</v>
          </cell>
        </row>
        <row r="6723">
          <cell r="A6723" t="str">
            <v>SW0487-M</v>
          </cell>
          <cell r="B6723" t="str">
            <v>W487</v>
          </cell>
          <cell r="C6723" t="str">
            <v>ซาติน แขนสั้นขาสั้น ORCHID BLACK M</v>
          </cell>
        </row>
        <row r="6724">
          <cell r="A6724" t="str">
            <v>SW0487-XL</v>
          </cell>
          <cell r="B6724" t="str">
            <v>W487</v>
          </cell>
          <cell r="C6724" t="str">
            <v>ซาติน แขนสั้นขาสั้น ORCHID BLACK XL</v>
          </cell>
        </row>
        <row r="6725">
          <cell r="A6725" t="str">
            <v>SW0508-L</v>
          </cell>
          <cell r="B6725" t="str">
            <v>JW508</v>
          </cell>
          <cell r="C6725" t="str">
            <v>ซาติน แขนสั้นขาสั้น  Rabbit เทา Over Size L ตัวโชว์</v>
          </cell>
        </row>
        <row r="6726">
          <cell r="A6726" t="str">
            <v>SW0508-M</v>
          </cell>
          <cell r="B6726" t="str">
            <v>JW508</v>
          </cell>
          <cell r="C6726" t="str">
            <v>ซาติน แขนสั้นขาสั้น  Rabbit เทา Over Size M ตัวโชว์</v>
          </cell>
        </row>
        <row r="6727">
          <cell r="A6727" t="str">
            <v>SW0512-L</v>
          </cell>
          <cell r="B6727" t="str">
            <v>W512</v>
          </cell>
          <cell r="C6727" t="str">
            <v>ซาติน แขนสั้นขาสั้น Dogs Planet พื้นขาว Over Size L</v>
          </cell>
        </row>
        <row r="6728">
          <cell r="A6728" t="str">
            <v>SW0513-L</v>
          </cell>
          <cell r="B6728" t="str">
            <v>W513</v>
          </cell>
          <cell r="C6728" t="str">
            <v>ซาติน แขนสั้นขาสั้น Dogs Planet พื้นฟ้า Over Size L</v>
          </cell>
        </row>
        <row r="6729">
          <cell r="A6729" t="str">
            <v>SW0513-M</v>
          </cell>
          <cell r="B6729" t="str">
            <v>W513</v>
          </cell>
          <cell r="C6729" t="str">
            <v>ซาติน แขนสั้นขาสั้น Dogs Planet พื้นฟ้า Over Size M</v>
          </cell>
        </row>
        <row r="6730">
          <cell r="A6730" t="str">
            <v>SW0525-L</v>
          </cell>
          <cell r="B6730" t="str">
            <v>JW525</v>
          </cell>
          <cell r="C6730" t="str">
            <v>ซาติน แขนสั้นขาสั้น ดอกไม้มายา L ตัวโชว์</v>
          </cell>
        </row>
        <row r="6731">
          <cell r="A6731" t="str">
            <v>SW0525-M</v>
          </cell>
          <cell r="B6731" t="str">
            <v>JW525</v>
          </cell>
          <cell r="C6731" t="str">
            <v>ซาติน แขนสั้นขาสั้น ดอกไม้มายา M ตัวโชว์</v>
          </cell>
        </row>
        <row r="6732">
          <cell r="A6732" t="str">
            <v>SW0525-XL</v>
          </cell>
          <cell r="B6732" t="str">
            <v>JW525</v>
          </cell>
          <cell r="C6732" t="str">
            <v>ซาติน แขนสั้นขาสั้น ดอกไม้มายา XL ตัวโชว์</v>
          </cell>
        </row>
        <row r="6733">
          <cell r="A6733" t="str">
            <v>SW0526-L</v>
          </cell>
          <cell r="B6733" t="str">
            <v>W526</v>
          </cell>
          <cell r="C6733" t="str">
            <v>ซาติน แขนสั้นขาสั้น Royal Art Oversize L</v>
          </cell>
        </row>
        <row r="6734">
          <cell r="A6734" t="str">
            <v>SW0526-M</v>
          </cell>
          <cell r="B6734" t="str">
            <v>JW526</v>
          </cell>
          <cell r="C6734" t="str">
            <v>ซาติน แขนสั้นขาสั้น Royal Art Oversize M ตัวโชว์</v>
          </cell>
        </row>
        <row r="6735">
          <cell r="A6735" t="str">
            <v>SW0526-XL</v>
          </cell>
          <cell r="B6735" t="str">
            <v>W526</v>
          </cell>
          <cell r="C6735" t="str">
            <v>ซาติน แขนสั้นขาสั้น Royal Art Oversize XL</v>
          </cell>
        </row>
        <row r="6736">
          <cell r="A6736" t="str">
            <v>SW0558-L</v>
          </cell>
          <cell r="B6736" t="str">
            <v>JW558</v>
          </cell>
          <cell r="C6736" t="str">
            <v>ซาติน แขนสั้นขาสั้น มารูโกะ คิตตี้ พื้นเขียว Over Size L (กปก) ตัวโชว์</v>
          </cell>
        </row>
        <row r="6737">
          <cell r="A6737" t="str">
            <v>SW0558-M</v>
          </cell>
          <cell r="B6737" t="str">
            <v>JW558</v>
          </cell>
          <cell r="C6737" t="str">
            <v>ซาติน แขนสั้นขาสั้น มารูโกะ คิตตี้ พื้นเขียว Over Size M (กปก) ตัวโชว์</v>
          </cell>
        </row>
        <row r="6738">
          <cell r="A6738" t="str">
            <v>SW0559-L</v>
          </cell>
          <cell r="B6738" t="str">
            <v>W559</v>
          </cell>
          <cell r="C6738" t="str">
            <v>ซาติน แขนสั้นขาสั้น มารูโกะ คิตตี้ พื้นชมพู Over Size L</v>
          </cell>
        </row>
        <row r="6739">
          <cell r="A6739" t="str">
            <v>SW0559-M</v>
          </cell>
          <cell r="B6739" t="str">
            <v>JW559</v>
          </cell>
          <cell r="C6739" t="str">
            <v>ซาติน แขนสั้นขาสั้น มารูโกะ คิตตี้ พื้นชมพู Over Size M ตัวโชว์</v>
          </cell>
        </row>
        <row r="6740">
          <cell r="A6740" t="str">
            <v>SW0560-L</v>
          </cell>
          <cell r="B6740" t="str">
            <v>W560</v>
          </cell>
          <cell r="C6740" t="str">
            <v>ซาติน แขนสั้นขาสั้น เจ้าหญิงหน้าสวย พื้นเขียว Over Size L</v>
          </cell>
        </row>
        <row r="6741">
          <cell r="A6741" t="str">
            <v>SW0560-M</v>
          </cell>
          <cell r="B6741" t="str">
            <v>W560</v>
          </cell>
          <cell r="C6741" t="str">
            <v>ซาติน แขนสั้นขาสั้น เจ้าหญิงหน้าสวย พื้นเขียว Over Size M</v>
          </cell>
        </row>
        <row r="6742">
          <cell r="A6742" t="str">
            <v>SW0561-L</v>
          </cell>
          <cell r="B6742" t="str">
            <v>JW561</v>
          </cell>
          <cell r="C6742" t="str">
            <v>ซาติน แขนสั้นขาสั้น เจ้าหญิงหน้าสวย พื้นชมพู Over Size L ตัวโชว์</v>
          </cell>
        </row>
        <row r="6743">
          <cell r="A6743" t="str">
            <v>SW0561-M</v>
          </cell>
          <cell r="B6743" t="str">
            <v>JW561</v>
          </cell>
          <cell r="C6743" t="str">
            <v>ซาติน แขนสั้นขาสั้น เจ้าหญิงหน้าสวย พื้นชมพู Over Size M ตัวโชว์</v>
          </cell>
        </row>
        <row r="6744">
          <cell r="A6744" t="str">
            <v>SW0600-L</v>
          </cell>
          <cell r="B6744" t="str">
            <v>JW600</v>
          </cell>
          <cell r="C6744" t="str">
            <v>ซาติน แขนสั้นขาสั้น คอกลม หมีอ้วง L ตัวโชว์</v>
          </cell>
        </row>
        <row r="6745">
          <cell r="A6745" t="str">
            <v>SW0600-M</v>
          </cell>
          <cell r="B6745" t="str">
            <v>JW600</v>
          </cell>
          <cell r="C6745" t="str">
            <v>ซาติน แขนสั้นขาสั้น คอกลม หมีอ้วง M ตัวโชว์</v>
          </cell>
        </row>
        <row r="6746">
          <cell r="A6746" t="str">
            <v>SW0601-L</v>
          </cell>
          <cell r="B6746" t="str">
            <v>JW601</v>
          </cell>
          <cell r="C6746" t="str">
            <v>ซาติน แขนสั้นขาสั้น คอกลม แมวอ้วง L ตัวโชว์</v>
          </cell>
        </row>
        <row r="6747">
          <cell r="A6747" t="str">
            <v>SW0601-M</v>
          </cell>
          <cell r="B6747" t="str">
            <v>JW601</v>
          </cell>
          <cell r="C6747" t="str">
            <v>ซาติน แขนสั้นขาสั้น คอกลม แมวอ้วง M ตัวโชว์</v>
          </cell>
        </row>
        <row r="6748">
          <cell r="A6748" t="str">
            <v>SW0602-L</v>
          </cell>
          <cell r="B6748" t="str">
            <v>W602</v>
          </cell>
          <cell r="C6748" t="str">
            <v>ซาติน แขนสั้นขาสั้น คอกลม กระต่ายอ้วง L</v>
          </cell>
        </row>
        <row r="6749">
          <cell r="A6749" t="str">
            <v>SW0602-M</v>
          </cell>
          <cell r="B6749" t="str">
            <v>W602</v>
          </cell>
          <cell r="C6749" t="str">
            <v>ซาติน แขนสั้นขาสั้น คอกลม กระต่ายอ้วง M</v>
          </cell>
        </row>
        <row r="6750">
          <cell r="A6750" t="str">
            <v>SW0603-L</v>
          </cell>
          <cell r="B6750" t="str">
            <v>W603</v>
          </cell>
          <cell r="C6750" t="str">
            <v>ซาติน แขนสั้นขาสั้น Two Tone grass พื้นดำ Over Size L</v>
          </cell>
        </row>
        <row r="6751">
          <cell r="A6751" t="str">
            <v>SW0603-M</v>
          </cell>
          <cell r="B6751" t="str">
            <v>W603</v>
          </cell>
          <cell r="C6751" t="str">
            <v>ซาติน แขนสั้นขาสั้น Two Tone grass พื้นดำ Over Size M</v>
          </cell>
        </row>
        <row r="6752">
          <cell r="A6752" t="str">
            <v>SW0603-XL</v>
          </cell>
          <cell r="B6752" t="str">
            <v>W603</v>
          </cell>
          <cell r="C6752" t="str">
            <v>ซาติน แขนสั้นขาสั้น Two Tone grass พื้นดำ Over Size XL</v>
          </cell>
        </row>
        <row r="6753">
          <cell r="A6753" t="str">
            <v>SW0653-L</v>
          </cell>
          <cell r="B6753" t="str">
            <v>JW653</v>
          </cell>
          <cell r="C6753" t="str">
            <v>ซาติน แขนสั้นขาสั้น คอกลม Aurora Bear L ตัวโชว์</v>
          </cell>
        </row>
        <row r="6754">
          <cell r="A6754" t="str">
            <v>SW0653-M</v>
          </cell>
          <cell r="B6754" t="str">
            <v>JW653</v>
          </cell>
          <cell r="C6754" t="str">
            <v>ซาติน แขนสั้นขาสั้น คอกลม Aurora Bear M ตัวโชว์</v>
          </cell>
        </row>
        <row r="6755">
          <cell r="A6755" t="str">
            <v>SW0654-L</v>
          </cell>
          <cell r="B6755" t="str">
            <v>W654</v>
          </cell>
          <cell r="C6755" t="str">
            <v>ซาติน แขนสั้นขาสั้น สวนดอกไม้ อะคลีลิค L</v>
          </cell>
        </row>
        <row r="6756">
          <cell r="A6756" t="str">
            <v>SW0654-M</v>
          </cell>
          <cell r="B6756" t="str">
            <v>W654</v>
          </cell>
          <cell r="C6756" t="str">
            <v>ซาติน แขนสั้นขาสั้น สวนดอกไม้ อะคลีลิค M</v>
          </cell>
        </row>
        <row r="6757">
          <cell r="A6757" t="str">
            <v>SW0654-XL</v>
          </cell>
          <cell r="B6757" t="str">
            <v>W654</v>
          </cell>
          <cell r="C6757" t="str">
            <v>ซาติน แขนสั้นขาสั้น สวนดอกไม้ อะคลีลิค XL</v>
          </cell>
        </row>
        <row r="6758">
          <cell r="A6758" t="str">
            <v>SW0655-L</v>
          </cell>
          <cell r="B6758" t="str">
            <v>W655</v>
          </cell>
          <cell r="C6758" t="str">
            <v>ซาติน แขนสั้นขาสั้น มัดย้อม Colorful พื้นน้ำตาล L</v>
          </cell>
        </row>
        <row r="6759">
          <cell r="A6759" t="str">
            <v>SW0655-M</v>
          </cell>
          <cell r="B6759" t="str">
            <v>W655</v>
          </cell>
          <cell r="C6759" t="str">
            <v>ซาติน แขนสั้นขาสั้น มัดย้อม Colorful พื้นน้ำตาล M</v>
          </cell>
        </row>
        <row r="6760">
          <cell r="A6760" t="str">
            <v>SW0655-XL</v>
          </cell>
          <cell r="B6760" t="str">
            <v>W655</v>
          </cell>
          <cell r="C6760" t="str">
            <v>ซาติน แขนสั้นขาสั้น มัดย้อม Colorful พื้นน้ำตาล XL</v>
          </cell>
        </row>
        <row r="6761">
          <cell r="A6761" t="str">
            <v>SW0660-L</v>
          </cell>
          <cell r="B6761" t="str">
            <v>JW660</v>
          </cell>
          <cell r="C6761" t="str">
            <v>ซาติน แขนสั้นขาสั้น Pink Diamond Pastel L ตัวโชว์</v>
          </cell>
        </row>
        <row r="6762">
          <cell r="A6762" t="str">
            <v>SW0660-M</v>
          </cell>
          <cell r="B6762" t="str">
            <v>JW660</v>
          </cell>
          <cell r="C6762" t="str">
            <v>ซาติน แขนสั้นขาสั้น Pink Diamond Pastel M ตัวโชว์</v>
          </cell>
        </row>
        <row r="6763">
          <cell r="A6763" t="str">
            <v>SW0664-L</v>
          </cell>
          <cell r="B6763" t="str">
            <v>W664</v>
          </cell>
          <cell r="C6763" t="str">
            <v>ซาติน แขนสั้นขาสั้น พุดเดิ้ลน้ำตาล พื้นขาว คอกลม L</v>
          </cell>
        </row>
        <row r="6764">
          <cell r="A6764" t="str">
            <v>SW0664-M</v>
          </cell>
          <cell r="B6764" t="str">
            <v>W664</v>
          </cell>
          <cell r="C6764" t="str">
            <v>ซาติน แขนสั้นขาสั้น พุดเดิ้ลน้ำตาล พื้นขาว คอกลม M</v>
          </cell>
        </row>
        <row r="6765">
          <cell r="A6765" t="str">
            <v>SW0667-L</v>
          </cell>
          <cell r="B6765" t="str">
            <v>W667</v>
          </cell>
          <cell r="C6765" t="str">
            <v>ซาติน แขนสั้นขาสั้น สีเทียน เขียว ชมพู L</v>
          </cell>
        </row>
        <row r="6766">
          <cell r="A6766" t="str">
            <v>SW0667-M</v>
          </cell>
          <cell r="B6766" t="str">
            <v>W667</v>
          </cell>
          <cell r="C6766" t="str">
            <v>ซาติน แขนสั้นขาสั้น สีเทียน เขียว ชมพู M</v>
          </cell>
        </row>
        <row r="6767">
          <cell r="A6767" t="str">
            <v>SW0667-XL</v>
          </cell>
          <cell r="B6767" t="str">
            <v>W667</v>
          </cell>
          <cell r="C6767" t="str">
            <v>ซาติน แขนสั้นขาสั้น สีเทียน เขียว ชมพู XL</v>
          </cell>
        </row>
        <row r="6768">
          <cell r="A6768" t="str">
            <v>SW0668-L</v>
          </cell>
          <cell r="B6768" t="str">
            <v>W668</v>
          </cell>
          <cell r="C6768" t="str">
            <v>ซาติน แขนสั้นขาสั้น Gold Flower ขอบแดง L</v>
          </cell>
        </row>
        <row r="6769">
          <cell r="A6769" t="str">
            <v>SW0668-M</v>
          </cell>
          <cell r="B6769" t="str">
            <v>W668</v>
          </cell>
          <cell r="C6769" t="str">
            <v>ซาติน แขนสั้นขาสั้น Gold Flower ขอบแดง M</v>
          </cell>
        </row>
        <row r="6770">
          <cell r="A6770" t="str">
            <v>SW0668-XL</v>
          </cell>
          <cell r="B6770" t="str">
            <v>W668</v>
          </cell>
          <cell r="C6770" t="str">
            <v>ซาติน แขนสั้นขาสั้น Gold Flower ขอบแดง XL</v>
          </cell>
        </row>
        <row r="6771">
          <cell r="A6771" t="str">
            <v>SW0669-L</v>
          </cell>
          <cell r="B6771" t="str">
            <v>W669</v>
          </cell>
          <cell r="C6771" t="str">
            <v>ซาติน แขนสั้นขาสั้น tiger flower two tone L</v>
          </cell>
        </row>
        <row r="6772">
          <cell r="A6772" t="str">
            <v>SW0669-M</v>
          </cell>
          <cell r="B6772" t="str">
            <v>JW669</v>
          </cell>
          <cell r="C6772" t="str">
            <v>ซาติน แขนสั้นขาสั้น tiger flower two tone M ตัวโชว์</v>
          </cell>
        </row>
        <row r="6773">
          <cell r="A6773" t="str">
            <v>SW0669-XL</v>
          </cell>
          <cell r="B6773" t="str">
            <v>W669</v>
          </cell>
          <cell r="C6773" t="str">
            <v>ซาติน แขนสั้นขาสั้น tiger flower two tone XL</v>
          </cell>
        </row>
        <row r="6774">
          <cell r="A6774" t="str">
            <v>SW0684-L</v>
          </cell>
          <cell r="B6774" t="str">
            <v>JW684</v>
          </cell>
          <cell r="C6774" t="str">
            <v>ซาติน แขนสั้นขาสั้น Cafe Milk L ตัวโชว์</v>
          </cell>
        </row>
        <row r="6775">
          <cell r="A6775" t="str">
            <v>SW0684-M</v>
          </cell>
          <cell r="B6775" t="str">
            <v>W684</v>
          </cell>
          <cell r="C6775" t="str">
            <v>ซาติน แขนสั้นขาสั้น Cafe Milk M</v>
          </cell>
        </row>
        <row r="6776">
          <cell r="A6776" t="str">
            <v>SW0703-L</v>
          </cell>
          <cell r="B6776" t="str">
            <v>W703</v>
          </cell>
          <cell r="C6776" t="str">
            <v>ซาติน แขนสั้นขาสั้น พื้นเขียว น้ำตาล L</v>
          </cell>
        </row>
        <row r="6777">
          <cell r="A6777" t="str">
            <v>SW0703-M</v>
          </cell>
          <cell r="B6777" t="str">
            <v>JW703</v>
          </cell>
          <cell r="C6777" t="str">
            <v>ซาติน แขนสั้นขาสั้น พื้นเขียว น้ำตาล M ตัวโชว์</v>
          </cell>
        </row>
        <row r="6778">
          <cell r="A6778" t="str">
            <v>SW0703-XL</v>
          </cell>
          <cell r="B6778" t="str">
            <v>JW703</v>
          </cell>
          <cell r="C6778" t="str">
            <v>ซาติน แขนสั้นขาสั้น พื้นเขียว น้ำตาล XL</v>
          </cell>
        </row>
        <row r="6779">
          <cell r="A6779" t="str">
            <v>SW0704-L</v>
          </cell>
          <cell r="B6779" t="str">
            <v>JW704</v>
          </cell>
          <cell r="C6779" t="str">
            <v>ซาติน แขนสั้นขาสั้น Pinky Clound L ตัวโชว์</v>
          </cell>
        </row>
        <row r="6780">
          <cell r="A6780" t="str">
            <v>SW0704-M</v>
          </cell>
          <cell r="B6780" t="str">
            <v>W704</v>
          </cell>
          <cell r="C6780" t="str">
            <v>ซาติน แขนสั้นขาสั้น Pinky Clound M</v>
          </cell>
        </row>
        <row r="6781">
          <cell r="A6781" t="str">
            <v>SW0704-XL</v>
          </cell>
          <cell r="B6781" t="str">
            <v>JW704</v>
          </cell>
          <cell r="C6781" t="str">
            <v>ซาติน แขนสั้นขาสั้น Pinky Clound XL ตัวโชว์</v>
          </cell>
        </row>
        <row r="6782">
          <cell r="A6782" t="str">
            <v>SW0705-L</v>
          </cell>
          <cell r="B6782" t="str">
            <v>W705</v>
          </cell>
          <cell r="C6782" t="str">
            <v>ซาติน แขนสั้นขาสั้น พิ้นขาว ปกเขียว Flower L</v>
          </cell>
        </row>
        <row r="6783">
          <cell r="A6783" t="str">
            <v>SW0705-M</v>
          </cell>
          <cell r="B6783" t="str">
            <v>W705</v>
          </cell>
          <cell r="C6783" t="str">
            <v>ซาติน แขนสั้นขาสั้น พิ้นขาว ปกเขียว Flower M</v>
          </cell>
        </row>
        <row r="6784">
          <cell r="A6784" t="str">
            <v>SW0705-XL</v>
          </cell>
          <cell r="B6784" t="str">
            <v>W705</v>
          </cell>
          <cell r="C6784" t="str">
            <v>ซาติน แขนสั้นขาสั้น พิ้นขาว ปกเขียว Flower XL</v>
          </cell>
        </row>
        <row r="6785">
          <cell r="A6785" t="str">
            <v>SW0739-L</v>
          </cell>
          <cell r="B6785" t="str">
            <v>W739</v>
          </cell>
          <cell r="C6785" t="str">
            <v>ซาติน แขนสั้นขาสั้น Tiger Flower พื้นชมพู Over Size L</v>
          </cell>
        </row>
        <row r="6786">
          <cell r="A6786" t="str">
            <v>SW0739-M</v>
          </cell>
          <cell r="B6786" t="str">
            <v>W739</v>
          </cell>
          <cell r="C6786" t="str">
            <v>ซาติน แขนสั้นขาสั้น Tiger Flower พื้นชมพู Over Size M</v>
          </cell>
        </row>
        <row r="6787">
          <cell r="A6787" t="str">
            <v>SW0739-XL</v>
          </cell>
          <cell r="B6787" t="str">
            <v>W739</v>
          </cell>
          <cell r="C6787" t="str">
            <v>ซาติน แขนสั้นขาสั้น Tiger Flower พื้นชมพู Over Size XL</v>
          </cell>
        </row>
        <row r="6788">
          <cell r="A6788" t="str">
            <v>SW0740-L</v>
          </cell>
          <cell r="B6788" t="str">
            <v>W740</v>
          </cell>
          <cell r="C6788" t="str">
            <v>ซาติน แขนสั้นขาสั้น ดอกคอเดียร์ พื้นชมพุ ขอบเขียว Over Size L</v>
          </cell>
        </row>
        <row r="6789">
          <cell r="A6789" t="str">
            <v>SW0740-M</v>
          </cell>
          <cell r="B6789" t="str">
            <v>W740</v>
          </cell>
          <cell r="C6789" t="str">
            <v>ซาติน แขนสั้นขาสั้น ดอกคอเดียร์ พื้นชมพุ ขอบเขียว Over Size M</v>
          </cell>
        </row>
        <row r="6790">
          <cell r="A6790" t="str">
            <v>SW0740-XL</v>
          </cell>
          <cell r="B6790" t="str">
            <v>W740</v>
          </cell>
          <cell r="C6790" t="str">
            <v>ซาติน แขนสั้นขาสั้น ดอกคอเดียร์ พื้นชมพุ ขอบเขียว Over Size XL</v>
          </cell>
        </row>
        <row r="6791">
          <cell r="A6791" t="str">
            <v>SW0780-2XL</v>
          </cell>
          <cell r="B6791" t="str">
            <v>W780</v>
          </cell>
          <cell r="C6791" t="str">
            <v>ซาติน แขนสั้นขาสั้น Pancake And Flowers 2XL</v>
          </cell>
        </row>
        <row r="6792">
          <cell r="A6792" t="str">
            <v>SW0780-L</v>
          </cell>
          <cell r="B6792" t="str">
            <v>W780</v>
          </cell>
          <cell r="C6792" t="str">
            <v>ซาติน แขนสั้นขาสั้น Pancake And Flowers L</v>
          </cell>
        </row>
        <row r="6793">
          <cell r="A6793" t="str">
            <v>SW0780-M</v>
          </cell>
          <cell r="B6793" t="str">
            <v>W780</v>
          </cell>
          <cell r="C6793" t="str">
            <v>ซาติน แขนสั้นขาสั้น Pancake And Flowers M</v>
          </cell>
        </row>
        <row r="6794">
          <cell r="A6794" t="str">
            <v>SW0780-XL</v>
          </cell>
          <cell r="B6794" t="str">
            <v>W780</v>
          </cell>
          <cell r="C6794" t="str">
            <v>ซาติน แขนสั้นขาสั้น Pancake And Flowers XL</v>
          </cell>
        </row>
        <row r="6795">
          <cell r="A6795" t="str">
            <v>SW0786-L</v>
          </cell>
          <cell r="B6795" t="str">
            <v>W786</v>
          </cell>
          <cell r="C6795" t="str">
            <v>ซาติน แขนสั้นขาสั้น สีชมพู ลายดอกไม้ฟ้า Over Size L</v>
          </cell>
        </row>
        <row r="6796">
          <cell r="A6796" t="str">
            <v>SW0786-M</v>
          </cell>
          <cell r="B6796" t="str">
            <v>W786</v>
          </cell>
          <cell r="C6796" t="str">
            <v>ซาติน แขนสั้นขาสั้น สีชมพู ลายดอกไม้ฟ้า Over Size M</v>
          </cell>
        </row>
        <row r="6797">
          <cell r="A6797" t="str">
            <v>SW0786-XL</v>
          </cell>
          <cell r="B6797" t="str">
            <v>W786</v>
          </cell>
          <cell r="C6797" t="str">
            <v>ซาติน แขนสั้นขาสั้น สีชมพู ลายดอกไม้ฟ้า Over Size XL</v>
          </cell>
        </row>
        <row r="6798">
          <cell r="A6798" t="str">
            <v>SW0787-L</v>
          </cell>
          <cell r="B6798" t="str">
            <v>JW787</v>
          </cell>
          <cell r="C6798" t="str">
            <v>ซาติน แขนสั้นขาสั้น ดอกไม้จุดดำ ขอบเขียว Over Size L ตัวโชว์</v>
          </cell>
        </row>
        <row r="6799">
          <cell r="A6799" t="str">
            <v>SW0787-M</v>
          </cell>
          <cell r="B6799" t="str">
            <v>JW787</v>
          </cell>
          <cell r="C6799" t="str">
            <v>ซาติน แขนสั้นขาสั้น ดอกไม้จุดดำ ขอบเขียว Over Size M ตัวโชว์</v>
          </cell>
        </row>
        <row r="6800">
          <cell r="A6800" t="str">
            <v>SW0787-S</v>
          </cell>
          <cell r="B6800" t="str">
            <v>JW787</v>
          </cell>
          <cell r="C6800" t="str">
            <v>ซาติน แขนสั้นขาสั้น ดอกไม้จุดดำ ขอบเขียว Over Size S</v>
          </cell>
        </row>
        <row r="6801">
          <cell r="A6801" t="str">
            <v>SW0787-XL</v>
          </cell>
          <cell r="B6801" t="str">
            <v>JW787</v>
          </cell>
          <cell r="C6801" t="str">
            <v>ซาติน แขนสั้นขาสั้น ดอกไม้จุดดำ ขอบเขียว Over Size XL ตัวโชว์</v>
          </cell>
        </row>
        <row r="6802">
          <cell r="A6802" t="str">
            <v>SW0789-2XL</v>
          </cell>
          <cell r="B6802" t="str">
            <v>W789</v>
          </cell>
          <cell r="C6802" t="str">
            <v>ซาติน แขนสั้นขาสั้น ช่อดอกไม้ พื้นฟ้า 2XL</v>
          </cell>
        </row>
        <row r="6803">
          <cell r="A6803" t="str">
            <v>SW0789-L</v>
          </cell>
          <cell r="B6803" t="str">
            <v>W789</v>
          </cell>
          <cell r="C6803" t="str">
            <v>ซาติน แขนสั้นขาสั้น ช่อดอกไม้ พื้นฟ้า L</v>
          </cell>
        </row>
        <row r="6804">
          <cell r="A6804" t="str">
            <v>SW0789-M</v>
          </cell>
          <cell r="B6804" t="str">
            <v>W789</v>
          </cell>
          <cell r="C6804" t="str">
            <v>ซาติน แขนสั้นขาสั้น ช่อดอกไม้ พื้นฟ้า M</v>
          </cell>
        </row>
        <row r="6805">
          <cell r="A6805" t="str">
            <v>SW0789-XL</v>
          </cell>
          <cell r="B6805" t="str">
            <v>W789</v>
          </cell>
          <cell r="C6805" t="str">
            <v>ซาติน แขนสั้นขาสั้น ช่อดอกไม้ พื้นฟ้า XL</v>
          </cell>
        </row>
        <row r="6806">
          <cell r="A6806" t="str">
            <v>SW0797-L</v>
          </cell>
          <cell r="B6806" t="str">
            <v>JW797</v>
          </cell>
          <cell r="C6806" t="str">
            <v>ซาติน แขนสั้นขาสั้น Green Village L ตัวโชว์</v>
          </cell>
        </row>
        <row r="6807">
          <cell r="A6807" t="str">
            <v>SW0797-M</v>
          </cell>
          <cell r="B6807" t="str">
            <v>JW797</v>
          </cell>
          <cell r="C6807" t="str">
            <v>ซาติน แขนสั้นขาสั้น Green Village M ตัวโชว์</v>
          </cell>
        </row>
        <row r="6808">
          <cell r="A6808" t="str">
            <v>SW0797-S</v>
          </cell>
          <cell r="B6808" t="str">
            <v>JW797</v>
          </cell>
          <cell r="C6808" t="str">
            <v>ซาติน แขนสั้นขาสั้น Green Village S ตัวโชว์</v>
          </cell>
        </row>
        <row r="6809">
          <cell r="A6809" t="str">
            <v>SW0797-XL</v>
          </cell>
          <cell r="B6809" t="str">
            <v>JW797</v>
          </cell>
          <cell r="C6809" t="str">
            <v>ซาติน แขนสั้นขาสั้น Green Village XL ตัวโชว์</v>
          </cell>
        </row>
        <row r="6810">
          <cell r="A6810" t="str">
            <v>SW0798-L</v>
          </cell>
          <cell r="B6810" t="str">
            <v>W798</v>
          </cell>
          <cell r="C6810" t="str">
            <v>ซาติน แขนสั้นขาสั้น Red Village L</v>
          </cell>
        </row>
        <row r="6811">
          <cell r="A6811" t="str">
            <v>SW0798-M</v>
          </cell>
          <cell r="B6811" t="str">
            <v>W798</v>
          </cell>
          <cell r="C6811" t="str">
            <v>ซาติน แขนสั้นขาสั้น Red Village M</v>
          </cell>
        </row>
        <row r="6812">
          <cell r="A6812" t="str">
            <v>SW0798-S</v>
          </cell>
          <cell r="B6812" t="str">
            <v>W798</v>
          </cell>
          <cell r="C6812" t="str">
            <v>ซาติน แขนสั้นขาสั้น Red Village S</v>
          </cell>
        </row>
        <row r="6813">
          <cell r="A6813" t="str">
            <v>SW0798-XL</v>
          </cell>
          <cell r="B6813" t="str">
            <v>W798</v>
          </cell>
          <cell r="C6813" t="str">
            <v>ซาติน แขนสั้นขาสั้น Red Village XL</v>
          </cell>
        </row>
        <row r="6814">
          <cell r="A6814" t="str">
            <v>SW0818-2XL</v>
          </cell>
          <cell r="B6814" t="str">
            <v>W818</v>
          </cell>
          <cell r="C6814" t="str">
            <v>ซาติน แขนสั้นขาสั้น Royal Green Art 2XL</v>
          </cell>
        </row>
        <row r="6815">
          <cell r="A6815" t="str">
            <v>SW0818-3XL</v>
          </cell>
          <cell r="B6815" t="str">
            <v>W818</v>
          </cell>
          <cell r="C6815" t="str">
            <v>ซาติน แขนสั้นขาสั้น Royal Green Art 3XL</v>
          </cell>
        </row>
        <row r="6816">
          <cell r="A6816" t="str">
            <v>SW0818-L</v>
          </cell>
          <cell r="B6816" t="str">
            <v>W818</v>
          </cell>
          <cell r="C6816" t="str">
            <v>ซาติน แขนสั้นขาสั้น Royal Green Art L</v>
          </cell>
        </row>
        <row r="6817">
          <cell r="A6817" t="str">
            <v>SW0818-M</v>
          </cell>
          <cell r="B6817" t="str">
            <v>W818</v>
          </cell>
          <cell r="C6817" t="str">
            <v>ซาติน แขนสั้นขาสั้น Royal Green Art M</v>
          </cell>
        </row>
        <row r="6818">
          <cell r="A6818" t="str">
            <v>SW0818-S</v>
          </cell>
          <cell r="B6818" t="str">
            <v>W818</v>
          </cell>
          <cell r="C6818" t="str">
            <v>ซาติน แขนสั้นขาสั้น Royal Green Art S</v>
          </cell>
        </row>
        <row r="6819">
          <cell r="A6819" t="str">
            <v>SW0818-XL</v>
          </cell>
          <cell r="B6819" t="str">
            <v>W818</v>
          </cell>
          <cell r="C6819" t="str">
            <v>ซาติน แขนสั้นขาสั้น Royal Green Art XL</v>
          </cell>
        </row>
        <row r="6820">
          <cell r="A6820" t="str">
            <v>SW0820-2XL</v>
          </cell>
          <cell r="B6820" t="str">
            <v>W820</v>
          </cell>
          <cell r="C6820" t="str">
            <v>ซาติน แขนสั้นขาสั้น Blue Lotus Oversize 2XL</v>
          </cell>
        </row>
        <row r="6821">
          <cell r="A6821" t="str">
            <v>SW0820-L</v>
          </cell>
          <cell r="B6821" t="str">
            <v>BW820</v>
          </cell>
          <cell r="C6821" t="str">
            <v>ซาติน แขนสั้นขาสั้น Blue Lotus Oversize L</v>
          </cell>
        </row>
        <row r="6822">
          <cell r="A6822" t="str">
            <v>SW0820-M</v>
          </cell>
          <cell r="B6822" t="str">
            <v>W820</v>
          </cell>
          <cell r="C6822" t="str">
            <v>ซาติน แขนสามส่วนขาสั้น Blue Lotus Oversize M</v>
          </cell>
        </row>
        <row r="6823">
          <cell r="A6823" t="str">
            <v>SW0820-XL</v>
          </cell>
          <cell r="B6823" t="str">
            <v>W820</v>
          </cell>
          <cell r="C6823" t="str">
            <v>ซาติน แขนสั้นขาสั้น Blue Lotus Oversize XL</v>
          </cell>
        </row>
        <row r="6824">
          <cell r="A6824" t="str">
            <v>SW0852-2XL</v>
          </cell>
          <cell r="B6824" t="str">
            <v>W852</v>
          </cell>
          <cell r="C6824" t="str">
            <v>ซาติน แขนสั้นขาสั้น แมวเทา พื้นครีม OVERSIZE 2XL</v>
          </cell>
        </row>
        <row r="6825">
          <cell r="A6825" t="str">
            <v>SW0852-L</v>
          </cell>
          <cell r="B6825" t="str">
            <v>W852</v>
          </cell>
          <cell r="C6825" t="str">
            <v>ซาติน แขนสั้นขาสั้น แมวเทา พื้นครีม OVERSIZE L</v>
          </cell>
        </row>
        <row r="6826">
          <cell r="A6826" t="str">
            <v>SW0852-M</v>
          </cell>
          <cell r="B6826" t="str">
            <v>W852</v>
          </cell>
          <cell r="C6826" t="str">
            <v>ซาติน แขนสั้นขาสั้น แมวเทา พื้นครีม OVERSIZE M</v>
          </cell>
        </row>
        <row r="6827">
          <cell r="A6827" t="str">
            <v>SW0852-XL</v>
          </cell>
          <cell r="B6827" t="str">
            <v>W852</v>
          </cell>
          <cell r="C6827" t="str">
            <v>ซาติน แขนสั้นขาสั้น แมวเทา พื้นครีม OVERSIZE XL</v>
          </cell>
        </row>
        <row r="6828">
          <cell r="A6828" t="str">
            <v>SW0891-2XL</v>
          </cell>
          <cell r="B6828" t="str">
            <v>W891</v>
          </cell>
          <cell r="C6828" t="str">
            <v>ซาติน แขนสั้นขาสั้น Sweety Rainbow OVERSIZE 2XL</v>
          </cell>
        </row>
        <row r="6829">
          <cell r="A6829" t="str">
            <v>SW0891-3XL</v>
          </cell>
          <cell r="B6829" t="str">
            <v>W891</v>
          </cell>
          <cell r="C6829" t="str">
            <v>ซาติน แขนสั้นขาสั้น Sweety Rainbow OVERSIZE 3XL</v>
          </cell>
        </row>
        <row r="6830">
          <cell r="A6830" t="str">
            <v>SW0891-L</v>
          </cell>
          <cell r="B6830" t="str">
            <v>W891</v>
          </cell>
          <cell r="C6830" t="str">
            <v>ซาติน แขนสั้นขาสั้น Sweety Rainbow OVERSIZE L</v>
          </cell>
        </row>
        <row r="6831">
          <cell r="A6831" t="str">
            <v>SW0891-M</v>
          </cell>
          <cell r="B6831" t="str">
            <v>W891</v>
          </cell>
          <cell r="C6831" t="str">
            <v>ซาติน แขนสั้นขาสั้น Sweety Rainbow OVERSIZE M</v>
          </cell>
        </row>
        <row r="6832">
          <cell r="A6832" t="str">
            <v>SW0891-XL</v>
          </cell>
          <cell r="B6832" t="str">
            <v>W891</v>
          </cell>
          <cell r="C6832" t="str">
            <v>ซาติน แขนสั้นขาสั้น Sweety Rainbow OVERSIZE XL</v>
          </cell>
        </row>
        <row r="6833">
          <cell r="A6833" t="str">
            <v>SX0022-M</v>
          </cell>
          <cell r="B6833" t="str">
            <v>X22</v>
          </cell>
          <cell r="C6833" t="str">
            <v>สายเดี่ยว   เสื้อคลุม ริบบิ้นเขียว พื้นชมพู M</v>
          </cell>
        </row>
        <row r="6834">
          <cell r="A6834" t="str">
            <v>SX0022-S</v>
          </cell>
          <cell r="B6834" t="str">
            <v>X22</v>
          </cell>
          <cell r="C6834" t="str">
            <v>สายเดี่ยว   เสื้อคลุม ริบบิ้นเขียว พื้นชมพู S</v>
          </cell>
        </row>
        <row r="6835">
          <cell r="A6835" t="str">
            <v>SX0023-M</v>
          </cell>
          <cell r="B6835" t="str">
            <v>X23</v>
          </cell>
          <cell r="C6835" t="str">
            <v>ซาติน เสื้อคลุม แขนยาวขายาว สายเดี่ยว art พื้นสีเนื้อ M</v>
          </cell>
        </row>
        <row r="6836">
          <cell r="A6836" t="str">
            <v>SX0023-S</v>
          </cell>
          <cell r="B6836" t="str">
            <v>X23</v>
          </cell>
          <cell r="C6836" t="str">
            <v>ซาติน เสื้อคลุม แขนยาวขายาว สายเดี่ยว art พื้นสีเนื้อ S</v>
          </cell>
        </row>
        <row r="6837">
          <cell r="A6837" t="str">
            <v>SX0024-L</v>
          </cell>
          <cell r="B6837" t="str">
            <v>X24</v>
          </cell>
          <cell r="C6837" t="str">
            <v>ซาติน เสื้อคลุม แขนสั้น สายเดี่ยว เสือขาว ลูกไม้ L</v>
          </cell>
        </row>
        <row r="6838">
          <cell r="A6838" t="str">
            <v>SX0024-M</v>
          </cell>
          <cell r="B6838" t="str">
            <v>X24</v>
          </cell>
          <cell r="C6838" t="str">
            <v>ซาติน เสื้อคลุม แขนสั้น สายเดี่ยว เสือขาว ลูกไม้ M</v>
          </cell>
        </row>
        <row r="6839">
          <cell r="A6839" t="str">
            <v>SX0025-L</v>
          </cell>
          <cell r="B6839" t="str">
            <v>X25</v>
          </cell>
          <cell r="C6839" t="str">
            <v>ซาติน เสื้อคลุม แขนสั้น สายเดี่ยว เสือชมพู ลูกไม้ L</v>
          </cell>
        </row>
        <row r="6840">
          <cell r="A6840" t="str">
            <v>SX0025-M</v>
          </cell>
          <cell r="B6840" t="str">
            <v>X25</v>
          </cell>
          <cell r="C6840" t="str">
            <v>ซาติน เสื้อคลุม แขนสั้น สายเดี่ยว เสือชมพู ลูกไม้ M</v>
          </cell>
        </row>
        <row r="6841">
          <cell r="A6841" t="str">
            <v>SX0026-M</v>
          </cell>
          <cell r="B6841" t="str">
            <v>X26</v>
          </cell>
          <cell r="C6841" t="str">
            <v>ซาติน เสื้อคลุม สายเดี่ยว ขาสั้น ดอกไม้ ขอบชมพู พื้นดำ M</v>
          </cell>
        </row>
        <row r="6842">
          <cell r="A6842" t="str">
            <v>SX0026-S</v>
          </cell>
          <cell r="B6842" t="str">
            <v>X26</v>
          </cell>
          <cell r="C6842" t="str">
            <v>ซาติน เสื้อคลุม สายเดี่ยว ขาสั้น ดอกไม้ ขอบชมพู พื้นดำ S</v>
          </cell>
        </row>
        <row r="6843">
          <cell r="A6843" t="str">
            <v>SX0027-M</v>
          </cell>
          <cell r="B6843" t="str">
            <v>X27</v>
          </cell>
          <cell r="C6843" t="str">
            <v>ซาติน เสื้อคลุม แขนยาวขายาว กระบองเพชร M</v>
          </cell>
        </row>
        <row r="6844">
          <cell r="A6844" t="str">
            <v>SX0027-S</v>
          </cell>
          <cell r="B6844" t="str">
            <v>X27</v>
          </cell>
          <cell r="C6844" t="str">
            <v>ซาติน เสื้อคลุม แขนยาวขายาว กระบองเพชร S</v>
          </cell>
        </row>
        <row r="6845">
          <cell r="A6845" t="str">
            <v>SX0028-M</v>
          </cell>
          <cell r="B6845" t="str">
            <v>X28</v>
          </cell>
          <cell r="C6845" t="str">
            <v>ซาติน เสื้อคลุม สายเดี่ยว ขาสั้น ลายทาง ชมพู ทับทิม M</v>
          </cell>
        </row>
        <row r="6846">
          <cell r="A6846" t="str">
            <v>SX0028-S</v>
          </cell>
          <cell r="B6846" t="str">
            <v>X28</v>
          </cell>
          <cell r="C6846" t="str">
            <v>ซาติน เสื้อคลุม สายเดี่ยว ขาสั้น ลายทาง ชมพู ทับทิม S</v>
          </cell>
        </row>
        <row r="6847">
          <cell r="A6847" t="str">
            <v>SX0029-M</v>
          </cell>
          <cell r="B6847" t="str">
            <v>X29</v>
          </cell>
          <cell r="C6847" t="str">
            <v>ซาติน เสื้อคลุม สายเดี่ยว ขายาว ฮาวายเอี้ยน พื้นดำ M</v>
          </cell>
        </row>
        <row r="6848">
          <cell r="A6848" t="str">
            <v>SX0029-S</v>
          </cell>
          <cell r="B6848" t="str">
            <v>X29</v>
          </cell>
          <cell r="C6848" t="str">
            <v>ซาติน เสื้อคลุม สายเดี่ยว ขายาว ฮาวายเอี้ยน พื้นดำ S</v>
          </cell>
        </row>
        <row r="6849">
          <cell r="A6849" t="str">
            <v>SX0030-L</v>
          </cell>
          <cell r="B6849" t="str">
            <v>X30</v>
          </cell>
          <cell r="C6849" t="str">
            <v>ซาติน เสื้อคลุม สายเดี่ยว แขนห้าส่วน พื้นดำ จุดดำ L</v>
          </cell>
        </row>
        <row r="6850">
          <cell r="A6850" t="str">
            <v>SX0030-M</v>
          </cell>
          <cell r="B6850" t="str">
            <v>X30</v>
          </cell>
          <cell r="C6850" t="str">
            <v>ซาติน เสื้อคลุม สายเดี่ยว แขนห้าส่วน พื้นดำ จุดดำ M</v>
          </cell>
        </row>
        <row r="6851">
          <cell r="A6851" t="str">
            <v>SX0031-L</v>
          </cell>
          <cell r="B6851" t="str">
            <v>X31</v>
          </cell>
          <cell r="C6851" t="str">
            <v>ซาติน เสื้อคลุม สายเดี่ยว แขนห้าส่วน พื้นเขียว จุดเขียว L</v>
          </cell>
        </row>
        <row r="6852">
          <cell r="A6852" t="str">
            <v>SX0031-M</v>
          </cell>
          <cell r="B6852" t="str">
            <v>X31</v>
          </cell>
          <cell r="C6852" t="str">
            <v>ซาติน เสื้อคลุม สายเดี่ยว แขนห้าส่วน พื้นเขียว จุดเขียว M</v>
          </cell>
        </row>
        <row r="6853">
          <cell r="A6853" t="str">
            <v>SX0099-L</v>
          </cell>
          <cell r="B6853" t="str">
            <v>BX99</v>
          </cell>
          <cell r="C6853" t="str">
            <v>ซาติน สายเดี่ยว ขาวละมุน ลูกไม้ L</v>
          </cell>
        </row>
        <row r="6854">
          <cell r="A6854" t="str">
            <v>SX0099-M</v>
          </cell>
          <cell r="B6854" t="str">
            <v>X99</v>
          </cell>
          <cell r="C6854" t="str">
            <v>ซาติน สายเดี่ยว ขาวละมุน ลูกไม้ M</v>
          </cell>
        </row>
        <row r="6855">
          <cell r="A6855" t="str">
            <v>SX0099-XL</v>
          </cell>
          <cell r="B6855" t="str">
            <v>BX99</v>
          </cell>
          <cell r="C6855" t="str">
            <v>ซาติน สายเดี่ยว ขาวละมุน ลูกไม้ XL</v>
          </cell>
        </row>
        <row r="6856">
          <cell r="A6856" t="str">
            <v>TEST-01</v>
          </cell>
          <cell r="B6856" t="str">
            <v>TEST1</v>
          </cell>
          <cell r="C6856" t="str">
            <v>TEST 01</v>
          </cell>
        </row>
        <row r="6857">
          <cell r="A6857" t="str">
            <v>XXX1223456</v>
          </cell>
          <cell r="B6857" t="str">
            <v>X12345</v>
          </cell>
          <cell r="C6857" t="str">
            <v>Test Autoload</v>
          </cell>
        </row>
        <row r="6858">
          <cell r="A6858" t="str">
            <v>Y0001-L</v>
          </cell>
          <cell r="B6858" t="str">
            <v>Y1</v>
          </cell>
          <cell r="C6858" t="str">
            <v>เยื่อไผ่ แขนสั้นขาสั้น กรม ผู้ชาย L</v>
          </cell>
        </row>
        <row r="6859">
          <cell r="A6859" t="str">
            <v>Y0001-M</v>
          </cell>
          <cell r="B6859" t="str">
            <v>Y1</v>
          </cell>
          <cell r="C6859" t="str">
            <v>เยื่อไผ่ แขนสั้นขาสั้น กรม ผู้ชาย M</v>
          </cell>
        </row>
        <row r="6860">
          <cell r="A6860" t="str">
            <v>Y0001-XL</v>
          </cell>
          <cell r="B6860" t="str">
            <v>Y1</v>
          </cell>
          <cell r="C6860" t="str">
            <v>เยื่อไผ่ แขนสั้นขาสั้น กรม ผู้ชาย XL</v>
          </cell>
        </row>
        <row r="6861">
          <cell r="A6861" t="str">
            <v>Y0002-L</v>
          </cell>
          <cell r="B6861" t="str">
            <v>Y2</v>
          </cell>
          <cell r="C6861" t="str">
            <v>เยื่อไผ่ แขนสั้นขาสั้น เทาอ่อน ผู้ชาย L</v>
          </cell>
        </row>
        <row r="6862">
          <cell r="A6862" t="str">
            <v>Y0002-M</v>
          </cell>
          <cell r="B6862" t="str">
            <v>Y2</v>
          </cell>
          <cell r="C6862" t="str">
            <v>เยื่อไผ่ แขนสั้นขาสั้น เทาอ่อน ผู้ชาย M</v>
          </cell>
        </row>
        <row r="6863">
          <cell r="A6863" t="str">
            <v>Y0002-XL</v>
          </cell>
          <cell r="B6863" t="str">
            <v>Y2</v>
          </cell>
          <cell r="C6863" t="str">
            <v>เยื่อไผ่ แขนสั้นขาสั้น เทาอ่อน ผู้ชาย XL</v>
          </cell>
        </row>
        <row r="6864">
          <cell r="A6864" t="str">
            <v>Y0003-L</v>
          </cell>
          <cell r="B6864" t="str">
            <v>Y3</v>
          </cell>
          <cell r="C6864" t="str">
            <v>เยื่อไผ่ แขนสั้นขาสั้น เทาเข้ม ผู้ชาย L</v>
          </cell>
        </row>
        <row r="6865">
          <cell r="A6865" t="str">
            <v>Y0003-M</v>
          </cell>
          <cell r="B6865" t="str">
            <v>Y3</v>
          </cell>
          <cell r="C6865" t="str">
            <v>เยื่อไผ่ แขนสั้นขาสั้น เทาเข้ม ผู้ชาย M</v>
          </cell>
        </row>
        <row r="6866">
          <cell r="A6866" t="str">
            <v>Y0003-XL</v>
          </cell>
          <cell r="B6866" t="str">
            <v>Y3</v>
          </cell>
          <cell r="C6866" t="str">
            <v>เยื่อไผ่ แขนสั้นขาสั้น เทาเข้ม ผู้ชาย XL</v>
          </cell>
        </row>
        <row r="6867">
          <cell r="A6867" t="str">
            <v>Y0004-L</v>
          </cell>
          <cell r="B6867" t="str">
            <v>Y4</v>
          </cell>
          <cell r="C6867" t="str">
            <v>เยื่อไผ่ แขนสั้นขายาว กรม ผู้ชาย L</v>
          </cell>
        </row>
        <row r="6868">
          <cell r="A6868" t="str">
            <v>Y0004-M</v>
          </cell>
          <cell r="B6868" t="str">
            <v>Y4</v>
          </cell>
          <cell r="C6868" t="str">
            <v>เยื่อไผ่ แขนสั้นขายาว กรม ผู้ชาย M</v>
          </cell>
        </row>
        <row r="6869">
          <cell r="A6869" t="str">
            <v>Y0004-XL</v>
          </cell>
          <cell r="B6869" t="str">
            <v>Y4</v>
          </cell>
          <cell r="C6869" t="str">
            <v>เยื่อไผ่ แขนสั้นขายาว กรม ผู้ชาย XL</v>
          </cell>
        </row>
        <row r="6870">
          <cell r="A6870" t="str">
            <v>Y0005-L</v>
          </cell>
          <cell r="B6870" t="str">
            <v>Y5</v>
          </cell>
          <cell r="C6870" t="str">
            <v>เยื่อไผ่ แขนสั้นขายาว เทาอ่อน ผู้ชาย L</v>
          </cell>
        </row>
        <row r="6871">
          <cell r="A6871" t="str">
            <v>Y0005-M</v>
          </cell>
          <cell r="B6871" t="str">
            <v>Y5</v>
          </cell>
          <cell r="C6871" t="str">
            <v>เยื่อไผ่ แขนสั้นขายาว เทาอ่อน ผู้ชาย M</v>
          </cell>
        </row>
        <row r="6872">
          <cell r="A6872" t="str">
            <v>Y0005-XL</v>
          </cell>
          <cell r="B6872" t="str">
            <v>Y5</v>
          </cell>
          <cell r="C6872" t="str">
            <v>เยื่อไผ่ แขนสั้นขายาว เทาอ่อน ผู้ชาย XL</v>
          </cell>
        </row>
        <row r="6873">
          <cell r="A6873" t="str">
            <v>Y0006-L</v>
          </cell>
          <cell r="B6873" t="str">
            <v>Y6</v>
          </cell>
          <cell r="C6873" t="str">
            <v>เยื่อไผ่ แขนยาวขายาว กรม ผู้ชาย L</v>
          </cell>
        </row>
        <row r="6874">
          <cell r="A6874" t="str">
            <v>Y0006-M</v>
          </cell>
          <cell r="B6874" t="str">
            <v>Y6</v>
          </cell>
          <cell r="C6874" t="str">
            <v>เยื่อไผ่ แขนยาวขายาว กรม ผู้ชาย M</v>
          </cell>
        </row>
        <row r="6875">
          <cell r="A6875" t="str">
            <v>Y0006-XL</v>
          </cell>
          <cell r="B6875" t="str">
            <v>Y6</v>
          </cell>
          <cell r="C6875" t="str">
            <v>เยื่อไผ่ แขนยาวขายาว กรม ผู้ชาย XL</v>
          </cell>
        </row>
        <row r="6876">
          <cell r="A6876" t="str">
            <v>Y0007-L</v>
          </cell>
          <cell r="B6876" t="str">
            <v>Y7</v>
          </cell>
          <cell r="C6876" t="str">
            <v>เยื่อไผ่ แขนยาวขายาว ฟ้าเทา ผู้ชาย L</v>
          </cell>
        </row>
        <row r="6877">
          <cell r="A6877" t="str">
            <v>Y0007-M</v>
          </cell>
          <cell r="B6877" t="str">
            <v>Y7</v>
          </cell>
          <cell r="C6877" t="str">
            <v>เยื่อไผ่ แขนยาวขายาว ฟ้าเทา ผู้ชาย M</v>
          </cell>
        </row>
        <row r="6878">
          <cell r="A6878" t="str">
            <v>Y0007-XL</v>
          </cell>
          <cell r="B6878" t="str">
            <v>Y7</v>
          </cell>
          <cell r="C6878" t="str">
            <v>เยื่อไผ่ แขนยาวขายาว ฟ้าเทา ผู้ชาย XL</v>
          </cell>
        </row>
        <row r="6879">
          <cell r="A6879" t="str">
            <v>Y0008-L</v>
          </cell>
          <cell r="B6879" t="str">
            <v>Y8</v>
          </cell>
          <cell r="C6879" t="str">
            <v>เยื่อไผ่ แขนยาวขายาว เทาอ่อน ผู้ชาย L</v>
          </cell>
        </row>
        <row r="6880">
          <cell r="A6880" t="str">
            <v>Y0008-M</v>
          </cell>
          <cell r="B6880" t="str">
            <v>Y8</v>
          </cell>
          <cell r="C6880" t="str">
            <v>เยื่อไผ่ แขนยาวขายาว เทาอ่อน ผู้ชาย M</v>
          </cell>
        </row>
        <row r="6881">
          <cell r="A6881" t="str">
            <v>Y0008-XL</v>
          </cell>
          <cell r="B6881" t="str">
            <v>Y8</v>
          </cell>
          <cell r="C6881" t="str">
            <v>เยื่อไผ่ แขนยาวขายาว เทาอ่อน ผู้ชาย XL</v>
          </cell>
        </row>
        <row r="6882">
          <cell r="A6882" t="str">
            <v>Y0009-L</v>
          </cell>
          <cell r="B6882" t="str">
            <v>Y9</v>
          </cell>
          <cell r="C6882" t="str">
            <v>ซาติน แขนสั้นขายาว สีกรม ผช L</v>
          </cell>
        </row>
        <row r="6883">
          <cell r="A6883" t="str">
            <v>Y0009-XL</v>
          </cell>
          <cell r="B6883" t="str">
            <v>Y9</v>
          </cell>
          <cell r="C6883" t="str">
            <v>ซาติน แขนสั้นขายาว สีกรม ผช XL</v>
          </cell>
        </row>
        <row r="6884">
          <cell r="A6884" t="str">
            <v>Y0010-L</v>
          </cell>
          <cell r="B6884" t="str">
            <v>Y10</v>
          </cell>
          <cell r="C6884" t="str">
            <v>ซาติน แขนสั้นขายาว สีคราม ผช L</v>
          </cell>
        </row>
        <row r="6885">
          <cell r="A6885" t="str">
            <v>Y0010-XL</v>
          </cell>
          <cell r="B6885" t="str">
            <v>Y10</v>
          </cell>
          <cell r="C6885" t="str">
            <v>ซาติน แขนสั้นขายาว สีคราม ผช XL</v>
          </cell>
        </row>
        <row r="6886">
          <cell r="A6886" t="str">
            <v>Y0011-L</v>
          </cell>
          <cell r="B6886" t="str">
            <v>Y11</v>
          </cell>
          <cell r="C6886" t="str">
            <v>ซาติน แขนสั้นขาสั้น สีกรมไม่มีขอบ ผช L</v>
          </cell>
        </row>
        <row r="6887">
          <cell r="A6887" t="str">
            <v>Y0011-M</v>
          </cell>
          <cell r="B6887" t="str">
            <v>Y11</v>
          </cell>
          <cell r="C6887" t="str">
            <v>ซาติน แขนสั้นขาสั้น สีกรมไม่มีขอบ ผช M</v>
          </cell>
        </row>
        <row r="6888">
          <cell r="A6888" t="str">
            <v>Y0011-XL</v>
          </cell>
          <cell r="B6888" t="str">
            <v>Y11</v>
          </cell>
          <cell r="C6888" t="str">
            <v>ซาติน แขนสั้นขาสั้น สีกรมไม่มีขอบ ผช XL</v>
          </cell>
        </row>
        <row r="6889">
          <cell r="A6889" t="str">
            <v>Y0012-L</v>
          </cell>
          <cell r="B6889" t="str">
            <v>Y12</v>
          </cell>
          <cell r="C6889" t="str">
            <v>ซาติน แขนสั้นขาสั้น สีเทาอ่อนไม่มีขอบ ผช L</v>
          </cell>
        </row>
        <row r="6890">
          <cell r="A6890" t="str">
            <v>Y0012-M</v>
          </cell>
          <cell r="B6890" t="str">
            <v>Y12</v>
          </cell>
          <cell r="C6890" t="str">
            <v>ซาติน แขนสั้นขาสั้น สีเทาอ่อนไม่มีขอบ ผช M</v>
          </cell>
        </row>
        <row r="6891">
          <cell r="A6891" t="str">
            <v>Y0012-XL</v>
          </cell>
          <cell r="B6891" t="str">
            <v>Y12</v>
          </cell>
          <cell r="C6891" t="str">
            <v>ซาติน แขนสั้นขาสั้น สีเทาอ่อนไม่มีขอบ ผช XL</v>
          </cell>
        </row>
        <row r="6892">
          <cell r="A6892" t="str">
            <v>Y0014-L</v>
          </cell>
          <cell r="B6892" t="str">
            <v>Y14</v>
          </cell>
          <cell r="C6892" t="str">
            <v>ซาติน แขนสั้นขาสั้น สีเทาอ่อน คอปก มีขอบ ผช L</v>
          </cell>
        </row>
        <row r="6893">
          <cell r="A6893" t="str">
            <v>Y0014-M</v>
          </cell>
          <cell r="B6893" t="str">
            <v>Y14</v>
          </cell>
          <cell r="C6893" t="str">
            <v>ซาติน แขนสั้นขาสั้น สีเทาอ่อน คอปก มีขอบ ผช M</v>
          </cell>
        </row>
        <row r="6894">
          <cell r="A6894" t="str">
            <v>Y0014-XL</v>
          </cell>
          <cell r="B6894" t="str">
            <v>Y14</v>
          </cell>
          <cell r="C6894" t="str">
            <v>ซาติน แขนสั้นขาสั้น สีเทาอ่อน คอปก มีขอบ ผช XL</v>
          </cell>
        </row>
        <row r="6895">
          <cell r="A6895" t="str">
            <v>Y0015-L</v>
          </cell>
          <cell r="B6895" t="str">
            <v>Y15</v>
          </cell>
          <cell r="C6895" t="str">
            <v>ซาติน แขนสั้นขาสั้น สีกรม คอปก มีขอบ ผช L</v>
          </cell>
        </row>
        <row r="6896">
          <cell r="A6896" t="str">
            <v>Y0015-XL</v>
          </cell>
          <cell r="B6896" t="str">
            <v>Y15</v>
          </cell>
          <cell r="C6896" t="str">
            <v>ซาติน แขนสั้นขาสั้น สีกรม คอปก มีขอบ ผช XL</v>
          </cell>
        </row>
        <row r="6897">
          <cell r="A6897" t="str">
            <v>Y0017-L</v>
          </cell>
          <cell r="B6897" t="str">
            <v>Y17</v>
          </cell>
          <cell r="C6897" t="str">
            <v>ซาติน แขนสั้นขาสั้น สีเขียวเข้ม คอปก มีขอบ ผช L</v>
          </cell>
        </row>
        <row r="6898">
          <cell r="A6898" t="str">
            <v>Y0017-M</v>
          </cell>
          <cell r="B6898" t="str">
            <v>Y17</v>
          </cell>
          <cell r="C6898" t="str">
            <v>ซาติน แขนสั้นขาสั้น สีเขียวเข้ม คอปก มีขอบ ผช M</v>
          </cell>
        </row>
        <row r="6899">
          <cell r="A6899" t="str">
            <v>Y0017-XL</v>
          </cell>
          <cell r="B6899" t="str">
            <v>Y17</v>
          </cell>
          <cell r="C6899" t="str">
            <v>ซาติน แขนสั้นขาสั้น สีเขียวเข้ม คอปก มีขอบ ผช XL</v>
          </cell>
        </row>
        <row r="6900">
          <cell r="A6900" t="str">
            <v>Y0018-2XL</v>
          </cell>
          <cell r="B6900" t="str">
            <v>Y18</v>
          </cell>
          <cell r="C6900" t="str">
            <v>ซาติน แขนสั้นขายาว สีกรมขอบขาว ผช 2XL</v>
          </cell>
        </row>
        <row r="6901">
          <cell r="A6901" t="str">
            <v>Y0018-L</v>
          </cell>
          <cell r="B6901" t="str">
            <v>Y18</v>
          </cell>
          <cell r="C6901" t="str">
            <v>ซาติน แขนสั้นขายาว สีกรมขอบขาว ผช L</v>
          </cell>
        </row>
        <row r="6902">
          <cell r="A6902" t="str">
            <v>Y0018-M</v>
          </cell>
          <cell r="B6902" t="str">
            <v>Y18</v>
          </cell>
          <cell r="C6902" t="str">
            <v>ซาติน แขนสั้นขายาว สีกรมขอบขาว ผช M</v>
          </cell>
        </row>
        <row r="6903">
          <cell r="A6903" t="str">
            <v>Y0018-XL</v>
          </cell>
          <cell r="B6903" t="str">
            <v>Y18</v>
          </cell>
          <cell r="C6903" t="str">
            <v>ซาติน แขนสั้นขายาว สีกรมขอบขาว ผช XL</v>
          </cell>
        </row>
        <row r="6904">
          <cell r="A6904" t="str">
            <v>Y0019-2XL</v>
          </cell>
          <cell r="B6904" t="str">
            <v>Y19</v>
          </cell>
          <cell r="C6904" t="str">
            <v>ซาติน แขนสั้นขายาว สีฟ้าขอบขาว ผช 2XL</v>
          </cell>
        </row>
        <row r="6905">
          <cell r="A6905" t="str">
            <v>Y0019-L</v>
          </cell>
          <cell r="B6905" t="str">
            <v>Y19</v>
          </cell>
          <cell r="C6905" t="str">
            <v>ซาติน แขนสั้นขายาว สีฟ้าขอบขาว ผช L</v>
          </cell>
        </row>
        <row r="6906">
          <cell r="A6906" t="str">
            <v>Y0019-M</v>
          </cell>
          <cell r="B6906" t="str">
            <v>Y19</v>
          </cell>
          <cell r="C6906" t="str">
            <v>ซาติน แขนสั้นขายาว สีฟ้าขอบขาว ผช M</v>
          </cell>
        </row>
        <row r="6907">
          <cell r="A6907" t="str">
            <v>Y0019-XL</v>
          </cell>
          <cell r="B6907" t="str">
            <v>Y19</v>
          </cell>
          <cell r="C6907" t="str">
            <v>ซาติน แขนสั้นขายาว สีฟ้าขอบขาว ผช XL</v>
          </cell>
        </row>
        <row r="6908">
          <cell r="A6908" t="str">
            <v>Y0020-2XL</v>
          </cell>
          <cell r="B6908" t="str">
            <v>JY20</v>
          </cell>
          <cell r="C6908" t="str">
            <v>ซาติน แขนยาวขายาว สีกรมไม่มีขอบ ลายไพ่ ผช 2XL ตัวโชว์</v>
          </cell>
        </row>
        <row r="6909">
          <cell r="A6909" t="str">
            <v>Y0020-L</v>
          </cell>
          <cell r="B6909" t="str">
            <v>JY20</v>
          </cell>
          <cell r="C6909" t="str">
            <v>ซาติน แขนยาวขายาว สีกรมไม่มีขอบ ลายไพ่ ผช L ตัวโชว์</v>
          </cell>
        </row>
        <row r="6910">
          <cell r="A6910" t="str">
            <v>Y0020-M</v>
          </cell>
          <cell r="B6910" t="str">
            <v>JY20</v>
          </cell>
          <cell r="C6910" t="str">
            <v>ซาติน แขนยาวขายาว สีกรมไม่มีขอบ ลายไพ่ ผช M ตัวโชว์</v>
          </cell>
        </row>
        <row r="6911">
          <cell r="A6911" t="str">
            <v>Y0020-XL</v>
          </cell>
          <cell r="B6911" t="str">
            <v>JY20</v>
          </cell>
          <cell r="C6911" t="str">
            <v>ซาติน แขนยาวขายาว สีกรมไม่มีขอบ ลายไพ่ ผช XL ตัวโชว์</v>
          </cell>
        </row>
        <row r="6912">
          <cell r="A6912" t="str">
            <v>Y0021-M</v>
          </cell>
          <cell r="B6912" t="str">
            <v>Y21</v>
          </cell>
          <cell r="C6912" t="str">
            <v>ซาติน แขนยาวขายาว สีฟ้าไม่มีขอบ ลายไพ่ ผช M</v>
          </cell>
        </row>
        <row r="6913">
          <cell r="A6913" t="str">
            <v>Y0022-2XL</v>
          </cell>
          <cell r="B6913" t="str">
            <v>Y22</v>
          </cell>
          <cell r="C6913" t="str">
            <v>ซาติน แขนยาวขายาว Teddy Bear 2XL</v>
          </cell>
        </row>
        <row r="6914">
          <cell r="A6914" t="str">
            <v>Y0022-L</v>
          </cell>
          <cell r="B6914" t="str">
            <v>Y22</v>
          </cell>
          <cell r="C6914" t="str">
            <v>ซาติน แขนยาวขายาว Teddy Bear L</v>
          </cell>
        </row>
        <row r="6915">
          <cell r="A6915" t="str">
            <v>Y0022-M</v>
          </cell>
          <cell r="B6915" t="str">
            <v>Y22</v>
          </cell>
          <cell r="C6915" t="str">
            <v>ซาติน แขนยาวขายาว&amp;nbsp;Teddy Bear M</v>
          </cell>
        </row>
        <row r="6916">
          <cell r="A6916" t="str">
            <v>Y0022-XL</v>
          </cell>
          <cell r="B6916" t="str">
            <v>Y22</v>
          </cell>
          <cell r="C6916" t="str">
            <v>ซาติน แขนยาวขายาว Teddy Bear XL</v>
          </cell>
        </row>
        <row r="6917">
          <cell r="A6917" t="str">
            <v>Y0023-2XL</v>
          </cell>
          <cell r="B6917" t="str">
            <v>Y23</v>
          </cell>
          <cell r="C6917" t="str">
            <v>ซาติน แขนสั้นขาสั้น&amp;nbsp;Teddy Bear 2XL</v>
          </cell>
        </row>
        <row r="6918">
          <cell r="A6918" t="str">
            <v>Y0023-L</v>
          </cell>
          <cell r="B6918" t="str">
            <v>Y23</v>
          </cell>
          <cell r="C6918" t="str">
            <v>ซาติน แขนสั้นขาสั้น Teddy Bear L</v>
          </cell>
        </row>
        <row r="6919">
          <cell r="A6919" t="str">
            <v>Y0023-M</v>
          </cell>
          <cell r="B6919" t="str">
            <v>Y23</v>
          </cell>
          <cell r="C6919" t="str">
            <v>ซาติน แขนสั้นขาสั้น Teddy Bear M</v>
          </cell>
        </row>
        <row r="6920">
          <cell r="A6920" t="str">
            <v>Y0023-XL</v>
          </cell>
          <cell r="B6920" t="str">
            <v>Y23</v>
          </cell>
          <cell r="C6920" t="str">
            <v>ซาติน แขนสั้นขาสั้น Teddy Bear XL</v>
          </cell>
        </row>
        <row r="6921">
          <cell r="A6921" t="str">
            <v>Y0024-2XL</v>
          </cell>
          <cell r="B6921" t="str">
            <v>Y24</v>
          </cell>
          <cell r="C6921" t="str">
            <v>เยื่อไผ่ แขนสั้นขายาว กรม ขอบขาว ผู้ชาย 2XL</v>
          </cell>
        </row>
        <row r="6922">
          <cell r="A6922" t="str">
            <v>Y0024-L</v>
          </cell>
          <cell r="B6922" t="str">
            <v>JY24</v>
          </cell>
          <cell r="C6922" t="str">
            <v>เยื่อไผ่ แขนสั้นขายาว กรม ขอบขาว ผู้ชาย L ตัวโชว์</v>
          </cell>
        </row>
        <row r="6923">
          <cell r="A6923" t="str">
            <v>Y0024-M</v>
          </cell>
          <cell r="B6923" t="str">
            <v>Y24</v>
          </cell>
          <cell r="C6923" t="str">
            <v>เยื่อไผ่ แขนสั้นขายาว กรม ขอบขาว ผู้ชาย M</v>
          </cell>
        </row>
        <row r="6924">
          <cell r="A6924" t="str">
            <v>Y0024-XL</v>
          </cell>
          <cell r="B6924" t="str">
            <v>JY24</v>
          </cell>
          <cell r="C6924" t="str">
            <v>เยื่อไผ่ แขนสั้นขายาว กรม ขอบขาว ผู้ชาย XL ตัวโชว์</v>
          </cell>
        </row>
        <row r="6925">
          <cell r="A6925" t="str">
            <v>Y0024-XXL</v>
          </cell>
          <cell r="B6925" t="str">
            <v>Y24</v>
          </cell>
        </row>
        <row r="6926">
          <cell r="A6926" t="str">
            <v>Y0025-2XL</v>
          </cell>
          <cell r="B6926" t="str">
            <v>Y25</v>
          </cell>
          <cell r="C6926" t="str">
            <v>เยื่อไผ่ แขนสั้นขายาว ครีม ขอบขาว ผู้ชาย 2XL</v>
          </cell>
        </row>
        <row r="6927">
          <cell r="A6927" t="str">
            <v>Y0025-L</v>
          </cell>
          <cell r="B6927" t="str">
            <v>Y25</v>
          </cell>
          <cell r="C6927" t="str">
            <v>เยื่อไผ่ แขนสั้นขายาว ครีม ขอบขาว ผู้ชาย L</v>
          </cell>
        </row>
        <row r="6928">
          <cell r="A6928" t="str">
            <v>Y0025-M</v>
          </cell>
          <cell r="B6928" t="str">
            <v>Y25</v>
          </cell>
          <cell r="C6928" t="str">
            <v>เยื่อไผ่ แขนสั้นขายาว ครีม ขอบขาว ผู้ชาย M</v>
          </cell>
        </row>
        <row r="6929">
          <cell r="A6929" t="str">
            <v>Y0025-XL</v>
          </cell>
          <cell r="B6929" t="str">
            <v>Y25</v>
          </cell>
          <cell r="C6929" t="str">
            <v>เยื่อไผ่ แขนสั้นขายาว ครีม ขอบขาว ผู้ชาย XL</v>
          </cell>
        </row>
        <row r="6930">
          <cell r="A6930" t="str">
            <v>Y0026-L</v>
          </cell>
          <cell r="B6930" t="str">
            <v>Y26</v>
          </cell>
          <cell r="C6930" t="str">
            <v>ซาติน แขนยาวขายาว สีกรมไม่มีขอบ ผช L</v>
          </cell>
        </row>
        <row r="6931">
          <cell r="A6931" t="str">
            <v>Y0026-XL</v>
          </cell>
          <cell r="B6931" t="str">
            <v>Y26</v>
          </cell>
          <cell r="C6931" t="str">
            <v>ซาติน แขนยาวขายาว สีกรมไม่มีขอบ ผช XL</v>
          </cell>
        </row>
        <row r="6932">
          <cell r="A6932" t="str">
            <v>Y0027-L</v>
          </cell>
          <cell r="B6932" t="str">
            <v>Y27</v>
          </cell>
          <cell r="C6932" t="str">
            <v>ซาติน แขนยาวขายาว สีกรม คอปก มีขอบ ผช L</v>
          </cell>
        </row>
        <row r="6933">
          <cell r="A6933" t="str">
            <v>Y0027-M</v>
          </cell>
          <cell r="B6933" t="str">
            <v>Y27</v>
          </cell>
          <cell r="C6933" t="str">
            <v>ซาติน แขนยาวขายาว สีกรม คอปก มีขอบ ผช M</v>
          </cell>
        </row>
        <row r="6934">
          <cell r="A6934" t="str">
            <v>Y0028-L</v>
          </cell>
          <cell r="B6934" t="str">
            <v>Y28</v>
          </cell>
          <cell r="C6934" t="str">
            <v>ซาติน แขนยาวขายาว สีเทา คอปก มีขอบ ผช L</v>
          </cell>
        </row>
        <row r="6935">
          <cell r="A6935" t="str">
            <v>Y0028-M</v>
          </cell>
          <cell r="B6935" t="str">
            <v>Y28</v>
          </cell>
          <cell r="C6935" t="str">
            <v>ซาติน แขนยาวขายาว สีเทา คอปก มีขอบ ผช M</v>
          </cell>
        </row>
        <row r="6936">
          <cell r="A6936" t="str">
            <v>Y0029-L</v>
          </cell>
          <cell r="B6936" t="str">
            <v>Y29</v>
          </cell>
          <cell r="C6936" t="str">
            <v>ซาติน แขนยาวขายาว สีฟ้า ผช L</v>
          </cell>
        </row>
        <row r="6937">
          <cell r="A6937" t="str">
            <v>Y0029-M</v>
          </cell>
          <cell r="B6937" t="str">
            <v>Y29</v>
          </cell>
          <cell r="C6937" t="str">
            <v>ซาติน แขนยาวขายาว สีฟ้า ผช M</v>
          </cell>
        </row>
        <row r="6938">
          <cell r="A6938" t="str">
            <v>Y0029-XL</v>
          </cell>
          <cell r="B6938" t="str">
            <v>Y29</v>
          </cell>
          <cell r="C6938" t="str">
            <v>ซาติน แขนยาวขายาว สีฟ้า ผช XL</v>
          </cell>
        </row>
        <row r="6939">
          <cell r="A6939" t="str">
            <v>Y0030-L</v>
          </cell>
          <cell r="B6939" t="str">
            <v>Y30</v>
          </cell>
          <cell r="C6939" t="str">
            <v>ซาติน แขนยาวขายาว สีกรม ผช L</v>
          </cell>
        </row>
        <row r="6940">
          <cell r="A6940" t="str">
            <v>Y0030-M</v>
          </cell>
          <cell r="B6940" t="str">
            <v>Y30</v>
          </cell>
          <cell r="C6940" t="str">
            <v>ซาติน แขนยาวขายาว สีกรม ผช M</v>
          </cell>
        </row>
        <row r="6941">
          <cell r="A6941" t="str">
            <v>Y0030-XL</v>
          </cell>
          <cell r="B6941" t="str">
            <v>Y30</v>
          </cell>
          <cell r="C6941" t="str">
            <v>ซาติน แขนยาวขายาว สีกรม ผช XL</v>
          </cell>
        </row>
        <row r="6942">
          <cell r="A6942" t="str">
            <v>Y0031-L</v>
          </cell>
          <cell r="B6942" t="str">
            <v>Y31</v>
          </cell>
          <cell r="C6942" t="str">
            <v>เยื่อไผ่ แขนสั้นขายาว ตารางกรม ผู้ชาย L</v>
          </cell>
        </row>
        <row r="6943">
          <cell r="A6943" t="str">
            <v>Y0031-M</v>
          </cell>
          <cell r="B6943" t="str">
            <v>Y31</v>
          </cell>
          <cell r="C6943" t="str">
            <v>เยื่อไผ่ แขนสั้นขายาว ตารางกรม ผู้ชาย M</v>
          </cell>
        </row>
        <row r="6944">
          <cell r="A6944" t="str">
            <v>Y0031-XL</v>
          </cell>
          <cell r="B6944" t="str">
            <v>Y31</v>
          </cell>
          <cell r="C6944" t="str">
            <v>เยื่อไผ่ แขนสั้นขายาว ตารางกรม ผู้ชาย XL</v>
          </cell>
        </row>
        <row r="6945">
          <cell r="A6945" t="str">
            <v>Y0032-L</v>
          </cell>
          <cell r="B6945" t="str">
            <v>Y32</v>
          </cell>
          <cell r="C6945" t="str">
            <v>เยื่อไผ่ แขนยาวขายาว ตารางกรม ผู้ชาย L</v>
          </cell>
        </row>
        <row r="6946">
          <cell r="A6946" t="str">
            <v>Y0032-M</v>
          </cell>
          <cell r="B6946" t="str">
            <v>Y32</v>
          </cell>
          <cell r="C6946" t="str">
            <v>เยื่อไผ่ แขนยาวขายาว ตารางกรม ผู้ชาย M</v>
          </cell>
        </row>
        <row r="6947">
          <cell r="A6947" t="str">
            <v>Y0032-XL</v>
          </cell>
          <cell r="B6947" t="str">
            <v>Y32</v>
          </cell>
          <cell r="C6947" t="str">
            <v>เยื่อไผ่ แขนยาวขายาว ตารางกรม ผู้ชาย XL</v>
          </cell>
        </row>
        <row r="6948">
          <cell r="A6948" t="str">
            <v>Y0033-L</v>
          </cell>
          <cell r="B6948" t="str">
            <v>Y33</v>
          </cell>
          <cell r="C6948" t="str">
            <v>เยื่อไผ่ แขนสั้นขายาว ตารางเทา ผู้ชาย L</v>
          </cell>
        </row>
        <row r="6949">
          <cell r="A6949" t="str">
            <v>Y0033-M</v>
          </cell>
          <cell r="B6949" t="str">
            <v>Y33</v>
          </cell>
          <cell r="C6949" t="str">
            <v>เยื่อไผ่ แขนสั้นขายาว ตารางเทา ผู้ชาย M</v>
          </cell>
        </row>
        <row r="6950">
          <cell r="A6950" t="str">
            <v>Y0033-XL</v>
          </cell>
          <cell r="B6950" t="str">
            <v>Y33</v>
          </cell>
          <cell r="C6950" t="str">
            <v>เยื่อไผ่ แขนสั้นขายาว ตารางเทา ผู้ชาย XL</v>
          </cell>
        </row>
        <row r="6951">
          <cell r="A6951" t="str">
            <v>Y0034-L</v>
          </cell>
          <cell r="B6951" t="str">
            <v>Y34</v>
          </cell>
          <cell r="C6951" t="str">
            <v>เยื่อไผ่ แขนยาวขายาว ตารางเทา ผู้ชาย L</v>
          </cell>
        </row>
        <row r="6952">
          <cell r="A6952" t="str">
            <v>Y0034-M</v>
          </cell>
          <cell r="B6952" t="str">
            <v>Y34</v>
          </cell>
          <cell r="C6952" t="str">
            <v>เยื่อไผ่ แขนยาวขายาว ตารางเทา ผู้ชาย M</v>
          </cell>
        </row>
        <row r="6953">
          <cell r="A6953" t="str">
            <v>Y0034-XL</v>
          </cell>
          <cell r="B6953" t="str">
            <v>Y34</v>
          </cell>
          <cell r="C6953" t="str">
            <v>เยื่อไผ่ แขนยาวขายาว ตารางเทา ผู้ชาย XL</v>
          </cell>
        </row>
        <row r="6954">
          <cell r="A6954" t="str">
            <v>Y0035-L</v>
          </cell>
          <cell r="B6954" t="str">
            <v>Y35</v>
          </cell>
          <cell r="C6954" t="str">
            <v>เยื่อไผ่ แขนสั้นขายาว ตารางดำ ผู้ชาย L</v>
          </cell>
        </row>
        <row r="6955">
          <cell r="A6955" t="str">
            <v>Y0035-M</v>
          </cell>
          <cell r="B6955" t="str">
            <v>Y35</v>
          </cell>
          <cell r="C6955" t="str">
            <v>เยื่อไผ่ แขนสั้นขายาว ตารางดำ ผู้ชาย M</v>
          </cell>
        </row>
        <row r="6956">
          <cell r="A6956" t="str">
            <v>Y0035-XL</v>
          </cell>
          <cell r="B6956" t="str">
            <v>Y35</v>
          </cell>
          <cell r="C6956" t="str">
            <v>เยื่อไผ่ แขนสั้นขายาว ตารางดำ ผู้ชาย XL</v>
          </cell>
        </row>
        <row r="6957">
          <cell r="A6957" t="str">
            <v>Y0036-L</v>
          </cell>
          <cell r="B6957" t="str">
            <v>Y36</v>
          </cell>
          <cell r="C6957" t="str">
            <v>เยื่อไผ่ แขนยาวขายาว ตารางดำ ผู้ชาย L</v>
          </cell>
        </row>
        <row r="6958">
          <cell r="A6958" t="str">
            <v>Y0036-M</v>
          </cell>
          <cell r="B6958" t="str">
            <v>Y36</v>
          </cell>
          <cell r="C6958" t="str">
            <v>เยื่อไผ่ แขนยาวขายาว ตารางดำ ผู้ชาย M</v>
          </cell>
        </row>
        <row r="6959">
          <cell r="A6959" t="str">
            <v>Y0036-XL</v>
          </cell>
          <cell r="B6959" t="str">
            <v>Y36</v>
          </cell>
          <cell r="C6959" t="str">
            <v>เยื่อไผ่ แขนยาวขายาว ตารางดำ ผู้ชาย XL</v>
          </cell>
        </row>
        <row r="6960">
          <cell r="A6960" t="str">
            <v>Y0037-2XL</v>
          </cell>
          <cell r="B6960" t="str">
            <v>BY37</v>
          </cell>
          <cell r="C6960" t="str">
            <v>เยื่อไผ่ แขนสั้นขายาว ฟ้า ขอบขาว ชาย 2XL</v>
          </cell>
        </row>
        <row r="6961">
          <cell r="A6961" t="str">
            <v>Y0037-L</v>
          </cell>
          <cell r="B6961" t="str">
            <v>JY37</v>
          </cell>
          <cell r="C6961" t="str">
            <v>เยื่อไผ่ แขนสั้นขายาว ฟ้า ขอบขาว ชาย L ตัวโชว์</v>
          </cell>
        </row>
        <row r="6962">
          <cell r="A6962" t="str">
            <v>Y0037-M</v>
          </cell>
          <cell r="B6962" t="str">
            <v>JY37</v>
          </cell>
          <cell r="C6962" t="str">
            <v>เยื่อไผ่ แขนสั้นขายาว ฟ้า ขอบขาว ชาย M ตัวโชว์</v>
          </cell>
        </row>
        <row r="6963">
          <cell r="A6963" t="str">
            <v>Y0037-XL</v>
          </cell>
          <cell r="B6963" t="str">
            <v>Y37</v>
          </cell>
          <cell r="C6963" t="str">
            <v>เยื่อไผ่ แขนสั้นขายาว ฟา ขอบขาว ชาย XL</v>
          </cell>
        </row>
        <row r="6964">
          <cell r="A6964" t="str">
            <v>Y0038-2XL</v>
          </cell>
          <cell r="B6964" t="str">
            <v>Y38</v>
          </cell>
          <cell r="C6964" t="str">
            <v>เยื่อไผ่ แขนสั้นขายาว เทา ขอบขาว ชาย 2XL</v>
          </cell>
        </row>
        <row r="6965">
          <cell r="A6965" t="str">
            <v>Y0038-L</v>
          </cell>
          <cell r="B6965" t="str">
            <v>Y38</v>
          </cell>
          <cell r="C6965" t="str">
            <v>เยื่อไผ่ แขนสั้นขายาว เทา ขอบขาว ชาย L</v>
          </cell>
        </row>
        <row r="6966">
          <cell r="A6966" t="str">
            <v>Y0038-M</v>
          </cell>
          <cell r="B6966" t="str">
            <v>JY38</v>
          </cell>
          <cell r="C6966" t="str">
            <v>เยื่อไผ่ แขนสั้นขายาว เทา ขอบขาว ชาย M ตัวโชว์</v>
          </cell>
        </row>
        <row r="6967">
          <cell r="A6967" t="str">
            <v>Y0038-XL</v>
          </cell>
          <cell r="B6967" t="str">
            <v>Y38</v>
          </cell>
          <cell r="C6967" t="str">
            <v>เยื่อไผ่ แขนสั้นขายาว เทา ขอบขาว ชาย XL</v>
          </cell>
        </row>
        <row r="6968">
          <cell r="A6968" t="str">
            <v>Y0039-2XL</v>
          </cell>
          <cell r="B6968" t="str">
            <v>Y39</v>
          </cell>
          <cell r="C6968" t="str">
            <v>ชาติน แขนสั้นขาสั้น ฟ้า ขอบขาว 2XL</v>
          </cell>
        </row>
        <row r="6969">
          <cell r="A6969" t="str">
            <v>Y0039-L</v>
          </cell>
          <cell r="B6969" t="str">
            <v>Y39</v>
          </cell>
          <cell r="C6969" t="str">
            <v>ชาติน แขนสั้นขาสั้น ฟ้า ขอบขาว L</v>
          </cell>
        </row>
        <row r="6970">
          <cell r="A6970" t="str">
            <v>Y0039-M</v>
          </cell>
          <cell r="B6970" t="str">
            <v>Y39</v>
          </cell>
          <cell r="C6970" t="str">
            <v>ชาติน แขนสั้นขาสั้น ฟ้า ขอบขาว M</v>
          </cell>
        </row>
        <row r="6971">
          <cell r="A6971" t="str">
            <v>Y0039-XL</v>
          </cell>
          <cell r="B6971" t="str">
            <v>Y39</v>
          </cell>
          <cell r="C6971" t="str">
            <v>ชาติน แขนสั้นขาสั้น ฟ้า ขอบขาว XL</v>
          </cell>
        </row>
        <row r="6972">
          <cell r="A6972" t="str">
            <v>Y0040-2XL</v>
          </cell>
          <cell r="B6972" t="str">
            <v>Y40</v>
          </cell>
          <cell r="C6972" t="str">
            <v>ชาติน แขนสั้นขาสั้น กรม ขอบขาว 2XL</v>
          </cell>
        </row>
        <row r="6973">
          <cell r="A6973" t="str">
            <v>Y0040-L</v>
          </cell>
          <cell r="B6973" t="str">
            <v>Y40</v>
          </cell>
          <cell r="C6973" t="str">
            <v>ชาติน แขนสั้นขาสั้น กรม ขอบขาว L</v>
          </cell>
        </row>
        <row r="6974">
          <cell r="A6974" t="str">
            <v>Y0040-M</v>
          </cell>
          <cell r="B6974" t="str">
            <v>Y40</v>
          </cell>
          <cell r="C6974" t="str">
            <v>ชาติน แขนสั้นขาสั้น กรม ขอบขาว M</v>
          </cell>
        </row>
        <row r="6975">
          <cell r="A6975" t="str">
            <v>Y0040-XL</v>
          </cell>
          <cell r="B6975" t="str">
            <v>Y40</v>
          </cell>
          <cell r="C6975" t="str">
            <v>ชาติน แขนสั้นขาสั้น กรม ขอบขาว XL</v>
          </cell>
        </row>
        <row r="6976">
          <cell r="A6976" t="str">
            <v>Y0041-L</v>
          </cell>
          <cell r="B6976" t="str">
            <v>Y41</v>
          </cell>
          <cell r="C6976" t="str">
            <v>ซาติน แขนยาวขายาว สีกรม ขอบเงิน L</v>
          </cell>
        </row>
        <row r="6977">
          <cell r="A6977" t="str">
            <v>Y0041-M</v>
          </cell>
          <cell r="B6977" t="str">
            <v>Y41</v>
          </cell>
          <cell r="C6977" t="str">
            <v>ซาติน แขนยาวขายาว สีกรม ขอบเงิน M</v>
          </cell>
        </row>
        <row r="6978">
          <cell r="A6978" t="str">
            <v>Y0041-XL</v>
          </cell>
          <cell r="B6978" t="str">
            <v>Y41</v>
          </cell>
          <cell r="C6978" t="str">
            <v>ซาติน แขนยาวขายาว สีกรม ขอบเงิน XL</v>
          </cell>
        </row>
        <row r="6979">
          <cell r="A6979" t="str">
            <v>Y0042-L</v>
          </cell>
          <cell r="B6979" t="str">
            <v>Y42</v>
          </cell>
          <cell r="C6979" t="str">
            <v>เยื่อไผ่ แขนสั้นขายาว จุดเล็ก พื้นฟ้า ผู้ชาย L</v>
          </cell>
        </row>
        <row r="6980">
          <cell r="A6980" t="str">
            <v>Y0042-M</v>
          </cell>
          <cell r="B6980" t="str">
            <v>Y42</v>
          </cell>
          <cell r="C6980" t="str">
            <v>เยื่อไผ่ แขนสั้นขายาว จุดเล็ก พื้นฟ้า ผู้ชาย M</v>
          </cell>
        </row>
        <row r="6981">
          <cell r="A6981" t="str">
            <v>Y0042-XL</v>
          </cell>
          <cell r="B6981" t="str">
            <v>Y42</v>
          </cell>
          <cell r="C6981" t="str">
            <v>เยื่อไผ่ แขนสั้นขายาว จุดเล็ก พื้นฟ้า ผู้ชาย XL</v>
          </cell>
        </row>
        <row r="6982">
          <cell r="A6982" t="str">
            <v>Y0043-L</v>
          </cell>
          <cell r="B6982" t="str">
            <v>Y43</v>
          </cell>
          <cell r="C6982" t="str">
            <v>เยื่อไผ่ แขนยาวขายาว ลายทางเทา น้องหมา ผู้ชาย L</v>
          </cell>
        </row>
        <row r="6983">
          <cell r="A6983" t="str">
            <v>Y0043-XL</v>
          </cell>
          <cell r="B6983" t="str">
            <v>Y43</v>
          </cell>
          <cell r="C6983" t="str">
            <v>เยื่อไผ่ แขนยาวขายาว ลายทางเทา น้องหมา ผู้ชาย XL</v>
          </cell>
        </row>
        <row r="6984">
          <cell r="A6984" t="str">
            <v>Y0044-L</v>
          </cell>
          <cell r="B6984" t="str">
            <v>Y44</v>
          </cell>
          <cell r="C6984" t="str">
            <v>เยื่อไผ่ แขนสั้นขาสั้น พื้นฟ้า ผู้ชาย L</v>
          </cell>
        </row>
        <row r="6985">
          <cell r="A6985" t="str">
            <v>Y0044-M</v>
          </cell>
          <cell r="B6985" t="str">
            <v>Y44</v>
          </cell>
          <cell r="C6985" t="str">
            <v>เยื่อไผ่ แขนสั้นขาสั้น พื้นฟ้า ผู้ชาย M</v>
          </cell>
        </row>
        <row r="6986">
          <cell r="A6986" t="str">
            <v>Y0045-L</v>
          </cell>
          <cell r="B6986" t="str">
            <v>Y45</v>
          </cell>
          <cell r="C6986" t="str">
            <v>ซาติน แขนยาวขายาว STAR พื้นฟ้า L</v>
          </cell>
        </row>
        <row r="6987">
          <cell r="A6987" t="str">
            <v>Y0045-XL</v>
          </cell>
          <cell r="B6987" t="str">
            <v>Y45</v>
          </cell>
          <cell r="C6987" t="str">
            <v>ซาติน แขนยาวขายาว STAR พื้นฟ้า XL</v>
          </cell>
        </row>
        <row r="6988">
          <cell r="A6988" t="str">
            <v>Y0046-2XL</v>
          </cell>
          <cell r="B6988" t="str">
            <v>Y46</v>
          </cell>
          <cell r="C6988" t="str">
            <v>เยื่อไผ่ แขนสั้นขายาว พื้นดำ ลายทางแดงเลือดหมู ผู้ชาย 2XL</v>
          </cell>
        </row>
        <row r="6989">
          <cell r="A6989" t="str">
            <v>Y0046-L</v>
          </cell>
          <cell r="B6989" t="str">
            <v>Y46</v>
          </cell>
          <cell r="C6989" t="str">
            <v>เยื่อไผ่ แขนสั้นขายาว พื้นดำ ลายทางแดงเลือดหมู ผู้ชาย L</v>
          </cell>
        </row>
        <row r="6990">
          <cell r="A6990" t="str">
            <v>Y0046-M</v>
          </cell>
          <cell r="B6990" t="str">
            <v>JY46</v>
          </cell>
          <cell r="C6990" t="str">
            <v>เยื่อไผ่ แขนสั้นขายาว พื้นดำ ลายทางแดงเลือดหมู ผู้ชาย M ตัวโชว์</v>
          </cell>
        </row>
        <row r="6991">
          <cell r="A6991" t="str">
            <v>Y0046-XL</v>
          </cell>
          <cell r="B6991" t="str">
            <v>Y46</v>
          </cell>
          <cell r="C6991" t="str">
            <v>เยื่อไผ่ แขนสั้นขายาว พื้นดำ ลายทางแดงเลือดหมู ผู้ชาย XL</v>
          </cell>
        </row>
        <row r="6992">
          <cell r="A6992" t="str">
            <v>Y0047-2XL</v>
          </cell>
          <cell r="B6992" t="str">
            <v>Y47</v>
          </cell>
          <cell r="C6992" t="str">
            <v>ซาติน แขนยาวขายาว ลายตัวหนังสือ พื้นฟ้า 2XL</v>
          </cell>
        </row>
        <row r="6993">
          <cell r="A6993" t="str">
            <v>Y0047-L</v>
          </cell>
          <cell r="B6993" t="str">
            <v>Y47</v>
          </cell>
          <cell r="C6993" t="str">
            <v>ซาติน แขนยาวขายาว ลายตัวหนังสือ พื้นฟ้า L</v>
          </cell>
        </row>
        <row r="6994">
          <cell r="A6994" t="str">
            <v>Y0047-M</v>
          </cell>
          <cell r="B6994" t="str">
            <v>Y47</v>
          </cell>
          <cell r="C6994" t="str">
            <v>ซาติน แขนยาวขายาว ลายตัวหนังสือ พื้นฟ้า M</v>
          </cell>
        </row>
        <row r="6995">
          <cell r="A6995" t="str">
            <v>Y0047-XL</v>
          </cell>
          <cell r="B6995" t="str">
            <v>Y47</v>
          </cell>
          <cell r="C6995" t="str">
            <v>ซาติน แขนยาวขายาว ลายตัวหนังสือ พื้นฟ้า XL</v>
          </cell>
        </row>
        <row r="6996">
          <cell r="A6996" t="str">
            <v>Y0048-2XL</v>
          </cell>
          <cell r="B6996" t="str">
            <v>Y48</v>
          </cell>
          <cell r="C6996" t="str">
            <v>ซาติน แขนยาวขายาว ลายตัวหนังสือ พื้นกรม 2XL</v>
          </cell>
        </row>
        <row r="6997">
          <cell r="A6997" t="str">
            <v>Y0048-L</v>
          </cell>
          <cell r="B6997" t="str">
            <v>Y48</v>
          </cell>
          <cell r="C6997" t="str">
            <v>ซาติน แขนยาวขายาว ลายตัวหนังสือ พื้นกรม L</v>
          </cell>
        </row>
        <row r="6998">
          <cell r="A6998" t="str">
            <v>Y0048-M</v>
          </cell>
          <cell r="B6998" t="str">
            <v>Y48</v>
          </cell>
          <cell r="C6998" t="str">
            <v>ซาติน แขนยาวขายาว ลายตัวหนังสือ พื้นกรม M</v>
          </cell>
        </row>
        <row r="6999">
          <cell r="A6999" t="str">
            <v>Y0048-XL</v>
          </cell>
          <cell r="B6999" t="str">
            <v>Y48</v>
          </cell>
          <cell r="C6999" t="str">
            <v>ซาติน แขนยาวขายาว ลายตัวหนังสือ พื้นกรม XL</v>
          </cell>
        </row>
        <row r="7000">
          <cell r="A7000" t="str">
            <v>Y0049-2XL</v>
          </cell>
          <cell r="B7000" t="str">
            <v>JY49</v>
          </cell>
          <cell r="C7000" t="str">
            <v>ซาติน แขนยาวขายาว พื้นกรม ขอบเงิน 2XL ตัวโชว์</v>
          </cell>
        </row>
        <row r="7001">
          <cell r="A7001" t="str">
            <v>Y0049-L</v>
          </cell>
          <cell r="B7001" t="str">
            <v>Y49</v>
          </cell>
          <cell r="C7001" t="str">
            <v>ซาติน แขนยาวขายาว พื้นกรม ขอบเงิน L</v>
          </cell>
        </row>
        <row r="7002">
          <cell r="A7002" t="str">
            <v>Y0049-M</v>
          </cell>
          <cell r="B7002" t="str">
            <v>Y49</v>
          </cell>
          <cell r="C7002" t="str">
            <v>ซาติน แขนยาวขายาว พื้นกรม ขอบเงิน M</v>
          </cell>
        </row>
        <row r="7003">
          <cell r="A7003" t="str">
            <v>Y0049-XL</v>
          </cell>
          <cell r="B7003" t="str">
            <v>Y49</v>
          </cell>
          <cell r="C7003" t="str">
            <v>ซาติน แขนยาวขายาว พื้นกรม ขอบเงิน XL</v>
          </cell>
        </row>
        <row r="7004">
          <cell r="A7004" t="str">
            <v>Y0050-2XL</v>
          </cell>
          <cell r="B7004" t="str">
            <v>Y50</v>
          </cell>
          <cell r="C7004" t="str">
            <v>ซาติน แขนยาวขายาว พื้นฟ้า ขอบเงิน 2XL</v>
          </cell>
        </row>
        <row r="7005">
          <cell r="A7005" t="str">
            <v>Y0050-L</v>
          </cell>
          <cell r="B7005" t="str">
            <v>Y50</v>
          </cell>
          <cell r="C7005" t="str">
            <v>ซาติน แขนยาวขายาว พื้นฟ้า ขอบเงิน L</v>
          </cell>
        </row>
        <row r="7006">
          <cell r="A7006" t="str">
            <v>Y0050-M</v>
          </cell>
          <cell r="B7006" t="str">
            <v>JY50</v>
          </cell>
          <cell r="C7006" t="str">
            <v>ซาติน แขนยาวขายาว พื้นฟ้า ขอบเงิน M ตัวโชว์</v>
          </cell>
        </row>
        <row r="7007">
          <cell r="A7007" t="str">
            <v>Y0050-XL</v>
          </cell>
          <cell r="B7007" t="str">
            <v>JY50</v>
          </cell>
          <cell r="C7007" t="str">
            <v>ซาติน แขนยาวขายาว พื้นฟ้า ขอบเงิน XL ตัวโชว์</v>
          </cell>
        </row>
        <row r="7008">
          <cell r="A7008" t="str">
            <v>Y0051-L</v>
          </cell>
          <cell r="B7008" t="str">
            <v>JY51</v>
          </cell>
          <cell r="C7008" t="str">
            <v>เยื่อไผ่ แขนยาวขายาว แมวดำ พื้นขาว ผู้ชาย L ตัวโชว์</v>
          </cell>
        </row>
        <row r="7009">
          <cell r="A7009" t="str">
            <v>Y0051-XL</v>
          </cell>
          <cell r="B7009" t="str">
            <v>Y51</v>
          </cell>
          <cell r="C7009" t="str">
            <v>เยื่อไผ่ แขนยาวขายาว แมวดำ พื้นขาว ผู้ชาย XL</v>
          </cell>
        </row>
        <row r="7010">
          <cell r="A7010" t="str">
            <v>Y0052-2XL</v>
          </cell>
          <cell r="B7010" t="str">
            <v>Y52</v>
          </cell>
          <cell r="C7010" t="str">
            <v>ซาติน แขนยาวขายาว ชิโนริ พื้นเทา ผู้ชาย 2XL</v>
          </cell>
        </row>
        <row r="7011">
          <cell r="A7011" t="str">
            <v>Y0052-L</v>
          </cell>
          <cell r="B7011" t="str">
            <v>Y52</v>
          </cell>
          <cell r="C7011" t="str">
            <v>ซาติน แขนยาวขายาว ชิโนริ พื้นเทา ผู้ชาย L</v>
          </cell>
        </row>
        <row r="7012">
          <cell r="A7012" t="str">
            <v>Y0052-M</v>
          </cell>
          <cell r="B7012" t="str">
            <v>Y52</v>
          </cell>
          <cell r="C7012" t="str">
            <v>ซาติน แขนยาวขายาว ชิโนริ พื้นเทา ผู้ชาย M</v>
          </cell>
        </row>
        <row r="7013">
          <cell r="A7013" t="str">
            <v>Y0052-XL</v>
          </cell>
          <cell r="B7013" t="str">
            <v>Y52</v>
          </cell>
          <cell r="C7013" t="str">
            <v>ซาติน แขนยาวขายาว ชิโนริ พื้นเทา ผู้ชาย XL</v>
          </cell>
        </row>
        <row r="7014">
          <cell r="A7014" t="str">
            <v>Y0053-2XL</v>
          </cell>
          <cell r="B7014" t="str">
            <v>Y53</v>
          </cell>
          <cell r="C7014" t="str">
            <v>ซาติน แขนยาวขายาว ชิโนริ พื้นดำ ผู้ชาย 2XL</v>
          </cell>
        </row>
        <row r="7015">
          <cell r="A7015" t="str">
            <v>Y0053-L</v>
          </cell>
          <cell r="B7015" t="str">
            <v>Y53</v>
          </cell>
          <cell r="C7015" t="str">
            <v>ซาติน แขนยาวขายาว ชิโนริ พื้นดำ ผู้ชาย L</v>
          </cell>
        </row>
        <row r="7016">
          <cell r="A7016" t="str">
            <v>Y0053-M</v>
          </cell>
          <cell r="B7016" t="str">
            <v>Y53</v>
          </cell>
          <cell r="C7016" t="str">
            <v>ซาติน แขนยาวขายาว ชิโนริ พื้นดำ ผู้ชาย M</v>
          </cell>
        </row>
        <row r="7017">
          <cell r="A7017" t="str">
            <v>Y0053-XL</v>
          </cell>
          <cell r="B7017" t="str">
            <v>Y53</v>
          </cell>
          <cell r="C7017" t="str">
            <v>ซาติน แขนยาวขายาว ชิโนริ พื้นดำ ผู้ชาย XL</v>
          </cell>
        </row>
        <row r="7018">
          <cell r="A7018" t="str">
            <v>Y0054-2XL</v>
          </cell>
          <cell r="B7018" t="str">
            <v>Y54</v>
          </cell>
          <cell r="C7018" t="str">
            <v>ซาติน แขนยาวขายาว ชิโนริ พื้นน้ำเงิน ผู้ชาย 2XL</v>
          </cell>
        </row>
        <row r="7019">
          <cell r="A7019" t="str">
            <v>Y0054-L</v>
          </cell>
          <cell r="B7019" t="str">
            <v>Y54</v>
          </cell>
          <cell r="C7019" t="str">
            <v>ซาติน แขนยาวขายาว ชิโนริ พื้นน้ำเงิน ผู้ชาย L</v>
          </cell>
        </row>
        <row r="7020">
          <cell r="A7020" t="str">
            <v>Y0054-M</v>
          </cell>
          <cell r="B7020" t="str">
            <v>Y54</v>
          </cell>
          <cell r="C7020" t="str">
            <v>ซาติน แขนยาวขายาว ชิโนริ พื้นน้ำเงิน ผู้ชาย M</v>
          </cell>
        </row>
        <row r="7021">
          <cell r="A7021" t="str">
            <v>Y0054-XL</v>
          </cell>
          <cell r="B7021" t="str">
            <v>Y54</v>
          </cell>
          <cell r="C7021" t="str">
            <v>ซาติน แขนยาวขายาว ชิโนริ พื้นน้ำเงิน ผู้ชาย XL</v>
          </cell>
        </row>
        <row r="7022">
          <cell r="A7022" t="str">
            <v>Y0055-2XL</v>
          </cell>
          <cell r="B7022" t="str">
            <v>Y55</v>
          </cell>
          <cell r="C7022" t="str">
            <v>ซาติน แขนยาวขายาว ชิโนริ พื้นกรม กุ๊นขาว ผู้ชาย 2XL</v>
          </cell>
        </row>
        <row r="7023">
          <cell r="A7023" t="str">
            <v>Y0055-L</v>
          </cell>
          <cell r="B7023" t="str">
            <v>Y55</v>
          </cell>
          <cell r="C7023" t="str">
            <v>ซาติน แขนยาวขายาว ชิโนริ พื้นกรม กุ๊นขาว ผู้ชาย L</v>
          </cell>
        </row>
        <row r="7024">
          <cell r="A7024" t="str">
            <v>Y0055-M</v>
          </cell>
          <cell r="B7024" t="str">
            <v>Y55</v>
          </cell>
          <cell r="C7024" t="str">
            <v>ซาติน แขนยาวขายาว ชิโนริ พื้นกรม กุ๊นขาว ผู้ชาย M</v>
          </cell>
        </row>
        <row r="7025">
          <cell r="A7025" t="str">
            <v>Y0055-XL</v>
          </cell>
          <cell r="B7025" t="str">
            <v>Y55</v>
          </cell>
          <cell r="C7025" t="str">
            <v>ซาติน แขนยาวขายาว ชิโนริ พื้นกรม กุ๊นขาว ผู้ชาย XL</v>
          </cell>
        </row>
        <row r="7026">
          <cell r="A7026" t="str">
            <v>Y0056-2XL</v>
          </cell>
          <cell r="B7026" t="str">
            <v>Y56</v>
          </cell>
          <cell r="C7026" t="str">
            <v>ซาติน แขนยาวขายาว ชิโนริ พื้นเขียว กุ๊นขาว ผู้ชาย 2XL</v>
          </cell>
        </row>
        <row r="7027">
          <cell r="A7027" t="str">
            <v>Y0056-L</v>
          </cell>
          <cell r="B7027" t="str">
            <v>Y56</v>
          </cell>
          <cell r="C7027" t="str">
            <v>ซาติน แขนยาวขายาว ชิโนริ พื้นเขียว กุ๊นขาว ผู้ชาย L</v>
          </cell>
        </row>
        <row r="7028">
          <cell r="A7028" t="str">
            <v>Y0056-M</v>
          </cell>
          <cell r="B7028" t="str">
            <v>Y56</v>
          </cell>
          <cell r="C7028" t="str">
            <v>ซาติน แขนยาวขายาว ชิโนริ พื้นเขียว กุ๊นขาว ผู้ชาย M</v>
          </cell>
        </row>
        <row r="7029">
          <cell r="A7029" t="str">
            <v>Y0056-XL</v>
          </cell>
          <cell r="B7029" t="str">
            <v>Y56</v>
          </cell>
          <cell r="C7029" t="str">
            <v>ซาติน แขนยาวขายาว ชิโนริ พื้นเขียว กุ๊นขาว ผู้ชาย XL</v>
          </cell>
        </row>
        <row r="7030">
          <cell r="A7030" t="str">
            <v>Y0057-2XL</v>
          </cell>
          <cell r="B7030" t="str">
            <v>Y57</v>
          </cell>
          <cell r="C7030" t="str">
            <v>ซาติน แขนยาวขายาว ชิโนริ พื้นเทา กุ๊นเทา ผู้ชาย 2XL</v>
          </cell>
        </row>
        <row r="7031">
          <cell r="A7031" t="str">
            <v>Y0057-L</v>
          </cell>
          <cell r="B7031" t="str">
            <v>Y57</v>
          </cell>
          <cell r="C7031" t="str">
            <v>ซาติน แขนยาวขายาว ชิโนริ พื้นเทา กุ๊นเทา ผู้ชาย L</v>
          </cell>
        </row>
        <row r="7032">
          <cell r="A7032" t="str">
            <v>Y0057-M</v>
          </cell>
          <cell r="B7032" t="str">
            <v>Y57</v>
          </cell>
          <cell r="C7032" t="str">
            <v>ซาติน แขนยาวขายาว ชิโนริ พื้นเทา กุ๊นเทา ผู้ชาย M</v>
          </cell>
        </row>
        <row r="7033">
          <cell r="A7033" t="str">
            <v>Y0057-XL</v>
          </cell>
          <cell r="B7033" t="str">
            <v>Y57</v>
          </cell>
          <cell r="C7033" t="str">
            <v>ซาติน แขนยาวขายาว ชิโนริ พื้นเทา กุ๊นเทา ผู้ชาย XL</v>
          </cell>
        </row>
        <row r="7034">
          <cell r="A7034" t="str">
            <v>Y0058-L</v>
          </cell>
          <cell r="B7034" t="str">
            <v>Y58</v>
          </cell>
          <cell r="C7034" t="str">
            <v>ซาติน แขนสั้นขาสั้น ลายทาง กรม ขอบขาว L</v>
          </cell>
        </row>
        <row r="7035">
          <cell r="A7035" t="str">
            <v>Y0058-M</v>
          </cell>
          <cell r="B7035" t="str">
            <v>Y58</v>
          </cell>
          <cell r="C7035" t="str">
            <v>ซาติน แขนสั้นขาสั้น ลายทาง กรม ขอบขาว M</v>
          </cell>
        </row>
        <row r="7036">
          <cell r="A7036" t="str">
            <v>Y0058-XL</v>
          </cell>
          <cell r="B7036" t="str">
            <v>Y58</v>
          </cell>
          <cell r="C7036" t="str">
            <v>ซาติน แขนสั้นขาสั้น ลายทาง กรม ขอบขาว XL</v>
          </cell>
        </row>
        <row r="7037">
          <cell r="A7037" t="str">
            <v>Y0059-2XL</v>
          </cell>
          <cell r="B7037" t="str">
            <v>JY59</v>
          </cell>
          <cell r="C7037" t="str">
            <v>ผู้ชาย ซาติน แขนสั้นขาสั้น หมาชิบะ พื้นฟ้า 2XL (กปก) ตัวโชว์</v>
          </cell>
        </row>
        <row r="7038">
          <cell r="A7038" t="str">
            <v>Y0059-L</v>
          </cell>
          <cell r="B7038" t="str">
            <v>Y59</v>
          </cell>
          <cell r="C7038" t="str">
            <v>ผู้ชาย ซาติน แขนสั้นขาสั้น หมาชิบะ พื้นฟ้า L (กปก)</v>
          </cell>
        </row>
        <row r="7039">
          <cell r="A7039" t="str">
            <v>Y0059-XL</v>
          </cell>
          <cell r="B7039" t="str">
            <v>Y59</v>
          </cell>
          <cell r="C7039" t="str">
            <v>ผู้ชาย ซาติน แขนสั้นขาสั้น หมาชิบะ พื้นฟ้า XL (กปก)</v>
          </cell>
        </row>
        <row r="7040">
          <cell r="A7040" t="str">
            <v>Y0060-2XL</v>
          </cell>
          <cell r="B7040" t="str">
            <v>BY60</v>
          </cell>
          <cell r="C7040" t="str">
            <v>ผู้ชาย ซาติน แขนสั้นขายาว ชิโนริ เขียว ขอบม่วง 2XL</v>
          </cell>
        </row>
        <row r="7041">
          <cell r="A7041" t="str">
            <v>Y0060-3XL</v>
          </cell>
          <cell r="B7041" t="str">
            <v>Y60</v>
          </cell>
          <cell r="C7041" t="str">
            <v>ผู้ชาย ซาติน แขนสั้นขายาว ชิโนริ เขียว ขอบม่วง 3XL</v>
          </cell>
        </row>
        <row r="7042">
          <cell r="A7042" t="str">
            <v>Y0060-L</v>
          </cell>
          <cell r="B7042" t="str">
            <v>Y60</v>
          </cell>
          <cell r="C7042" t="str">
            <v>ผู้ชาย ซาติน แขนสั้นขายาว ชิโนริ เขียว ขอบม่วง L</v>
          </cell>
        </row>
        <row r="7043">
          <cell r="A7043" t="str">
            <v>Y0060-XL</v>
          </cell>
          <cell r="B7043" t="str">
            <v>Y60</v>
          </cell>
          <cell r="C7043" t="str">
            <v>ผู้ชาย ซาติน แขนสั้นขายาว ชิโนริ เขียว ขอบม่วง XL</v>
          </cell>
        </row>
        <row r="7044">
          <cell r="A7044" t="str">
            <v>Y0061-2XL</v>
          </cell>
          <cell r="B7044" t="str">
            <v>Y61</v>
          </cell>
          <cell r="C7044" t="str">
            <v>ผู้ชาย ซาติน แขนสั้นขายาว ชิโนริ ชมพู ขอบม่วง 2XL</v>
          </cell>
        </row>
        <row r="7045">
          <cell r="A7045" t="str">
            <v>Y0061-3XL</v>
          </cell>
          <cell r="B7045" t="str">
            <v>JY61</v>
          </cell>
          <cell r="C7045" t="str">
            <v>ผู้ชาย ซาติน แขนสั้นขายาว ชิโนริ ชมพู ขอบม่วง 3XL ตัวโชว์</v>
          </cell>
        </row>
        <row r="7046">
          <cell r="A7046" t="str">
            <v>Y0061-L</v>
          </cell>
          <cell r="B7046" t="str">
            <v>Y61</v>
          </cell>
          <cell r="C7046" t="str">
            <v>ผู้ชาย ซาติน แขนสั้นขายาว ชิโนริ ชมพู ขอบม่วง L</v>
          </cell>
        </row>
        <row r="7047">
          <cell r="A7047" t="str">
            <v>Y0061-XL</v>
          </cell>
          <cell r="B7047" t="str">
            <v>JY61</v>
          </cell>
          <cell r="C7047" t="str">
            <v>ผู้ชาย ซาติน แขนสั้นขายาว ชิโนริ ชมพู ขอบม่วง XL ตัวโชว์</v>
          </cell>
        </row>
        <row r="7048">
          <cell r="A7048" t="str">
            <v>Y0062-2XL</v>
          </cell>
          <cell r="B7048" t="str">
            <v>Y62</v>
          </cell>
          <cell r="C7048" t="str">
            <v>ผู้ชาย ซาติน แขนสั้นขายาว ชิโนริ ฟ้า ขอบม่วง 2XL</v>
          </cell>
        </row>
        <row r="7049">
          <cell r="A7049" t="str">
            <v>Y0062-3XL</v>
          </cell>
          <cell r="B7049" t="str">
            <v>Y62</v>
          </cell>
          <cell r="C7049" t="str">
            <v>ผู้ชาย ซาติน แขนสั้นขายาว ชิโนริ ฟ้า ขอบม่วง 3XL</v>
          </cell>
        </row>
        <row r="7050">
          <cell r="A7050" t="str">
            <v>Y0062-L</v>
          </cell>
          <cell r="B7050" t="str">
            <v>Y62</v>
          </cell>
          <cell r="C7050" t="str">
            <v>ผู้ชาย ซาติน แขนสั้นขายาว ชิโนริ ฟ้า ขอบม่วง L</v>
          </cell>
        </row>
        <row r="7051">
          <cell r="A7051" t="str">
            <v>Y0062-XL</v>
          </cell>
          <cell r="B7051" t="str">
            <v>Y62</v>
          </cell>
          <cell r="C7051" t="str">
            <v>ผู้ชาย ซาติน แขนสั้นขายาว ชิโนริ ฟ้า ขอบม่วง XL</v>
          </cell>
        </row>
        <row r="7052">
          <cell r="A7052" t="str">
            <v>Y0063-2XL</v>
          </cell>
          <cell r="B7052" t="str">
            <v>Y63</v>
          </cell>
          <cell r="C7052" t="str">
            <v>ผู้ชาย ซาติน แขนสั้นขายาว ชิโนริ ม่วง ขอบส้ม 2XL</v>
          </cell>
        </row>
        <row r="7053">
          <cell r="A7053" t="str">
            <v>Y0063-3XL</v>
          </cell>
          <cell r="B7053" t="str">
            <v>Y63</v>
          </cell>
          <cell r="C7053" t="str">
            <v>ผู้ชาย ซาติน แขนสั้นขายาว ชิโนริ ม่วง ขอบส้ม 3XL</v>
          </cell>
        </row>
        <row r="7054">
          <cell r="A7054" t="str">
            <v>Y0063-L</v>
          </cell>
          <cell r="B7054" t="str">
            <v>JY63</v>
          </cell>
          <cell r="C7054" t="str">
            <v>ผู้ชาย ซาติน แขนสั้นขายาว ชิโนริ ม่วง ขอบส้ม L ตัวโชว์</v>
          </cell>
        </row>
        <row r="7055">
          <cell r="A7055" t="str">
            <v>Y0063-XL</v>
          </cell>
          <cell r="B7055" t="str">
            <v>Y63</v>
          </cell>
          <cell r="C7055" t="str">
            <v>ผู้ชาย ซาติน แขนสั้นขายาว ชิโนริ ม่วง ขอบส้ม XL</v>
          </cell>
        </row>
        <row r="7056">
          <cell r="A7056" t="str">
            <v>Y0064-2XL</v>
          </cell>
          <cell r="B7056" t="str">
            <v>Y64</v>
          </cell>
          <cell r="C7056" t="str">
            <v>ผู้ชาย ซาติน แขนสั้นขาสั้น ลายทาง แมว พื้นเทา 2XL</v>
          </cell>
        </row>
        <row r="7057">
          <cell r="A7057" t="str">
            <v>Y0064-L</v>
          </cell>
          <cell r="B7057" t="str">
            <v>Y64</v>
          </cell>
          <cell r="C7057" t="str">
            <v>ผู้ชาย ซาติน แขนสั้นขาสั้น ลายทาง แมว พื้นเทา L</v>
          </cell>
        </row>
        <row r="7058">
          <cell r="A7058" t="str">
            <v>Y0064-M</v>
          </cell>
          <cell r="B7058" t="str">
            <v>Y64</v>
          </cell>
          <cell r="C7058" t="str">
            <v>ผู้ชาย ซาติน แขนสั้นขาสั้น ลายทาง แมว พื้นเทา M</v>
          </cell>
        </row>
        <row r="7059">
          <cell r="A7059" t="str">
            <v>Y0064-XL</v>
          </cell>
          <cell r="B7059" t="str">
            <v>Y64</v>
          </cell>
          <cell r="C7059" t="str">
            <v>ผู้ชาย ซาติน แขนสั้นขาสั้น ลายทาง แมว พื้นเทา XL</v>
          </cell>
        </row>
        <row r="7060">
          <cell r="A7060" t="str">
            <v>Y0065-2XL</v>
          </cell>
          <cell r="B7060" t="str">
            <v>JY65</v>
          </cell>
          <cell r="C7060" t="str">
            <v>ผู้ชาย ซาติน แขนสั้นขาสั้น ลายทาง หมา พื้นดำ 2XL ตัวโชว์</v>
          </cell>
        </row>
        <row r="7061">
          <cell r="A7061" t="str">
            <v>Y0065-L</v>
          </cell>
          <cell r="B7061" t="str">
            <v>Y65</v>
          </cell>
          <cell r="C7061" t="str">
            <v>ผู้ชาย ซาติน แขนสั้นขาสั้น ลายทาง หมา พื้นดำ L</v>
          </cell>
        </row>
        <row r="7062">
          <cell r="A7062" t="str">
            <v>Y0065-M</v>
          </cell>
          <cell r="B7062" t="str">
            <v>JY65</v>
          </cell>
          <cell r="C7062" t="str">
            <v>ผู้ชาย ซาติน แขนสั้นขาสั้น ลายทาง หมา พื้นดำ M ตัวโชว์</v>
          </cell>
        </row>
        <row r="7063">
          <cell r="A7063" t="str">
            <v>Y0065-XL</v>
          </cell>
          <cell r="B7063" t="str">
            <v>JY65</v>
          </cell>
          <cell r="C7063" t="str">
            <v>ผู้ชาย ซาติน แขนสั้นขาสั้น ลายทาง หมา พื้นดำ XL ตัวโชว์</v>
          </cell>
        </row>
        <row r="7064">
          <cell r="A7064" t="str">
            <v>Y0066-L</v>
          </cell>
          <cell r="B7064" t="str">
            <v>Y66</v>
          </cell>
          <cell r="C7064" t="str">
            <v>ผู้ชาย ซาติน แขนสั้นขาสั้น โลก เท้าหมี พื้นเขียวฟ้า L</v>
          </cell>
        </row>
        <row r="7065">
          <cell r="A7065" t="str">
            <v>Y0066-M</v>
          </cell>
          <cell r="B7065" t="str">
            <v>Y66</v>
          </cell>
          <cell r="C7065" t="str">
            <v>ผู้ชาย ซาติน แขนสั้นขาสั้น โลก เท้าหมี พื้นเขียวฟ้า M (กปก)</v>
          </cell>
        </row>
        <row r="7066">
          <cell r="A7066" t="str">
            <v>Y0066-XL</v>
          </cell>
          <cell r="B7066" t="str">
            <v>Y66</v>
          </cell>
          <cell r="C7066" t="str">
            <v>ผู้ชาย ซาติน แขนสั้นขาสั้น โลก เท้าหมี พื้นเขียวฟ้า XL (กปก)</v>
          </cell>
        </row>
        <row r="7067">
          <cell r="A7067" t="str">
            <v>Y0067-2XL</v>
          </cell>
          <cell r="B7067" t="str">
            <v>Y67</v>
          </cell>
          <cell r="C7067" t="str">
            <v>ผู้ชาย ซาติน แขนสั้นขาสั้น ชิโนริ ดำ 2XL</v>
          </cell>
        </row>
        <row r="7068">
          <cell r="A7068" t="str">
            <v>Y0067-L</v>
          </cell>
          <cell r="B7068" t="str">
            <v>Y67</v>
          </cell>
          <cell r="C7068" t="str">
            <v>ผู้ชาย ซาติน แขนสั้นขาสั้น ชิโนริ ดำ L</v>
          </cell>
        </row>
        <row r="7069">
          <cell r="A7069" t="str">
            <v>Y0067-M</v>
          </cell>
          <cell r="B7069" t="str">
            <v>Y67</v>
          </cell>
          <cell r="C7069" t="str">
            <v>ผู้ชาย ซาติน แขนสั้นขาสั้น ชิโนริ ดำ M</v>
          </cell>
        </row>
        <row r="7070">
          <cell r="A7070" t="str">
            <v>Y0067-XL</v>
          </cell>
          <cell r="B7070" t="str">
            <v>Y67</v>
          </cell>
          <cell r="C7070" t="str">
            <v>ผู้ชาย ซาติน แขนสั้นขาสั้น ชิโนริ ดำ XL</v>
          </cell>
        </row>
        <row r="7071">
          <cell r="A7071" t="str">
            <v>Y0068-2XL</v>
          </cell>
          <cell r="B7071" t="str">
            <v>ป5</v>
          </cell>
          <cell r="C7071" t="str">
            <v>ซาติน แขนสั้นขาสั้น ข้าวหลามตัด น้ำตาล ผู้ชาย 2XL</v>
          </cell>
        </row>
        <row r="7072">
          <cell r="A7072" t="str">
            <v>Y0068-3XL</v>
          </cell>
          <cell r="B7072" t="str">
            <v>Y68</v>
          </cell>
          <cell r="C7072" t="str">
            <v>ซาติน แขนสั้นขาสั้น ข้าวหลามตัด น้ำตาล ผู้ชาย 3XL</v>
          </cell>
        </row>
        <row r="7073">
          <cell r="A7073" t="str">
            <v>Y0068-L</v>
          </cell>
          <cell r="B7073" t="str">
            <v>Y68</v>
          </cell>
          <cell r="C7073" t="str">
            <v>ซาติน แขนสั้นขาสั้น ข้าวหลามตัด น้ำตาล ผู้ชาย L</v>
          </cell>
        </row>
        <row r="7074">
          <cell r="A7074" t="str">
            <v>Y0068-XL</v>
          </cell>
          <cell r="B7074" t="str">
            <v>Y68</v>
          </cell>
          <cell r="C7074" t="str">
            <v>ซาติน แขนสั้นขาสั้น ข้าวหลามตัด น้ำตาล ผู้ชาย XL</v>
          </cell>
        </row>
        <row r="7075">
          <cell r="A7075" t="str">
            <v>Y0069-2XL</v>
          </cell>
          <cell r="B7075" t="str">
            <v>Y69</v>
          </cell>
          <cell r="C7075" t="str">
            <v>ซาติน แขนสั้นขาสั้น ข้าวหลามตัด ครีม ผู้ชาย 2XL</v>
          </cell>
        </row>
        <row r="7076">
          <cell r="A7076" t="str">
            <v>Y0069-3XL</v>
          </cell>
          <cell r="B7076" t="str">
            <v>Y69</v>
          </cell>
          <cell r="C7076" t="str">
            <v>ซาติน แขนสั้นขาสั้น ข้าวหลามตัด ครีม ผู้ชาย 3XL</v>
          </cell>
        </row>
        <row r="7077">
          <cell r="A7077" t="str">
            <v>Y0069-L</v>
          </cell>
          <cell r="B7077" t="str">
            <v>JY69</v>
          </cell>
          <cell r="C7077" t="str">
            <v>ซาติน แขนสั้นขาสั้น ข้าวหลามตัด ครีม ผู้ชาย L ตัวโชว์</v>
          </cell>
        </row>
        <row r="7078">
          <cell r="A7078" t="str">
            <v>Y0069-XL</v>
          </cell>
          <cell r="B7078" t="str">
            <v>Y69</v>
          </cell>
          <cell r="C7078" t="str">
            <v>ซาติน แขนสั้นขาสั้น ข้าวหลามตัด ครีม ผู้ชาย XL</v>
          </cell>
        </row>
        <row r="7079">
          <cell r="A7079" t="str">
            <v>Y0070-2XL</v>
          </cell>
          <cell r="B7079" t="str">
            <v>JY70</v>
          </cell>
          <cell r="C7079" t="str">
            <v>ซาติน แขนสั้นขาสั้น ข้าวหลามตัด เทาอ่อน ผู้ชาย 2XL ตัวโชว์</v>
          </cell>
        </row>
        <row r="7080">
          <cell r="A7080" t="str">
            <v>Y0070-3XL</v>
          </cell>
          <cell r="B7080" t="str">
            <v>JY70</v>
          </cell>
          <cell r="C7080" t="str">
            <v>ซาติน แขนสั้นขาสั้น ข้าวหลามตัด เทาอ่อน ผู้ชาย 3XL ตัวโชว์</v>
          </cell>
        </row>
        <row r="7081">
          <cell r="A7081" t="str">
            <v>Y0070-L</v>
          </cell>
          <cell r="B7081" t="str">
            <v>Y70</v>
          </cell>
          <cell r="C7081" t="str">
            <v>ซาติน แขนสั้นขาสั้น ข้าวหลามตัด เทาอ่อน ผู้ชาย L</v>
          </cell>
        </row>
        <row r="7082">
          <cell r="A7082" t="str">
            <v>Y0070-XL</v>
          </cell>
          <cell r="B7082" t="str">
            <v>Y70</v>
          </cell>
          <cell r="C7082" t="str">
            <v>ซาติน แขนสั้นขาสั้น ข้าวหลามตัด เทาอ่อน ผู้ชาย XL</v>
          </cell>
        </row>
        <row r="7083">
          <cell r="A7083" t="str">
            <v>Y0071-2XL</v>
          </cell>
          <cell r="B7083" t="str">
            <v>Y71</v>
          </cell>
          <cell r="C7083" t="str">
            <v>ซาติน แขนสั้นขาสั้น ข้าวหลามตัด เทาเข้ม ผู้ชาย 2XL</v>
          </cell>
        </row>
        <row r="7084">
          <cell r="A7084" t="str">
            <v>Y0071-3XL</v>
          </cell>
          <cell r="B7084" t="str">
            <v>Y71</v>
          </cell>
          <cell r="C7084" t="str">
            <v>ซาติน แขนสั้นขาสั้น ข้าวหลามตัด เทาเข้ม ผู้ชาย 3XL</v>
          </cell>
        </row>
        <row r="7085">
          <cell r="A7085" t="str">
            <v>Y0071-L</v>
          </cell>
          <cell r="B7085" t="str">
            <v>JY71</v>
          </cell>
          <cell r="C7085" t="str">
            <v>ซาติน แขนสั้นขาสั้น ข้าวหลามตัด เทาเข้ม ผู้ชาย L ตัวโชว์</v>
          </cell>
        </row>
        <row r="7086">
          <cell r="A7086" t="str">
            <v>Y0071-XL</v>
          </cell>
          <cell r="B7086" t="str">
            <v>Y71</v>
          </cell>
          <cell r="C7086" t="str">
            <v>ซาติน แขนสั้นขาสั้น ข้าวหลามตัด เทาเข้ม ผู้ชาย XL</v>
          </cell>
        </row>
        <row r="7087">
          <cell r="A7087" t="str">
            <v>Y0072-2XL</v>
          </cell>
          <cell r="B7087" t="str">
            <v>Y72</v>
          </cell>
          <cell r="C7087" t="str">
            <v>ซาติน แขนสั้นขาสั้น ชิโนริ พื้นเทา 2XL</v>
          </cell>
        </row>
        <row r="7088">
          <cell r="A7088" t="str">
            <v>Y0072-L</v>
          </cell>
          <cell r="B7088" t="str">
            <v>JY72</v>
          </cell>
          <cell r="C7088" t="str">
            <v>ซาติน แขนสั้นขาสั้น ชิโนริ พื้นเทา L ตัวโชว์</v>
          </cell>
        </row>
        <row r="7089">
          <cell r="A7089" t="str">
            <v>Y0072-XL</v>
          </cell>
          <cell r="B7089" t="str">
            <v>Y72</v>
          </cell>
          <cell r="C7089" t="str">
            <v>ซาติน แขนสั้นขาสั้น ชิโนริ พื้นเทา XL</v>
          </cell>
        </row>
        <row r="7090">
          <cell r="A7090" t="str">
            <v>Y0073-2XL</v>
          </cell>
          <cell r="B7090" t="str">
            <v>Y73</v>
          </cell>
          <cell r="C7090" t="str">
            <v>ซาติน แขนสั้นขาสั้น ชิโนริ พื้นกรม 2XL</v>
          </cell>
        </row>
        <row r="7091">
          <cell r="A7091" t="str">
            <v>Y0073-L</v>
          </cell>
          <cell r="B7091" t="str">
            <v>JY73</v>
          </cell>
          <cell r="C7091" t="str">
            <v>ซาติน แขนสั้นขาสั้น ชิโนริ พื้นกรม L ตัวโชว์</v>
          </cell>
        </row>
        <row r="7092">
          <cell r="A7092" t="str">
            <v>Y0073-XL</v>
          </cell>
          <cell r="B7092" t="str">
            <v>Y73</v>
          </cell>
          <cell r="C7092" t="str">
            <v>ซาติน แขนสั้นขาสั้น ชิโนริ พื้นกรม XL</v>
          </cell>
        </row>
        <row r="7093">
          <cell r="A7093" t="str">
            <v>Y0074-2XL</v>
          </cell>
          <cell r="B7093" t="str">
            <v>JY74</v>
          </cell>
          <cell r="C7093" t="str">
            <v>ซาติน แขนสั้นขาสั้น ลายเสือ พื้นเทา 2XL (กปก) ตัวโชว์</v>
          </cell>
        </row>
        <row r="7094">
          <cell r="A7094" t="str">
            <v>Y0074-L</v>
          </cell>
          <cell r="B7094" t="str">
            <v>Y74</v>
          </cell>
          <cell r="C7094" t="str">
            <v>ซาติน แขนสั้นขาสั้น ลายเสือ พื้นเทา L (กปก)</v>
          </cell>
        </row>
        <row r="7095">
          <cell r="A7095" t="str">
            <v>Y0074-XL</v>
          </cell>
          <cell r="B7095" t="str">
            <v>JY74</v>
          </cell>
          <cell r="C7095" t="str">
            <v>ซาติน แขนสั้นขาสั้น ลายเสือ พื้นเทา XL (กปก) ตัวโชว์</v>
          </cell>
        </row>
        <row r="7096">
          <cell r="A7096" t="str">
            <v>Y0075-2XL</v>
          </cell>
          <cell r="B7096" t="str">
            <v>Y75</v>
          </cell>
          <cell r="C7096" t="str">
            <v>เยื่อไผ่ แขนสั้นขายาว ตาราง ครีมดำ ผู้ชาย 2XL</v>
          </cell>
        </row>
        <row r="7097">
          <cell r="A7097" t="str">
            <v>Y0075-XL</v>
          </cell>
          <cell r="B7097" t="str">
            <v>Y75</v>
          </cell>
          <cell r="C7097" t="str">
            <v>เยื่อไผ่ แขนสั้นขายาว ตาราง ครีมดำ ผู้ชาย XL</v>
          </cell>
        </row>
        <row r="7098">
          <cell r="A7098" t="str">
            <v>Y0076-2XL</v>
          </cell>
          <cell r="B7098" t="str">
            <v>Y76</v>
          </cell>
          <cell r="C7098" t="str">
            <v>เยื่อไผ่ แขนสั้นขายาว ตาราง ครีมเขียว ผู้ชาย 2XL</v>
          </cell>
        </row>
        <row r="7099">
          <cell r="A7099" t="str">
            <v>Y0076-L</v>
          </cell>
          <cell r="B7099" t="str">
            <v>Y76</v>
          </cell>
          <cell r="C7099" t="str">
            <v>เยื่อไผ่ แขนสั้นขายาว ตาราง ครีมเขียว ผู้ชาย L</v>
          </cell>
        </row>
        <row r="7100">
          <cell r="A7100" t="str">
            <v>Y0076-XL</v>
          </cell>
          <cell r="B7100" t="str">
            <v>Y76</v>
          </cell>
          <cell r="C7100" t="str">
            <v>เยื่อไผ่ แขนสั้นขายาว ตาราง ครีมเขียว ผู้ชาย XL</v>
          </cell>
        </row>
        <row r="7101">
          <cell r="A7101" t="str">
            <v>Y0077-2XL</v>
          </cell>
          <cell r="B7101" t="str">
            <v>Y77</v>
          </cell>
          <cell r="C7101" t="str">
            <v>ซาติน แขนสั้นขาสั้น พื้นกรมล้วน ขอบขาว ผู้ชาย 2XL</v>
          </cell>
        </row>
        <row r="7102">
          <cell r="A7102" t="str">
            <v>Y0077-L</v>
          </cell>
          <cell r="B7102" t="str">
            <v>Y77</v>
          </cell>
          <cell r="C7102" t="str">
            <v>ซาติน แขนสั้นขาสั้น พื้นกรมล้วน ขอบขาว ผู้ชาย L</v>
          </cell>
        </row>
        <row r="7103">
          <cell r="A7103" t="str">
            <v>Y0077-M</v>
          </cell>
          <cell r="B7103" t="str">
            <v>Y77</v>
          </cell>
          <cell r="C7103" t="str">
            <v>ซาติน แขนสั้นขาสั้น พื้นกรมล้วน ขอบขาว ผู้ชาย M</v>
          </cell>
        </row>
        <row r="7104">
          <cell r="A7104" t="str">
            <v>Y0077-XL</v>
          </cell>
          <cell r="B7104" t="str">
            <v>Y77</v>
          </cell>
          <cell r="C7104" t="str">
            <v>ซาติน แขนสั้นขาสั้น พื้นกรมล้วน ขอบขาว ผู้ชาย XL</v>
          </cell>
        </row>
        <row r="7105">
          <cell r="A7105" t="str">
            <v>Y0078-2XL</v>
          </cell>
          <cell r="B7105" t="str">
            <v>JY78</v>
          </cell>
          <cell r="C7105" t="str">
            <v>เยื่อไผ่ แขนสั้นขาสี่ส่วน พื้นดำ กระเป๋าแพนด้า 2XL ตัวโชว์</v>
          </cell>
        </row>
        <row r="7106">
          <cell r="A7106" t="str">
            <v>Y0078-L</v>
          </cell>
          <cell r="B7106" t="str">
            <v>Y78</v>
          </cell>
          <cell r="C7106" t="str">
            <v>เยื่อไผ่ แขนสั้นขาสี่ส่วน พื้นดำ กระเป๋าแพนด้า L</v>
          </cell>
        </row>
        <row r="7107">
          <cell r="A7107" t="str">
            <v>Y0078-M</v>
          </cell>
          <cell r="B7107" t="str">
            <v>Y78</v>
          </cell>
          <cell r="C7107" t="str">
            <v>เยื่อไผ่ แขนสั้นขาสี่ส่วน พื้นดำ กระเป๋าแพนด้า M</v>
          </cell>
        </row>
        <row r="7108">
          <cell r="A7108" t="str">
            <v>Y0078-XL</v>
          </cell>
          <cell r="B7108" t="str">
            <v>BY78</v>
          </cell>
          <cell r="C7108" t="str">
            <v>เยื่อไผ่ แขนสั้นขาสี่ส่วน พื้นดำ กระเป๋าแพนด้า XL</v>
          </cell>
        </row>
        <row r="7109">
          <cell r="A7109" t="str">
            <v>Y0079-2XL</v>
          </cell>
          <cell r="B7109" t="str">
            <v>Y79</v>
          </cell>
          <cell r="C7109" t="str">
            <v>ซาติน แขนสั้นขายาว Totoro สีฟ้า ผช 2XL</v>
          </cell>
        </row>
        <row r="7110">
          <cell r="A7110" t="str">
            <v>Y0079-L</v>
          </cell>
          <cell r="B7110" t="str">
            <v>Y79</v>
          </cell>
          <cell r="C7110" t="str">
            <v>ซาติน แขนสั้นขายาว Totoro สีฟ้า ผช L</v>
          </cell>
        </row>
        <row r="7111">
          <cell r="A7111" t="str">
            <v>Y0079-M</v>
          </cell>
          <cell r="B7111" t="str">
            <v>Y79</v>
          </cell>
          <cell r="C7111" t="str">
            <v>ซาติน แขนสั้นขายาว Totoro สีฟ้า ผช M</v>
          </cell>
        </row>
        <row r="7112">
          <cell r="A7112" t="str">
            <v>Y0079-XL</v>
          </cell>
          <cell r="B7112" t="str">
            <v>Y79</v>
          </cell>
          <cell r="C7112" t="str">
            <v>ซาติน แขนสั้นขายาว Totoro สีฟ้า ผช XL</v>
          </cell>
        </row>
        <row r="7113">
          <cell r="A7113" t="str">
            <v>Y0080-2XL</v>
          </cell>
          <cell r="B7113" t="str">
            <v>Y80</v>
          </cell>
          <cell r="C7113" t="str">
            <v>ซาติน แขนสั้นขายาว พื้นกรม ลายทางขาว ผู้ชาย 2XL</v>
          </cell>
        </row>
        <row r="7114">
          <cell r="A7114" t="str">
            <v>Y0080-L</v>
          </cell>
          <cell r="B7114" t="str">
            <v>Y80</v>
          </cell>
          <cell r="C7114" t="str">
            <v>ซาติน แขนสั้นขายาว พื้นกรม ลายทางขาว ผู้ชาย L</v>
          </cell>
        </row>
        <row r="7115">
          <cell r="A7115" t="str">
            <v>Y0080-M</v>
          </cell>
          <cell r="B7115" t="str">
            <v>Y80</v>
          </cell>
          <cell r="C7115" t="str">
            <v>ซาติน แขนสั้นขายาว พื้นกรม ลายทางขาว ผู้ชาย M</v>
          </cell>
        </row>
        <row r="7116">
          <cell r="A7116" t="str">
            <v>Y0080-XL</v>
          </cell>
          <cell r="B7116" t="str">
            <v>Y80</v>
          </cell>
          <cell r="C7116" t="str">
            <v>ซาติน แขนสั้นขายาว พื้นกรม ลายทางขาว ผู้ชาย XL</v>
          </cell>
        </row>
        <row r="7117">
          <cell r="A7117" t="str">
            <v>Y0081-2XL</v>
          </cell>
          <cell r="B7117" t="str">
            <v>Y81</v>
          </cell>
          <cell r="C7117" t="str">
            <v>ซาติน แขนสั้นขายาว พื้นฟ้า ลายทางขาว ผู้ชาย 2XL</v>
          </cell>
        </row>
        <row r="7118">
          <cell r="A7118" t="str">
            <v>Y0081-L</v>
          </cell>
          <cell r="B7118" t="str">
            <v>Y81</v>
          </cell>
          <cell r="C7118" t="str">
            <v>ซาติน แขนสั้นขายาว พื้นฟ้า ลายทางขาว ผู้ชาย L</v>
          </cell>
        </row>
        <row r="7119">
          <cell r="A7119" t="str">
            <v>Y0081-M</v>
          </cell>
          <cell r="B7119" t="str">
            <v>Y81</v>
          </cell>
          <cell r="C7119" t="str">
            <v>ซาติน แขนสั้นขายาว พื้นฟ้า ลายทางขาว ผู้ชาย M</v>
          </cell>
        </row>
        <row r="7120">
          <cell r="A7120" t="str">
            <v>Y0081-XL</v>
          </cell>
          <cell r="B7120" t="str">
            <v>Y81</v>
          </cell>
          <cell r="C7120" t="str">
            <v>ซาติน แขนสั้นขายาว พื้นฟ้า ลายทางขาว ผู้ชาย XL</v>
          </cell>
        </row>
        <row r="7121">
          <cell r="A7121" t="str">
            <v>Y0082-2XL</v>
          </cell>
          <cell r="B7121" t="str">
            <v>Y82</v>
          </cell>
          <cell r="C7121" t="str">
            <v>ซาติน แขนสั้นขาสั้น พื้นฟ้า ลายทางขาว ผู้ชาย 2XL</v>
          </cell>
        </row>
        <row r="7122">
          <cell r="A7122" t="str">
            <v>Y0082-L</v>
          </cell>
          <cell r="B7122" t="str">
            <v>Y82</v>
          </cell>
          <cell r="C7122" t="str">
            <v>ซาติน แขนสั้นขาสั้น พื้นฟ้า ลายทางขาว ผู้ชาย L</v>
          </cell>
        </row>
        <row r="7123">
          <cell r="A7123" t="str">
            <v>Y0082-M</v>
          </cell>
          <cell r="B7123" t="str">
            <v>Y82</v>
          </cell>
          <cell r="C7123" t="str">
            <v>ซาติน แขนสั้นขาสั้น พื้นฟ้า ลายทางขาว ผู้ชาย M</v>
          </cell>
        </row>
        <row r="7124">
          <cell r="A7124" t="str">
            <v>Y0082-XL</v>
          </cell>
          <cell r="B7124" t="str">
            <v>Y82</v>
          </cell>
          <cell r="C7124" t="str">
            <v>ซาติน แขนสั้นขาสั้น พื้นฟ้า ลายทางขาว ผู้ชาย XL</v>
          </cell>
        </row>
        <row r="7125">
          <cell r="A7125" t="str">
            <v>Y0083-2XL</v>
          </cell>
          <cell r="B7125" t="str">
            <v>Y83</v>
          </cell>
          <cell r="C7125" t="str">
            <v>ซาติน แขนสั้นขาสั้น พื้นกรม ลายทางขาว ผู้ชาย 2XL</v>
          </cell>
        </row>
        <row r="7126">
          <cell r="A7126" t="str">
            <v>Y0083-L</v>
          </cell>
          <cell r="B7126" t="str">
            <v>Y83</v>
          </cell>
          <cell r="C7126" t="str">
            <v>ซาติน แขนสั้นขาสั้น พื้นกรม ลายทางขาว ผู้ชาย L</v>
          </cell>
        </row>
        <row r="7127">
          <cell r="A7127" t="str">
            <v>Y0083-M</v>
          </cell>
          <cell r="B7127" t="str">
            <v>Y83</v>
          </cell>
          <cell r="C7127" t="str">
            <v>ซาติน แขนสั้นขาสั้น พื้นกรม ลายทางขาว ผู้ชาย M</v>
          </cell>
        </row>
        <row r="7128">
          <cell r="A7128" t="str">
            <v>Y0083-XL</v>
          </cell>
          <cell r="B7128" t="str">
            <v>Y83</v>
          </cell>
          <cell r="C7128" t="str">
            <v>ซาติน แขนสั้นขาสั้น พื้นกรม ลายทางขาว ผู้ชาย XL</v>
          </cell>
        </row>
        <row r="7129">
          <cell r="A7129" t="str">
            <v>Y0084-L</v>
          </cell>
          <cell r="B7129" t="str">
            <v>Y84</v>
          </cell>
          <cell r="C7129" t="str">
            <v>ซาติน แขนยาวขายาว ลายทาง ขาว ดำ ผู้ชาย (กปก) L</v>
          </cell>
        </row>
        <row r="7130">
          <cell r="A7130" t="str">
            <v>Y0084-M</v>
          </cell>
          <cell r="B7130" t="str">
            <v>Y84</v>
          </cell>
          <cell r="C7130" t="str">
            <v>ซาติน แขนยาวขายาว ลายทาง ขาว ดำ ผู้ชาย (กปก) M</v>
          </cell>
        </row>
        <row r="7131">
          <cell r="A7131" t="str">
            <v>Y0084-XL</v>
          </cell>
          <cell r="B7131" t="str">
            <v>Y84</v>
          </cell>
          <cell r="C7131" t="str">
            <v>ซาติน แขนยาวขายาว ลายทาง ขาว ดำ ผู้ชาย (กปก) XL</v>
          </cell>
        </row>
        <row r="7132">
          <cell r="A7132" t="str">
            <v>Y0085-L</v>
          </cell>
          <cell r="B7132" t="str">
            <v>Y85</v>
          </cell>
          <cell r="C7132" t="str">
            <v>เยื่อไผ่ แขนยาวขายาว ลายทาง gloomy ผู้ชาย L</v>
          </cell>
        </row>
        <row r="7133">
          <cell r="A7133" t="str">
            <v>Y0085-XL</v>
          </cell>
          <cell r="B7133" t="str">
            <v>Y85</v>
          </cell>
          <cell r="C7133" t="str">
            <v>เยื่อไผ่ แขนยาวขายาว ลายทาง gloomy ผู้ชาย XL</v>
          </cell>
        </row>
        <row r="7134">
          <cell r="A7134" t="str">
            <v>Z0001-L</v>
          </cell>
          <cell r="B7134" t="str">
            <v>Z1</v>
          </cell>
          <cell r="C7134" t="str">
            <v>เท็นเซล แขนสั้นขาสั้น พื้นเหลืองครีม L</v>
          </cell>
        </row>
        <row r="7135">
          <cell r="A7135" t="str">
            <v>Z0001-M</v>
          </cell>
          <cell r="B7135" t="str">
            <v>Z1</v>
          </cell>
          <cell r="C7135" t="str">
            <v>เท็นเซล แขนสั้นขาสั้น พื้นเหลืองครีม M</v>
          </cell>
        </row>
        <row r="7136">
          <cell r="A7136" t="str">
            <v>Z0001-XL</v>
          </cell>
          <cell r="B7136" t="str">
            <v>Z1</v>
          </cell>
          <cell r="C7136" t="str">
            <v>เท็นเซล แขนสั้นขาสั้น พื้นเหลืองครีม XL</v>
          </cell>
        </row>
        <row r="7137">
          <cell r="A7137" t="str">
            <v>Z00010-2XL</v>
          </cell>
          <cell r="B7137" t="str">
            <v>Z10</v>
          </cell>
          <cell r="C7137" t="str">
            <v>เท็นเซล แขนสั้นขายาว พลุฟ้าชมพู ขอบทอง 2XL</v>
          </cell>
        </row>
        <row r="7138">
          <cell r="A7138" t="str">
            <v>Z00010-L</v>
          </cell>
          <cell r="B7138" t="str">
            <v>Z10</v>
          </cell>
          <cell r="C7138" t="str">
            <v>เท็นเซล  แขนสั้นขายาว พลุฟ้าชมพู ขอบทอง L</v>
          </cell>
        </row>
        <row r="7139">
          <cell r="A7139" t="str">
            <v>Z00010-M</v>
          </cell>
          <cell r="B7139" t="str">
            <v>Z10</v>
          </cell>
          <cell r="C7139" t="str">
            <v>เท็นเซล แขนสั้นขายาว พลุฟ้าชมพู ขอบทอง M</v>
          </cell>
        </row>
        <row r="7140">
          <cell r="A7140" t="str">
            <v>Z00010-XL</v>
          </cell>
          <cell r="B7140" t="str">
            <v>Z10</v>
          </cell>
          <cell r="C7140" t="str">
            <v>เท็นเซล แขนสั้นขายาว พลุฟ้าชมพู ขอบทอง XL</v>
          </cell>
        </row>
        <row r="7141">
          <cell r="A7141" t="str">
            <v>Z0002-L</v>
          </cell>
          <cell r="B7141" t="str">
            <v>Z2</v>
          </cell>
          <cell r="C7141" t="str">
            <v>เท็นเซล แขนสั้นขาสั้น พื้นชมพู L</v>
          </cell>
        </row>
        <row r="7142">
          <cell r="A7142" t="str">
            <v>Z0002-M</v>
          </cell>
          <cell r="B7142" t="str">
            <v>Z2</v>
          </cell>
          <cell r="C7142" t="str">
            <v>เท็นเซล แขนสั้นขาสั้น พื้นชมพู M</v>
          </cell>
        </row>
        <row r="7143">
          <cell r="A7143" t="str">
            <v>Z0002-XL</v>
          </cell>
          <cell r="B7143" t="str">
            <v>Z2</v>
          </cell>
          <cell r="C7143" t="str">
            <v>เท็นเซล แขนสั้นขาสั้น พื้นชมพู XL</v>
          </cell>
        </row>
        <row r="7144">
          <cell r="A7144" t="str">
            <v>Z0003-L</v>
          </cell>
          <cell r="B7144" t="str">
            <v>Z3</v>
          </cell>
          <cell r="C7144" t="str">
            <v>เท็นเซล แขนสั้นขาสั้น พื้นครีม L</v>
          </cell>
        </row>
        <row r="7145">
          <cell r="A7145" t="str">
            <v>Z0003-M</v>
          </cell>
          <cell r="B7145" t="str">
            <v>Z3</v>
          </cell>
          <cell r="C7145" t="str">
            <v>เท็นเซล แขนสั้นขาสั้น พื้นครีม M</v>
          </cell>
        </row>
        <row r="7146">
          <cell r="A7146" t="str">
            <v>Z0003-XL</v>
          </cell>
          <cell r="B7146" t="str">
            <v>Z3</v>
          </cell>
          <cell r="C7146" t="str">
            <v>เท็นเซล แขนสั้นขาสั้น พื้นครีม XL</v>
          </cell>
        </row>
        <row r="7147">
          <cell r="A7147" t="str">
            <v>Z0004-M</v>
          </cell>
          <cell r="B7147" t="str">
            <v>ก6</v>
          </cell>
          <cell r="C7147" t="str">
            <v>Z0004-M</v>
          </cell>
        </row>
        <row r="7148">
          <cell r="A7148" t="str">
            <v>Z0005-L</v>
          </cell>
          <cell r="B7148" t="str">
            <v>Z5</v>
          </cell>
          <cell r="C7148" t="str">
            <v>เท็นเซล แขนสั้นขาสั้น ชมพู ลายทาง L</v>
          </cell>
        </row>
        <row r="7149">
          <cell r="A7149" t="str">
            <v>Z0005-M</v>
          </cell>
          <cell r="B7149" t="str">
            <v>Z5</v>
          </cell>
          <cell r="C7149" t="str">
            <v>เท็นเซล แขนสั้นขาสั้น ชมพู ลายทาง M</v>
          </cell>
        </row>
        <row r="7150">
          <cell r="A7150" t="str">
            <v>Z0006-2XL</v>
          </cell>
          <cell r="B7150" t="str">
            <v>Z6</v>
          </cell>
          <cell r="C7150" t="str">
            <v>เท็นเซล แขนสั้นขายาว brown bear พื้นขาว 2XL</v>
          </cell>
        </row>
        <row r="7151">
          <cell r="A7151" t="str">
            <v>Z0006-L</v>
          </cell>
          <cell r="B7151" t="str">
            <v>Z6</v>
          </cell>
          <cell r="C7151" t="str">
            <v>เท็นเซล แขนสั้นขายาว brown bear พื้นขาว L</v>
          </cell>
        </row>
        <row r="7152">
          <cell r="A7152" t="str">
            <v>Z0006-M</v>
          </cell>
          <cell r="B7152" t="str">
            <v>Z6</v>
          </cell>
          <cell r="C7152" t="str">
            <v>เท็นเซล แขนสั้นขายาว brown bear พื้นขาว M</v>
          </cell>
        </row>
        <row r="7153">
          <cell r="A7153" t="str">
            <v>Z0006-XL</v>
          </cell>
          <cell r="B7153" t="str">
            <v>Z6</v>
          </cell>
          <cell r="C7153" t="str">
            <v>เท็นเซล แขนสั้นขายาว brown bear พื้นขาว XL</v>
          </cell>
        </row>
        <row r="7154">
          <cell r="A7154" t="str">
            <v>Z0007-2XL</v>
          </cell>
          <cell r="B7154" t="str">
            <v>Z7</v>
          </cell>
          <cell r="C7154" t="str">
            <v>เท็นเซล แขนสั้นขายาว ดอกอัญชันฟ้า ขอบเขียว พื้นขาว 2XL</v>
          </cell>
        </row>
        <row r="7155">
          <cell r="A7155" t="str">
            <v>Z0007-L</v>
          </cell>
          <cell r="B7155" t="str">
            <v>Z7</v>
          </cell>
          <cell r="C7155" t="str">
            <v>เท็นเซล แขนสั้นขายาว ดอกอัญชันฟ้า ขอบเขียว พื้นขาว L</v>
          </cell>
        </row>
        <row r="7156">
          <cell r="A7156" t="str">
            <v>Z0007-M</v>
          </cell>
          <cell r="B7156" t="str">
            <v>Z7</v>
          </cell>
          <cell r="C7156" t="str">
            <v>เท็นเซล แขนสั้นขายาว ดอกอัญชันฟ้า ขอบเขียว พื้นขาว M</v>
          </cell>
        </row>
        <row r="7157">
          <cell r="A7157" t="str">
            <v>Z0007-XL</v>
          </cell>
          <cell r="B7157" t="str">
            <v>Z7</v>
          </cell>
          <cell r="C7157" t="str">
            <v>เท็นเซล แขนสั้นขายาว ดอกอัญชันฟ้า ขอบเขียว พื้นขาว XL</v>
          </cell>
        </row>
        <row r="7158">
          <cell r="A7158" t="str">
            <v>Z0008-2XL</v>
          </cell>
          <cell r="B7158" t="str">
            <v>Z8</v>
          </cell>
          <cell r="C7158" t="str">
            <v>เท็นเซล แขนสั้นขาสั้น แกะ ขอบน้ำตาล พื้นขาว  2XL</v>
          </cell>
        </row>
        <row r="7159">
          <cell r="A7159" t="str">
            <v>Z0008-L</v>
          </cell>
          <cell r="B7159" t="str">
            <v>Z8</v>
          </cell>
          <cell r="C7159" t="str">
            <v>เท็นเซล แขนสั้นขาสั้น แกะ ขอบน้ำตาล พื้นขาว  L</v>
          </cell>
        </row>
        <row r="7160">
          <cell r="A7160" t="str">
            <v>Z0008-M</v>
          </cell>
          <cell r="B7160" t="str">
            <v>Z8</v>
          </cell>
          <cell r="C7160" t="str">
            <v>เท็นเซล แขนสั้นขาสั้น แกะ ขอบน้ำตาล พื้นขาว  M</v>
          </cell>
        </row>
        <row r="7161">
          <cell r="A7161" t="str">
            <v>Z0008-XL</v>
          </cell>
          <cell r="B7161" t="str">
            <v>Z8</v>
          </cell>
          <cell r="C7161" t="str">
            <v>เท็นเซล แขนสั้นขาสั้น แกะ ขอบน้ำตาล พื้นขาว  XL</v>
          </cell>
        </row>
        <row r="7162">
          <cell r="A7162" t="str">
            <v>Z0009-2XL</v>
          </cell>
          <cell r="B7162" t="str">
            <v>Z9</v>
          </cell>
          <cell r="C7162" t="str">
            <v>เท็นเซล แขนสั้นขายาว พลุเหลืองเทาม่วง ขอบทอง 2XL</v>
          </cell>
        </row>
        <row r="7163">
          <cell r="A7163" t="str">
            <v>Z0009-L</v>
          </cell>
          <cell r="B7163" t="str">
            <v>Z9</v>
          </cell>
          <cell r="C7163" t="str">
            <v>เท็นเซล แขนสั้นขายาว พลุเหลืองเทาม่วง ขอบทอง L</v>
          </cell>
        </row>
        <row r="7164">
          <cell r="A7164" t="str">
            <v>Z0009-M</v>
          </cell>
          <cell r="B7164" t="str">
            <v>Z9</v>
          </cell>
          <cell r="C7164" t="str">
            <v>เท็นเซล แขนสั้นขายาว พลุเหลืองเทาม่วง ขอบทอง M</v>
          </cell>
        </row>
        <row r="7165">
          <cell r="A7165" t="str">
            <v>Z0009-XL</v>
          </cell>
          <cell r="B7165" t="str">
            <v>Z9</v>
          </cell>
          <cell r="C7165" t="str">
            <v>เท็นเซล แขนสั้นขายาว พลุเหลืองเทาม่วง ขอบทอง XL</v>
          </cell>
        </row>
        <row r="7166">
          <cell r="A7166" t="str">
            <v>Z0010-2XL</v>
          </cell>
          <cell r="B7166" t="str">
            <v>Z10</v>
          </cell>
          <cell r="C7166" t="str">
            <v>เท็นเซล แขนสั้นขายาว พลุฟ้าชมพู ขอบทอง 2XL</v>
          </cell>
        </row>
        <row r="7167">
          <cell r="A7167" t="str">
            <v>Z0010-L</v>
          </cell>
          <cell r="B7167" t="str">
            <v>Z10</v>
          </cell>
          <cell r="C7167" t="str">
            <v>เท็นเซล  แขนสั้นขายาว พลุฟ้าชมพู ขอบทอง L</v>
          </cell>
        </row>
        <row r="7168">
          <cell r="A7168" t="str">
            <v>Z0010-M</v>
          </cell>
          <cell r="B7168" t="str">
            <v>Z10</v>
          </cell>
          <cell r="C7168" t="str">
            <v>เท็นเซล แขนสั้นขายาว พลุฟ้าชมพู ขอบทอง M</v>
          </cell>
        </row>
        <row r="7169">
          <cell r="A7169" t="str">
            <v>Z0010-XL</v>
          </cell>
          <cell r="B7169" t="str">
            <v>Z10</v>
          </cell>
          <cell r="C7169" t="str">
            <v>เท็นเซล แขนสั้นขายาว พลุฟ้าชมพู ขอบทอง XL</v>
          </cell>
        </row>
        <row r="7170">
          <cell r="A7170" t="str">
            <v>sp0433-xl</v>
          </cell>
          <cell r="B7170" t="str">
            <v>p433</v>
          </cell>
        </row>
        <row r="7171">
          <cell r="A7171" t="str">
            <v>ช1-M</v>
          </cell>
          <cell r="B7171" t="str">
            <v>ช1</v>
          </cell>
          <cell r="C7171" t="str">
            <v>ซาติน แขนสั้นขาสั้น ช1-M</v>
          </cell>
        </row>
        <row r="7172">
          <cell r="A7172" t="str">
            <v>ช2-M</v>
          </cell>
          <cell r="B7172" t="str">
            <v>ช2</v>
          </cell>
          <cell r="C7172" t="str">
            <v>ซาติน แขนสั้นขาสั้น ช2-M</v>
          </cell>
        </row>
        <row r="7173">
          <cell r="A7173" t="str">
            <v>ช3-M</v>
          </cell>
          <cell r="B7173" t="str">
            <v>ช3</v>
          </cell>
          <cell r="C7173" t="str">
            <v>ซาติน แขนสั้นขาสั้น ช3-M</v>
          </cell>
        </row>
        <row r="7174">
          <cell r="A7174" t="str">
            <v>ช4-M</v>
          </cell>
          <cell r="B7174" t="str">
            <v>ช4</v>
          </cell>
          <cell r="C7174" t="str">
            <v>ซาติน แขนสั้นขาสั้น ช4-M</v>
          </cell>
        </row>
        <row r="7175">
          <cell r="A7175" t="str">
            <v>ช5-M</v>
          </cell>
          <cell r="B7175" t="str">
            <v>ช5</v>
          </cell>
          <cell r="C7175" t="str">
            <v>ซาติน แขนสั้นขาสั้น ช5-M</v>
          </cell>
        </row>
        <row r="7176">
          <cell r="A7176" t="str">
            <v>ช6-L</v>
          </cell>
          <cell r="B7176" t="str">
            <v>ช6</v>
          </cell>
          <cell r="C7176" t="str">
            <v>ซาติน แขนสั้นขาสั้น ช6-L</v>
          </cell>
        </row>
        <row r="7177">
          <cell r="A7177" t="str">
            <v>ช7-M</v>
          </cell>
          <cell r="B7177" t="str">
            <v>ช7</v>
          </cell>
          <cell r="C7177" t="str">
            <v>ซาติน แขนสั้นขาสั้น ช7-M</v>
          </cell>
        </row>
        <row r="7178">
          <cell r="A7178" t="str">
            <v>ช8-M</v>
          </cell>
          <cell r="B7178" t="str">
            <v>ช8</v>
          </cell>
          <cell r="C7178" t="str">
            <v>ซาติน แขนสั้นขาสั้น ช8-M</v>
          </cell>
        </row>
        <row r="7179">
          <cell r="A7179" t="str">
            <v>ช9-M</v>
          </cell>
          <cell r="B7179" t="str">
            <v>ช9</v>
          </cell>
          <cell r="C7179" t="str">
            <v>ซาติน แขนสั้นขาสั้น ช9-M</v>
          </cell>
        </row>
        <row r="7180">
          <cell r="A7180" t="str">
            <v>ช10-M</v>
          </cell>
          <cell r="B7180" t="str">
            <v>ช10</v>
          </cell>
          <cell r="C7180" t="str">
            <v>ซาติน แขนสั้นขาสั้น ช10-M</v>
          </cell>
        </row>
        <row r="7181">
          <cell r="A7181" t="str">
            <v>ช11-L</v>
          </cell>
          <cell r="B7181" t="str">
            <v>ช11</v>
          </cell>
          <cell r="C7181" t="str">
            <v>ซาติน แขนสั้นขาสั้น ช11-L</v>
          </cell>
        </row>
        <row r="7182">
          <cell r="A7182" t="str">
            <v>ช12-L</v>
          </cell>
          <cell r="B7182" t="str">
            <v>ช12</v>
          </cell>
          <cell r="C7182" t="str">
            <v>ซาติน แขนสั้นขาสั้น ช12-L</v>
          </cell>
        </row>
        <row r="7183">
          <cell r="A7183" t="str">
            <v>ช13-M</v>
          </cell>
          <cell r="B7183" t="str">
            <v>ช13</v>
          </cell>
          <cell r="C7183" t="str">
            <v>ซาติน แขนสั้นขาสั้น ช13-M</v>
          </cell>
        </row>
        <row r="7184">
          <cell r="A7184" t="str">
            <v>ช14-M</v>
          </cell>
          <cell r="B7184" t="str">
            <v>ช14</v>
          </cell>
          <cell r="C7184" t="str">
            <v>ซาติน แขนสั้นขาสั้น ช14-M</v>
          </cell>
        </row>
        <row r="7185">
          <cell r="A7185" t="str">
            <v>ช15-M</v>
          </cell>
          <cell r="B7185" t="str">
            <v>ช15</v>
          </cell>
          <cell r="C7185" t="str">
            <v>ซาติน แขนสั้นขาสั้น ช15-M</v>
          </cell>
        </row>
        <row r="7186">
          <cell r="A7186" t="str">
            <v>ช16-M</v>
          </cell>
          <cell r="B7186" t="str">
            <v>ช16</v>
          </cell>
          <cell r="C7186" t="str">
            <v>ซาติน แขนสั้นขาสั้น ช16-M</v>
          </cell>
        </row>
        <row r="7187">
          <cell r="A7187" t="str">
            <v>ช17-L</v>
          </cell>
          <cell r="B7187" t="str">
            <v>ช17</v>
          </cell>
          <cell r="C7187" t="str">
            <v>ซาติน แขนสั้นขาสั้น ช17-L</v>
          </cell>
        </row>
        <row r="7188">
          <cell r="A7188" t="str">
            <v>ช18-M</v>
          </cell>
          <cell r="B7188" t="str">
            <v>ช18</v>
          </cell>
          <cell r="C7188" t="str">
            <v>ซาติน แขนสั้นขาสั้น ช18-M</v>
          </cell>
        </row>
        <row r="7189">
          <cell r="A7189" t="str">
            <v>ช19-M</v>
          </cell>
          <cell r="B7189" t="str">
            <v>ช19</v>
          </cell>
          <cell r="C7189" t="str">
            <v>ซาติน แขนสั้นขาสั้น ช19-M</v>
          </cell>
        </row>
        <row r="7190">
          <cell r="A7190" t="str">
            <v>ช20-L</v>
          </cell>
          <cell r="B7190" t="str">
            <v>ช20</v>
          </cell>
          <cell r="C7190" t="str">
            <v>ซาติน แขนสั้นขาสั้น ช20-L</v>
          </cell>
        </row>
        <row r="7191">
          <cell r="A7191" t="str">
            <v>ช21-M</v>
          </cell>
          <cell r="B7191" t="str">
            <v>ช21</v>
          </cell>
          <cell r="C7191" t="str">
            <v>ซาติน แขนสั้นขาสั้น ช21-M</v>
          </cell>
        </row>
        <row r="7192">
          <cell r="A7192" t="str">
            <v>ช22-M</v>
          </cell>
          <cell r="B7192" t="str">
            <v>ช22</v>
          </cell>
          <cell r="C7192" t="str">
            <v>ซาติน แขนสั้นขาสั้น ช22-M</v>
          </cell>
        </row>
        <row r="7193">
          <cell r="A7193" t="str">
            <v>ช23-L</v>
          </cell>
          <cell r="B7193" t="str">
            <v>ช23</v>
          </cell>
          <cell r="C7193" t="str">
            <v>ซาติน แขนสั้นขาสั้น ช23-L</v>
          </cell>
        </row>
        <row r="7194">
          <cell r="A7194" t="str">
            <v>ช24-M</v>
          </cell>
          <cell r="B7194" t="str">
            <v>ช24</v>
          </cell>
          <cell r="C7194" t="str">
            <v>ซาติน แขนสั้นขาสั้น ช24-M</v>
          </cell>
        </row>
        <row r="7195">
          <cell r="A7195" t="str">
            <v>ช25-M</v>
          </cell>
          <cell r="B7195" t="str">
            <v>ช25</v>
          </cell>
          <cell r="C7195" t="str">
            <v>ซาติน แขนสั้นขาสั้น ช25-M</v>
          </cell>
        </row>
        <row r="7196">
          <cell r="A7196" t="str">
            <v>ช26-M</v>
          </cell>
          <cell r="B7196" t="str">
            <v>ช26</v>
          </cell>
          <cell r="C7196" t="str">
            <v>ซาติน แขนสั้นขาสั้น ช26-M</v>
          </cell>
        </row>
        <row r="7197">
          <cell r="A7197" t="str">
            <v>ช27-L</v>
          </cell>
          <cell r="B7197" t="str">
            <v>ช27</v>
          </cell>
          <cell r="C7197" t="str">
            <v>ซาติน แขนสั้นขาสั้น ช27-L</v>
          </cell>
        </row>
        <row r="7198">
          <cell r="A7198" t="str">
            <v>ช28-L</v>
          </cell>
          <cell r="B7198" t="str">
            <v>ช28</v>
          </cell>
          <cell r="C7198" t="str">
            <v>ซาติน แขนสั้นขาสั้น ช28-L</v>
          </cell>
        </row>
        <row r="7199">
          <cell r="A7199" t="str">
            <v>ช29-L</v>
          </cell>
          <cell r="B7199" t="str">
            <v>ช29</v>
          </cell>
          <cell r="C7199" t="str">
            <v>ซาติน แขนสั้นขาสั้น ช29-L</v>
          </cell>
        </row>
        <row r="7200">
          <cell r="A7200" t="str">
            <v>ช30-M</v>
          </cell>
          <cell r="B7200" t="str">
            <v>ช30</v>
          </cell>
          <cell r="C7200" t="str">
            <v>ซาติน แขนสั้นขาสั้น ช30-M</v>
          </cell>
        </row>
        <row r="7201">
          <cell r="A7201" t="str">
            <v>ช31-M</v>
          </cell>
          <cell r="B7201" t="str">
            <v>ช31</v>
          </cell>
          <cell r="C7201" t="str">
            <v>ซาติน แขนสั้นขาสั้น ช31-M</v>
          </cell>
        </row>
        <row r="7202">
          <cell r="A7202" t="str">
            <v>ช32-M</v>
          </cell>
          <cell r="B7202" t="str">
            <v>ช32</v>
          </cell>
          <cell r="C7202" t="str">
            <v>ซาติน แขนสั้นขาสั้น ช32-M</v>
          </cell>
        </row>
        <row r="7203">
          <cell r="A7203" t="str">
            <v>ช33-M</v>
          </cell>
          <cell r="B7203" t="str">
            <v>ช33</v>
          </cell>
          <cell r="C7203" t="str">
            <v>ซาติน แขนสั้นขาสั้น ช33-M</v>
          </cell>
        </row>
        <row r="7204">
          <cell r="A7204" t="str">
            <v>ช34-M</v>
          </cell>
          <cell r="B7204" t="str">
            <v>ช34</v>
          </cell>
          <cell r="C7204" t="str">
            <v>ซาติน แขนสั้นขาสั้น ช34-M</v>
          </cell>
        </row>
        <row r="7205">
          <cell r="A7205" t="str">
            <v>ช35-M</v>
          </cell>
          <cell r="B7205" t="str">
            <v>ช35</v>
          </cell>
          <cell r="C7205" t="str">
            <v>ซาติน แขนสั้นขาสั้น ช35-M</v>
          </cell>
        </row>
        <row r="7206">
          <cell r="A7206" t="str">
            <v>ช36-L</v>
          </cell>
          <cell r="B7206" t="str">
            <v>ช36</v>
          </cell>
          <cell r="C7206" t="str">
            <v>ซาติน แขนสั้นขาสั้น ช36-L</v>
          </cell>
        </row>
        <row r="7207">
          <cell r="A7207" t="str">
            <v>ช37-L</v>
          </cell>
          <cell r="B7207" t="str">
            <v>ช37</v>
          </cell>
          <cell r="C7207" t="str">
            <v>ซาติน แขนสั้นขาสั้น ช37-L</v>
          </cell>
        </row>
        <row r="7208">
          <cell r="A7208" t="str">
            <v>ช38-M</v>
          </cell>
          <cell r="B7208" t="str">
            <v>ช38</v>
          </cell>
          <cell r="C7208" t="str">
            <v>ช38-M</v>
          </cell>
        </row>
        <row r="7209">
          <cell r="A7209" t="str">
            <v>ช39-L</v>
          </cell>
          <cell r="B7209" t="str">
            <v>ช39</v>
          </cell>
          <cell r="C7209" t="str">
            <v>ซาติน แขนสั้นขาสั้น ช39-L</v>
          </cell>
        </row>
        <row r="7210">
          <cell r="A7210" t="str">
            <v>ช40-M</v>
          </cell>
          <cell r="B7210" t="str">
            <v>ช40</v>
          </cell>
          <cell r="C7210" t="str">
            <v>ซาติน แขนสั้นขาสั้น ช40-M</v>
          </cell>
        </row>
        <row r="7211">
          <cell r="A7211" t="str">
            <v>ช41-M</v>
          </cell>
          <cell r="B7211" t="str">
            <v>ช41</v>
          </cell>
          <cell r="C7211" t="str">
            <v>ซาติน แขนสั้นขาสั้น ช41-M</v>
          </cell>
        </row>
        <row r="7212">
          <cell r="A7212" t="str">
            <v>ช42-M</v>
          </cell>
          <cell r="B7212" t="str">
            <v>ช42</v>
          </cell>
          <cell r="C7212" t="str">
            <v>ซาติน แขนสั้นขาสั้น ช42-M</v>
          </cell>
        </row>
        <row r="7213">
          <cell r="A7213" t="str">
            <v>ช43-M</v>
          </cell>
          <cell r="B7213" t="str">
            <v>ช43</v>
          </cell>
          <cell r="C7213" t="str">
            <v>ซาติน แขนสั้นขาสั้น ช43-M</v>
          </cell>
        </row>
        <row r="7214">
          <cell r="A7214" t="str">
            <v>ช44-M</v>
          </cell>
          <cell r="B7214" t="str">
            <v>ช44</v>
          </cell>
          <cell r="C7214" t="str">
            <v>ซาติน แขนสั้นขาสั้น ช44-M</v>
          </cell>
        </row>
        <row r="7215">
          <cell r="A7215" t="str">
            <v>ช45-L</v>
          </cell>
          <cell r="B7215" t="str">
            <v>ช45</v>
          </cell>
          <cell r="C7215" t="str">
            <v>ซาติน แขนสั้นขาสั้น ช45-L</v>
          </cell>
        </row>
        <row r="7216">
          <cell r="A7216" t="str">
            <v>ช46-M</v>
          </cell>
          <cell r="B7216" t="str">
            <v>ช46</v>
          </cell>
          <cell r="C7216" t="str">
            <v>ซาติน แขนสั้นขาสั้น ช46-M</v>
          </cell>
        </row>
        <row r="7217">
          <cell r="A7217" t="str">
            <v>ช47-M</v>
          </cell>
          <cell r="B7217" t="str">
            <v>ช47</v>
          </cell>
          <cell r="C7217" t="str">
            <v>ซาติน แขนสั้นขาสั้น ช47-M</v>
          </cell>
        </row>
        <row r="7218">
          <cell r="A7218" t="str">
            <v>ช48-M</v>
          </cell>
          <cell r="B7218" t="str">
            <v>ช48</v>
          </cell>
          <cell r="C7218" t="str">
            <v>ซาติน แขนสั้นขาสั้น ช48-M</v>
          </cell>
        </row>
        <row r="7219">
          <cell r="A7219" t="str">
            <v>ช49-L</v>
          </cell>
          <cell r="B7219" t="str">
            <v>ช49</v>
          </cell>
          <cell r="C7219" t="str">
            <v>ซาติน แขนสั้นขาสั้น ช49-L</v>
          </cell>
        </row>
        <row r="7220">
          <cell r="A7220" t="str">
            <v>ช50-M</v>
          </cell>
          <cell r="B7220" t="str">
            <v>ช50</v>
          </cell>
          <cell r="C7220" t="str">
            <v>ซาติน แขนสั้นขาสั้น ช50-M</v>
          </cell>
        </row>
        <row r="7221">
          <cell r="A7221" t="str">
            <v>ช51-M</v>
          </cell>
          <cell r="B7221" t="str">
            <v>ช51</v>
          </cell>
          <cell r="C7221" t="str">
            <v>ซาติน แขนสั้นขาสั้น ช51-M</v>
          </cell>
        </row>
        <row r="7222">
          <cell r="A7222" t="str">
            <v>ช52-L</v>
          </cell>
          <cell r="B7222" t="str">
            <v>ช52</v>
          </cell>
          <cell r="C7222" t="str">
            <v>ซาติน แขนสั้นขาสั้น ช52-L</v>
          </cell>
        </row>
        <row r="7223">
          <cell r="A7223" t="str">
            <v>ช53-L</v>
          </cell>
          <cell r="B7223" t="str">
            <v>ช53</v>
          </cell>
          <cell r="C7223" t="str">
            <v>ซาติน แขนสั้นขาสั้น ช53-L</v>
          </cell>
        </row>
        <row r="7224">
          <cell r="A7224" t="str">
            <v>ช54-M</v>
          </cell>
          <cell r="B7224" t="str">
            <v>ช54</v>
          </cell>
          <cell r="C7224" t="str">
            <v>ซาติน แขนสั้นขาสั้น ช54-M</v>
          </cell>
        </row>
        <row r="7225">
          <cell r="A7225" t="str">
            <v>ช55-M</v>
          </cell>
          <cell r="B7225" t="str">
            <v>ช55</v>
          </cell>
          <cell r="C7225" t="str">
            <v>ซาติน แขนสั้นขาสั้น ช55-M</v>
          </cell>
        </row>
        <row r="7226">
          <cell r="A7226" t="str">
            <v>ช56-M</v>
          </cell>
          <cell r="B7226" t="str">
            <v>ช56</v>
          </cell>
          <cell r="C7226" t="str">
            <v>ซาติน แขนสั้นขาสั้น ช56-M</v>
          </cell>
        </row>
        <row r="7227">
          <cell r="A7227" t="str">
            <v>ช57-M</v>
          </cell>
          <cell r="B7227" t="str">
            <v>ช57</v>
          </cell>
          <cell r="C7227" t="str">
            <v>ซาติน แขนสั้นขาสั้น ช57-M</v>
          </cell>
        </row>
        <row r="7228">
          <cell r="A7228" t="str">
            <v>ช58-M</v>
          </cell>
          <cell r="B7228" t="str">
            <v>ช58</v>
          </cell>
          <cell r="C7228" t="str">
            <v>ซาติน แขนสั้นขาสั้น ช58-M</v>
          </cell>
        </row>
        <row r="7229">
          <cell r="A7229" t="str">
            <v>ช59-M</v>
          </cell>
          <cell r="B7229" t="str">
            <v>ช59</v>
          </cell>
          <cell r="C7229" t="str">
            <v>ซาติน แขนสั้นขาสั้น ช59-M</v>
          </cell>
        </row>
        <row r="7230">
          <cell r="A7230" t="str">
            <v>ช60-M</v>
          </cell>
          <cell r="B7230" t="str">
            <v>ช60</v>
          </cell>
          <cell r="C7230" t="str">
            <v>ซาติน แขนสั้นขาสั้น ช60-M</v>
          </cell>
        </row>
        <row r="7231">
          <cell r="A7231" t="str">
            <v>ช61-M</v>
          </cell>
          <cell r="B7231" t="str">
            <v>ช61</v>
          </cell>
          <cell r="C7231" t="str">
            <v>ซาติน แขนสั้นขาสั้น ช61-M</v>
          </cell>
        </row>
        <row r="7232">
          <cell r="A7232" t="str">
            <v>ช62-M</v>
          </cell>
          <cell r="B7232" t="str">
            <v>ช62</v>
          </cell>
          <cell r="C7232" t="str">
            <v>ซาติน แขนสั้นขาสั้น ช62-M</v>
          </cell>
        </row>
        <row r="7233">
          <cell r="A7233" t="str">
            <v>ช63-M</v>
          </cell>
          <cell r="B7233" t="str">
            <v>ช63</v>
          </cell>
          <cell r="C7233" t="str">
            <v>ซาติน แขนสั้นขาสั้น ช63-M</v>
          </cell>
        </row>
        <row r="7234">
          <cell r="A7234" t="str">
            <v>ช64-M</v>
          </cell>
          <cell r="B7234" t="str">
            <v>ช64</v>
          </cell>
          <cell r="C7234" t="str">
            <v>ซาติน แขนสั้นขาสั้น ช64-M</v>
          </cell>
        </row>
        <row r="7235">
          <cell r="A7235" t="str">
            <v>ช65-M</v>
          </cell>
          <cell r="B7235" t="str">
            <v>ช65</v>
          </cell>
          <cell r="C7235" t="str">
            <v>ซาติน แขนสั้นขาสั้น ช65-M</v>
          </cell>
        </row>
        <row r="7236">
          <cell r="A7236" t="str">
            <v>ช66-L</v>
          </cell>
          <cell r="B7236" t="str">
            <v>ช66</v>
          </cell>
          <cell r="C7236" t="str">
            <v>ซาติน แขนสั้นขาสั้น ช66-L</v>
          </cell>
        </row>
        <row r="7237">
          <cell r="A7237" t="str">
            <v>ช67-L</v>
          </cell>
          <cell r="B7237" t="str">
            <v>ช67</v>
          </cell>
          <cell r="C7237" t="str">
            <v>ซาติน แขนสั้นขาสั้น ช67-L</v>
          </cell>
        </row>
        <row r="7238">
          <cell r="A7238" t="str">
            <v>ช68-L</v>
          </cell>
          <cell r="B7238" t="str">
            <v>ช68</v>
          </cell>
          <cell r="C7238" t="str">
            <v>ซาติน แขนสั้นขาสั้น ช68-L</v>
          </cell>
        </row>
        <row r="7239">
          <cell r="A7239" t="str">
            <v>ช69-L</v>
          </cell>
          <cell r="B7239" t="str">
            <v>ช69</v>
          </cell>
          <cell r="C7239" t="str">
            <v>ซาติน แขนสั้นขาสั้น ช69-L</v>
          </cell>
        </row>
        <row r="7240">
          <cell r="A7240" t="str">
            <v>ช70-M</v>
          </cell>
          <cell r="B7240" t="str">
            <v>ช70</v>
          </cell>
          <cell r="C7240" t="str">
            <v>ซาติน แขนสั้นขาสั้น ช70-M</v>
          </cell>
        </row>
        <row r="7241">
          <cell r="A7241" t="str">
            <v>ช71-L</v>
          </cell>
          <cell r="B7241" t="str">
            <v>ช71</v>
          </cell>
          <cell r="C7241" t="str">
            <v>ซาติน แขนสั้นขาสั้น ช71-L</v>
          </cell>
        </row>
        <row r="7242">
          <cell r="A7242" t="str">
            <v>ช72-M</v>
          </cell>
          <cell r="B7242" t="str">
            <v>ช72</v>
          </cell>
          <cell r="C7242" t="str">
            <v>ซาติน แขนสั้นขาสั้น ช72-M</v>
          </cell>
        </row>
        <row r="7243">
          <cell r="A7243" t="str">
            <v>ช73-L</v>
          </cell>
          <cell r="B7243" t="str">
            <v>ช73</v>
          </cell>
          <cell r="C7243" t="str">
            <v>ซาติน แขนสั้นขาสั้น ช73-L</v>
          </cell>
        </row>
        <row r="7244">
          <cell r="A7244" t="str">
            <v>ช74-M</v>
          </cell>
          <cell r="B7244" t="str">
            <v>ช74</v>
          </cell>
          <cell r="C7244" t="str">
            <v>ซาติน แขนสั้นขาสั้น ช74-M</v>
          </cell>
        </row>
        <row r="7245">
          <cell r="A7245" t="str">
            <v>ช75-M</v>
          </cell>
          <cell r="B7245" t="str">
            <v>ช75</v>
          </cell>
          <cell r="C7245" t="str">
            <v>ซาติน แขนสั้นขาสั้น ช75-M</v>
          </cell>
        </row>
        <row r="7246">
          <cell r="A7246" t="str">
            <v>ช76-L</v>
          </cell>
          <cell r="B7246" t="str">
            <v>ช76</v>
          </cell>
          <cell r="C7246" t="str">
            <v>ซาติน แขนสั้นขาสั้น ช76-L</v>
          </cell>
        </row>
        <row r="7247">
          <cell r="A7247" t="str">
            <v>ช77-M</v>
          </cell>
          <cell r="B7247" t="str">
            <v>ช77</v>
          </cell>
          <cell r="C7247" t="str">
            <v>ซาติน แขนสั้นขาสั้น ช77-M</v>
          </cell>
        </row>
        <row r="7248">
          <cell r="A7248" t="str">
            <v>ช78-M</v>
          </cell>
          <cell r="B7248" t="str">
            <v>ช78</v>
          </cell>
          <cell r="C7248" t="str">
            <v>ซาติน แขนสั้นขาสั้น ช78-M</v>
          </cell>
        </row>
        <row r="7249">
          <cell r="A7249" t="str">
            <v>ช79-M</v>
          </cell>
          <cell r="B7249" t="str">
            <v>ช79</v>
          </cell>
          <cell r="C7249" t="str">
            <v>ซาติน แขนสั้นขาสั้น ช79-M</v>
          </cell>
        </row>
        <row r="7250">
          <cell r="A7250" t="str">
            <v>ช80-M</v>
          </cell>
          <cell r="B7250" t="str">
            <v>ช80</v>
          </cell>
          <cell r="C7250" t="str">
            <v>ซาติน แขนสั้นขาสั้น ช80-M</v>
          </cell>
        </row>
        <row r="7251">
          <cell r="A7251" t="str">
            <v>ช81-L</v>
          </cell>
          <cell r="B7251" t="str">
            <v>ช81</v>
          </cell>
          <cell r="C7251" t="str">
            <v>ซาติน แขนสั้นขาสั้น ช81-L</v>
          </cell>
        </row>
        <row r="7252">
          <cell r="A7252" t="str">
            <v>ช82-M</v>
          </cell>
          <cell r="B7252" t="str">
            <v>ช82</v>
          </cell>
          <cell r="C7252" t="str">
            <v>ช82-M</v>
          </cell>
        </row>
        <row r="7253">
          <cell r="A7253" t="str">
            <v>ช83-M</v>
          </cell>
          <cell r="B7253" t="str">
            <v>ช83</v>
          </cell>
          <cell r="C7253" t="str">
            <v>ซาติน แขนสั้นขาสั้น ช83-M</v>
          </cell>
        </row>
        <row r="7254">
          <cell r="A7254" t="str">
            <v>ช84-L</v>
          </cell>
          <cell r="B7254" t="str">
            <v>ช84</v>
          </cell>
          <cell r="C7254" t="str">
            <v>ซาติน แขนสั้นขาสั้น ช84-L</v>
          </cell>
        </row>
        <row r="7255">
          <cell r="A7255" t="str">
            <v>ช85-M</v>
          </cell>
          <cell r="B7255" t="str">
            <v>ช85</v>
          </cell>
          <cell r="C7255" t="str">
            <v>ซาติน แขนสั้นขาสั้น ช85-M</v>
          </cell>
        </row>
        <row r="7256">
          <cell r="A7256" t="str">
            <v>ช86-L</v>
          </cell>
          <cell r="B7256" t="str">
            <v>ช86</v>
          </cell>
          <cell r="C7256" t="str">
            <v>ซาติน แขนสั้นขาสั้น ช86-L</v>
          </cell>
        </row>
        <row r="7257">
          <cell r="A7257" t="str">
            <v>ช87-L</v>
          </cell>
          <cell r="B7257" t="str">
            <v>ช87</v>
          </cell>
          <cell r="C7257" t="str">
            <v>ซาติน แขนสั้นขาสั้น ช87-L</v>
          </cell>
        </row>
        <row r="7258">
          <cell r="A7258" t="str">
            <v>ช88-M</v>
          </cell>
          <cell r="B7258" t="str">
            <v>ช88</v>
          </cell>
          <cell r="C7258" t="str">
            <v>ซาติน แขนสั้นขาสั้น ช88-M</v>
          </cell>
        </row>
        <row r="7259">
          <cell r="A7259" t="str">
            <v>ช89-M</v>
          </cell>
          <cell r="B7259" t="str">
            <v>ช89</v>
          </cell>
          <cell r="C7259" t="str">
            <v>ซาติน แขนสั้นขาสั้น ช89-M</v>
          </cell>
        </row>
        <row r="7260">
          <cell r="A7260" t="str">
            <v>ช90-M</v>
          </cell>
          <cell r="B7260" t="str">
            <v>ช90</v>
          </cell>
          <cell r="C7260" t="str">
            <v>ซาติน แขนสั้นขาสั้น ช90-M</v>
          </cell>
        </row>
        <row r="7261">
          <cell r="A7261" t="str">
            <v>ช91-M</v>
          </cell>
          <cell r="B7261" t="str">
            <v>ช91</v>
          </cell>
          <cell r="C7261" t="str">
            <v>ซาติน แขนสั้นขาสั้น ช91-M</v>
          </cell>
        </row>
        <row r="7262">
          <cell r="A7262" t="str">
            <v>ช91M</v>
          </cell>
          <cell r="B7262" t="str">
            <v>ช91</v>
          </cell>
          <cell r="C7262" t="str">
            <v>ช91M</v>
          </cell>
        </row>
        <row r="7263">
          <cell r="A7263" t="str">
            <v>ช92-M</v>
          </cell>
          <cell r="B7263" t="str">
            <v>ช92</v>
          </cell>
          <cell r="C7263" t="str">
            <v>ซาติน แขนสั้นขาสั้น ช92-M</v>
          </cell>
        </row>
        <row r="7264">
          <cell r="A7264" t="str">
            <v>ช93-L</v>
          </cell>
          <cell r="B7264" t="str">
            <v>ช93</v>
          </cell>
          <cell r="C7264" t="str">
            <v>ซาติน แขนสั้นขาสั้น ช93-L</v>
          </cell>
        </row>
        <row r="7265">
          <cell r="A7265" t="str">
            <v>ช94-M</v>
          </cell>
          <cell r="B7265" t="str">
            <v>ช94</v>
          </cell>
          <cell r="C7265" t="str">
            <v>ซาติน แขนสั้นขาสั้น ช94-M</v>
          </cell>
        </row>
        <row r="7266">
          <cell r="A7266" t="str">
            <v>ช95-L</v>
          </cell>
          <cell r="B7266" t="str">
            <v>ช95</v>
          </cell>
          <cell r="C7266" t="str">
            <v>ซาติน แขนสั้นขาสั้น ช95-L</v>
          </cell>
        </row>
        <row r="7267">
          <cell r="A7267" t="str">
            <v>ช96-M</v>
          </cell>
          <cell r="B7267" t="str">
            <v>ช96</v>
          </cell>
          <cell r="C7267" t="str">
            <v>ซาติน แขนสั้นขาสั้น ช96-M</v>
          </cell>
        </row>
        <row r="7268">
          <cell r="A7268" t="str">
            <v>ช97-M</v>
          </cell>
          <cell r="B7268" t="str">
            <v>ช97</v>
          </cell>
          <cell r="C7268" t="str">
            <v>ซาติน แขนสั้นขาสั้น ช97-M</v>
          </cell>
        </row>
        <row r="7269">
          <cell r="A7269" t="str">
            <v>ช98-M</v>
          </cell>
          <cell r="B7269" t="str">
            <v>ช98</v>
          </cell>
          <cell r="C7269" t="str">
            <v>ซาติน แขนสั้นขาสั้น ช98-M</v>
          </cell>
        </row>
        <row r="7270">
          <cell r="A7270" t="str">
            <v>ช99-M</v>
          </cell>
          <cell r="B7270" t="str">
            <v>ช99</v>
          </cell>
          <cell r="C7270" t="str">
            <v>ซาติน แขนสั้นขาสั้น ช99-M</v>
          </cell>
        </row>
        <row r="7271">
          <cell r="A7271" t="str">
            <v>ช100-M</v>
          </cell>
          <cell r="B7271" t="str">
            <v>ช100</v>
          </cell>
          <cell r="C7271" t="str">
            <v>ซาติน แขนสั้นขาสั้น ช100-M</v>
          </cell>
        </row>
        <row r="7272">
          <cell r="A7272" t="str">
            <v>ช101-M</v>
          </cell>
          <cell r="B7272" t="str">
            <v>ช101</v>
          </cell>
          <cell r="C7272" t="str">
            <v>ซาติน แขนสั้นขาสั้น ช101-M</v>
          </cell>
        </row>
        <row r="7273">
          <cell r="A7273" t="str">
            <v>ช102-M</v>
          </cell>
          <cell r="B7273" t="str">
            <v>ช102</v>
          </cell>
          <cell r="C7273" t="str">
            <v>ซาติน แขนสั้นขาสั้น ช102-M</v>
          </cell>
        </row>
        <row r="7274">
          <cell r="A7274" t="str">
            <v>ช103-M</v>
          </cell>
          <cell r="B7274" t="str">
            <v>ช103</v>
          </cell>
          <cell r="C7274" t="str">
            <v>ซาติน แขนสั้นขาสั้น ช103-M</v>
          </cell>
        </row>
        <row r="7275">
          <cell r="A7275" t="str">
            <v>ช104-M</v>
          </cell>
          <cell r="B7275" t="str">
            <v>ช104</v>
          </cell>
          <cell r="C7275" t="str">
            <v>ซาติน แขนสั้นขาสั้น ช104-M</v>
          </cell>
        </row>
        <row r="7276">
          <cell r="A7276" t="str">
            <v>ช105-M</v>
          </cell>
          <cell r="B7276" t="str">
            <v>ช105</v>
          </cell>
          <cell r="C7276" t="str">
            <v>ซาติน แขนสั้นขาสั้น ช105-M</v>
          </cell>
        </row>
        <row r="7277">
          <cell r="A7277" t="str">
            <v>ช106-M</v>
          </cell>
          <cell r="B7277" t="str">
            <v>ช106</v>
          </cell>
          <cell r="C7277" t="str">
            <v>ซาติน แขนสั้นขาสั้น ช106-M</v>
          </cell>
        </row>
        <row r="7278">
          <cell r="A7278" t="str">
            <v>ช107-L</v>
          </cell>
          <cell r="B7278" t="str">
            <v>ช107</v>
          </cell>
          <cell r="C7278" t="str">
            <v>ซาติน แขนสั้นขาสั้น ช107-L</v>
          </cell>
        </row>
        <row r="7279">
          <cell r="A7279" t="str">
            <v>ช108-M</v>
          </cell>
          <cell r="B7279" t="str">
            <v>ช108</v>
          </cell>
          <cell r="C7279" t="str">
            <v>ซาติน แขนสั้นขาสั้น ช108-M</v>
          </cell>
        </row>
        <row r="7280">
          <cell r="A7280" t="str">
            <v>ช109-M</v>
          </cell>
          <cell r="B7280" t="str">
            <v>ช109</v>
          </cell>
          <cell r="C7280" t="str">
            <v>ซาติน แขนสั้นขาสั้น ช109-M</v>
          </cell>
        </row>
        <row r="7281">
          <cell r="A7281" t="str">
            <v>ช110-M</v>
          </cell>
          <cell r="B7281" t="str">
            <v>ช110</v>
          </cell>
          <cell r="C7281" t="str">
            <v>ซาติน แขนสั้นขาสั้น ช110-M</v>
          </cell>
        </row>
        <row r="7282">
          <cell r="A7282" t="str">
            <v>ช111-M</v>
          </cell>
          <cell r="B7282" t="str">
            <v>ช111</v>
          </cell>
          <cell r="C7282" t="str">
            <v>ซาติน แขนสั้นขาสั้น ช111-M</v>
          </cell>
        </row>
        <row r="7283">
          <cell r="A7283" t="str">
            <v>ช112-M</v>
          </cell>
          <cell r="B7283" t="str">
            <v>ช112</v>
          </cell>
          <cell r="C7283" t="str">
            <v>ซาติน แขนสั้นขาสั้น ช112-M</v>
          </cell>
        </row>
        <row r="7284">
          <cell r="A7284" t="str">
            <v>ด1-M</v>
          </cell>
          <cell r="B7284" t="str">
            <v>ด1</v>
          </cell>
          <cell r="C7284" t="str">
            <v>ซาติน เดรส ด1-M</v>
          </cell>
        </row>
        <row r="7285">
          <cell r="A7285" t="str">
            <v>ด2-M</v>
          </cell>
          <cell r="B7285" t="str">
            <v>ด2</v>
          </cell>
          <cell r="C7285" t="str">
            <v>ซาติน เดรส ด2-M</v>
          </cell>
        </row>
        <row r="7286">
          <cell r="A7286" t="str">
            <v>ด3-M</v>
          </cell>
          <cell r="B7286" t="str">
            <v>ด3</v>
          </cell>
          <cell r="C7286" t="str">
            <v>ซาติน เดรส ด3-M</v>
          </cell>
        </row>
        <row r="7287">
          <cell r="A7287" t="str">
            <v>ด4-M</v>
          </cell>
          <cell r="B7287" t="str">
            <v>ด4</v>
          </cell>
          <cell r="C7287" t="str">
            <v>ซาติน เดรส ด4-M</v>
          </cell>
        </row>
        <row r="7288">
          <cell r="A7288" t="str">
            <v>ด5-M</v>
          </cell>
          <cell r="B7288" t="str">
            <v>ด5</v>
          </cell>
          <cell r="C7288" t="str">
            <v>ซาติน เดรส ด5-M</v>
          </cell>
        </row>
        <row r="7289">
          <cell r="A7289" t="str">
            <v>ด6-M</v>
          </cell>
          <cell r="B7289" t="str">
            <v>ด6</v>
          </cell>
          <cell r="C7289" t="str">
            <v>ซาติน เดรส ด6-M</v>
          </cell>
        </row>
        <row r="7290">
          <cell r="A7290" t="str">
            <v>ด7-M</v>
          </cell>
          <cell r="B7290" t="str">
            <v>ด7</v>
          </cell>
          <cell r="C7290" t="str">
            <v>ซาติน เดรส ด7-M</v>
          </cell>
        </row>
        <row r="7291">
          <cell r="A7291" t="str">
            <v>ด8-M</v>
          </cell>
          <cell r="B7291" t="str">
            <v>ด8</v>
          </cell>
          <cell r="C7291" t="str">
            <v>ซาติน เดรส ด8-M</v>
          </cell>
        </row>
        <row r="7292">
          <cell r="A7292" t="str">
            <v>ด9-M</v>
          </cell>
          <cell r="B7292" t="str">
            <v>ด9</v>
          </cell>
          <cell r="C7292" t="str">
            <v>ซาติน เดรส ด9-M</v>
          </cell>
        </row>
        <row r="7293">
          <cell r="A7293" t="str">
            <v>ด10-M</v>
          </cell>
          <cell r="B7293" t="str">
            <v>ด10</v>
          </cell>
          <cell r="C7293" t="str">
            <v>ซาติน เดรส ด10-M</v>
          </cell>
        </row>
        <row r="7294">
          <cell r="A7294" t="str">
            <v>ด11-M</v>
          </cell>
          <cell r="B7294" t="str">
            <v>ด11</v>
          </cell>
          <cell r="C7294" t="str">
            <v>ซาติน เดรส ด11-M</v>
          </cell>
        </row>
        <row r="7295">
          <cell r="A7295" t="str">
            <v>ด142-M</v>
          </cell>
          <cell r="B7295" t="str">
            <v>ด142</v>
          </cell>
          <cell r="C7295" t="str">
            <v>ซาติน เดรส ด142-M</v>
          </cell>
        </row>
        <row r="7296">
          <cell r="A7296" t="str">
            <v>ป6-M</v>
          </cell>
          <cell r="B7296" t="str">
            <v>ป6</v>
          </cell>
          <cell r="C7296" t="str">
            <v>ป6-M</v>
          </cell>
        </row>
        <row r="7297">
          <cell r="A7297" t="str">
            <v>ป16M</v>
          </cell>
          <cell r="B7297" t="str">
            <v>ป16</v>
          </cell>
          <cell r="C7297" t="str">
            <v>ป16M</v>
          </cell>
        </row>
        <row r="7298">
          <cell r="A7298" t="str">
            <v>ป42-M</v>
          </cell>
          <cell r="B7298" t="str">
            <v>ป42</v>
          </cell>
          <cell r="C7298" t="str">
            <v>ป42-M</v>
          </cell>
        </row>
        <row r="7299">
          <cell r="A7299" t="str">
            <v>ย1-M</v>
          </cell>
          <cell r="B7299" t="str">
            <v>ย1</v>
          </cell>
          <cell r="C7299" t="str">
            <v>ซาติน แขนยาวขายาว ย1-M</v>
          </cell>
        </row>
        <row r="7300">
          <cell r="A7300" t="str">
            <v>ย2-M</v>
          </cell>
          <cell r="B7300" t="str">
            <v>ย2</v>
          </cell>
          <cell r="C7300" t="str">
            <v>ซาติน แขนยาวขายาว ย2-M</v>
          </cell>
        </row>
        <row r="7301">
          <cell r="A7301" t="str">
            <v>ย3-M</v>
          </cell>
          <cell r="B7301" t="str">
            <v>ย3</v>
          </cell>
          <cell r="C7301" t="str">
            <v>ซาติน แขนยาวขายาว ย3-M</v>
          </cell>
        </row>
        <row r="7302">
          <cell r="A7302" t="str">
            <v>ย4-M</v>
          </cell>
          <cell r="B7302" t="str">
            <v>ย4</v>
          </cell>
          <cell r="C7302" t="str">
            <v>ซาติน แขนยาวขายาว ย4-M</v>
          </cell>
        </row>
        <row r="7303">
          <cell r="A7303" t="str">
            <v>ย5-M</v>
          </cell>
          <cell r="B7303" t="str">
            <v>ย5</v>
          </cell>
          <cell r="C7303" t="str">
            <v>ซาติน แขนยาวขายาว ย5-M</v>
          </cell>
        </row>
        <row r="7304">
          <cell r="A7304" t="str">
            <v>ย5M</v>
          </cell>
          <cell r="B7304" t="str">
            <v>ย5</v>
          </cell>
          <cell r="C7304" t="str">
            <v>ย5M</v>
          </cell>
        </row>
        <row r="7305">
          <cell r="A7305" t="str">
            <v>ย6-L</v>
          </cell>
          <cell r="B7305" t="str">
            <v>ย6</v>
          </cell>
          <cell r="C7305" t="str">
            <v>ซาติน แขนยาวขายาว ย6-L</v>
          </cell>
        </row>
        <row r="7306">
          <cell r="A7306" t="str">
            <v>ย7-L</v>
          </cell>
          <cell r="B7306" t="str">
            <v>ย7</v>
          </cell>
          <cell r="C7306" t="str">
            <v>ซาติน แขนยาวขายาว ย7-L</v>
          </cell>
        </row>
        <row r="7307">
          <cell r="A7307" t="str">
            <v>ย8-L</v>
          </cell>
          <cell r="B7307" t="str">
            <v>ย8</v>
          </cell>
          <cell r="C7307" t="str">
            <v>ซาติน แขนยาวขายาว ย8-L</v>
          </cell>
        </row>
        <row r="7308">
          <cell r="A7308" t="str">
            <v>ย9-M</v>
          </cell>
          <cell r="B7308" t="str">
            <v>ย9</v>
          </cell>
          <cell r="C7308" t="str">
            <v>ซาติน แขนยาวขายาว ย9-M</v>
          </cell>
        </row>
        <row r="7309">
          <cell r="A7309" t="str">
            <v>ย10-M</v>
          </cell>
          <cell r="B7309" t="str">
            <v>ย10</v>
          </cell>
          <cell r="C7309" t="str">
            <v>ซาติน แขนยาวขายาว ย10-M</v>
          </cell>
        </row>
        <row r="7310">
          <cell r="A7310" t="str">
            <v>ย11-M</v>
          </cell>
          <cell r="B7310" t="str">
            <v>ย11</v>
          </cell>
          <cell r="C7310" t="str">
            <v>ซาติน แขนยาวขายาว ย11-M</v>
          </cell>
        </row>
        <row r="7311">
          <cell r="A7311" t="str">
            <v>ย12-M</v>
          </cell>
          <cell r="B7311" t="str">
            <v>ย12</v>
          </cell>
          <cell r="C7311" t="str">
            <v>ซาติน แขนยาวขายาว ย12-M</v>
          </cell>
        </row>
        <row r="7312">
          <cell r="A7312" t="str">
            <v>ย13-M</v>
          </cell>
          <cell r="B7312" t="str">
            <v>ย13</v>
          </cell>
          <cell r="C7312" t="str">
            <v>ซาติน แขนยาวขายาว ย13-M</v>
          </cell>
        </row>
        <row r="7313">
          <cell r="A7313" t="str">
            <v>ย14-L</v>
          </cell>
          <cell r="B7313" t="str">
            <v>ย14</v>
          </cell>
          <cell r="C7313" t="str">
            <v>ซาติน แขนยาวขายาว ย14-L</v>
          </cell>
        </row>
        <row r="7314">
          <cell r="A7314" t="str">
            <v>ย15-M</v>
          </cell>
          <cell r="B7314" t="str">
            <v>ย15</v>
          </cell>
          <cell r="C7314" t="str">
            <v>ซาติน แขนยาวขายาว ย15-M</v>
          </cell>
        </row>
        <row r="7315">
          <cell r="A7315" t="str">
            <v>ย16-L</v>
          </cell>
          <cell r="B7315" t="str">
            <v>ย16</v>
          </cell>
          <cell r="C7315" t="str">
            <v>ซาติน แขนยาวขายาว ย16-L</v>
          </cell>
        </row>
        <row r="7316">
          <cell r="A7316" t="str">
            <v>ย16-M</v>
          </cell>
          <cell r="B7316" t="str">
            <v>ย16</v>
          </cell>
          <cell r="C7316" t="str">
            <v>ย16-M</v>
          </cell>
        </row>
        <row r="7317">
          <cell r="A7317" t="str">
            <v>ย17-L</v>
          </cell>
          <cell r="B7317" t="str">
            <v>ย17</v>
          </cell>
          <cell r="C7317" t="str">
            <v>ซาติน แขนยาวขายาว ย17-L</v>
          </cell>
        </row>
        <row r="7318">
          <cell r="A7318" t="str">
            <v>ย18-L</v>
          </cell>
          <cell r="B7318" t="str">
            <v>ย18</v>
          </cell>
          <cell r="C7318" t="str">
            <v>ซาติน แขนยาวขายาว ย18-L</v>
          </cell>
        </row>
        <row r="7319">
          <cell r="A7319" t="str">
            <v>ย19-L</v>
          </cell>
          <cell r="B7319" t="str">
            <v>ย19</v>
          </cell>
          <cell r="C7319" t="str">
            <v>ซาติน แขนยาวขายาว ย19-L</v>
          </cell>
        </row>
        <row r="7320">
          <cell r="A7320" t="str">
            <v>ย20-M</v>
          </cell>
          <cell r="B7320" t="str">
            <v>ย20</v>
          </cell>
          <cell r="C7320" t="str">
            <v>ซาติน แขนยาวขายาว ย20-M</v>
          </cell>
        </row>
        <row r="7321">
          <cell r="A7321" t="str">
            <v>ย21-L</v>
          </cell>
          <cell r="B7321" t="str">
            <v>ย21</v>
          </cell>
          <cell r="C7321" t="str">
            <v>ซาติน แขนยาวขายาว ย21-L</v>
          </cell>
        </row>
        <row r="7322">
          <cell r="A7322" t="str">
            <v>ย22-M</v>
          </cell>
          <cell r="B7322" t="str">
            <v>ย22</v>
          </cell>
          <cell r="C7322" t="str">
            <v>ซาติน แขนยาวขายาว ย22-M</v>
          </cell>
        </row>
        <row r="7323">
          <cell r="A7323" t="str">
            <v>ย23-M</v>
          </cell>
          <cell r="B7323" t="str">
            <v>ย23</v>
          </cell>
          <cell r="C7323" t="str">
            <v>ซาติน แขนยาวขายาว ย23-M</v>
          </cell>
        </row>
        <row r="7324">
          <cell r="A7324" t="str">
            <v>ย24-M</v>
          </cell>
          <cell r="B7324" t="str">
            <v>ย24</v>
          </cell>
          <cell r="C7324" t="str">
            <v>ซาติน แขนยาวขายาว ย24-M</v>
          </cell>
        </row>
        <row r="7325">
          <cell r="A7325" t="str">
            <v>ย25-M</v>
          </cell>
          <cell r="B7325" t="str">
            <v>ย25</v>
          </cell>
          <cell r="C7325" t="str">
            <v>ย25-M</v>
          </cell>
        </row>
        <row r="7326">
          <cell r="A7326" t="str">
            <v>ย26-M</v>
          </cell>
          <cell r="B7326" t="str">
            <v>ย26</v>
          </cell>
          <cell r="C7326" t="str">
            <v>ซาติน แขนยาวขายาว ย26-M</v>
          </cell>
        </row>
        <row r="7327">
          <cell r="A7327" t="str">
            <v>ย27-M</v>
          </cell>
          <cell r="B7327" t="str">
            <v>ย27</v>
          </cell>
          <cell r="C7327" t="str">
            <v>ซาติน แขนยาวขายาว ย27-M</v>
          </cell>
        </row>
        <row r="7328">
          <cell r="A7328" t="str">
            <v>ย28-M</v>
          </cell>
          <cell r="B7328" t="str">
            <v>ย28</v>
          </cell>
          <cell r="C7328" t="str">
            <v>ซาติน แขนยาวขายาว ย28-M</v>
          </cell>
        </row>
        <row r="7329">
          <cell r="A7329" t="str">
            <v>ย29-M</v>
          </cell>
          <cell r="B7329" t="str">
            <v>ย29</v>
          </cell>
          <cell r="C7329" t="str">
            <v>ซาติน แขนยาวขายาว ย29-M</v>
          </cell>
        </row>
        <row r="7330">
          <cell r="A7330" t="str">
            <v>ย30-M</v>
          </cell>
          <cell r="B7330" t="str">
            <v>ย30</v>
          </cell>
          <cell r="C7330" t="str">
            <v>ซาติน แขนยาวขายาว ย30-M</v>
          </cell>
        </row>
        <row r="7331">
          <cell r="A7331" t="str">
            <v>ย31-M</v>
          </cell>
          <cell r="B7331" t="str">
            <v>ย31</v>
          </cell>
          <cell r="C7331" t="str">
            <v>ซาติน แขนยาวขายาว ย31-M</v>
          </cell>
        </row>
        <row r="7332">
          <cell r="A7332" t="str">
            <v>ย32-M</v>
          </cell>
          <cell r="B7332" t="str">
            <v>ย32</v>
          </cell>
          <cell r="C7332" t="str">
            <v>ซาติน แขนยาวขายาว ย32-M</v>
          </cell>
        </row>
        <row r="7333">
          <cell r="A7333" t="str">
            <v>ย32M</v>
          </cell>
          <cell r="B7333" t="str">
            <v>ย32</v>
          </cell>
          <cell r="C7333" t="str">
            <v>ย32M</v>
          </cell>
        </row>
        <row r="7334">
          <cell r="A7334" t="str">
            <v>ย33-M</v>
          </cell>
          <cell r="B7334" t="str">
            <v>ย33</v>
          </cell>
          <cell r="C7334" t="str">
            <v>ซาติน แขนยาวขายาว ย33-M</v>
          </cell>
        </row>
        <row r="7335">
          <cell r="A7335" t="str">
            <v>ย34-M</v>
          </cell>
          <cell r="B7335" t="str">
            <v>ย34</v>
          </cell>
          <cell r="C7335" t="str">
            <v>ซาติน แขนยาวขายาว ย34-M</v>
          </cell>
        </row>
        <row r="7336">
          <cell r="A7336" t="str">
            <v>ย35-L</v>
          </cell>
          <cell r="B7336" t="str">
            <v>ย35</v>
          </cell>
          <cell r="C7336" t="str">
            <v>ซาติน แขนยาวขายาว ย35-L</v>
          </cell>
        </row>
        <row r="7337">
          <cell r="A7337" t="str">
            <v>ย36-M</v>
          </cell>
          <cell r="B7337" t="str">
            <v>ย36</v>
          </cell>
          <cell r="C7337" t="str">
            <v>ซาติน แขนยาวขายาว ย36-M</v>
          </cell>
        </row>
        <row r="7338">
          <cell r="A7338" t="str">
            <v>ย37-M</v>
          </cell>
          <cell r="B7338" t="str">
            <v>ย37</v>
          </cell>
          <cell r="C7338" t="str">
            <v>ซาติน แขนยาวขายาว ย37-M</v>
          </cell>
        </row>
        <row r="7339">
          <cell r="A7339" t="str">
            <v>ย38-M</v>
          </cell>
          <cell r="B7339" t="str">
            <v>ย38</v>
          </cell>
          <cell r="C7339" t="str">
            <v>ซาติน แขนยาวขายาว ย38-M</v>
          </cell>
        </row>
        <row r="7340">
          <cell r="A7340" t="str">
            <v>ย39-M</v>
          </cell>
          <cell r="B7340" t="str">
            <v>ย39</v>
          </cell>
          <cell r="C7340" t="str">
            <v>ซาติน แขนยาวขายาว ย39-M</v>
          </cell>
        </row>
        <row r="7341">
          <cell r="A7341" t="str">
            <v>ย40-M</v>
          </cell>
          <cell r="B7341" t="str">
            <v>ย40</v>
          </cell>
          <cell r="C7341" t="str">
            <v>ซาติน แขนยาวขายาว ย40-M</v>
          </cell>
        </row>
        <row r="7342">
          <cell r="A7342" t="str">
            <v>ย41-L</v>
          </cell>
          <cell r="B7342" t="str">
            <v>ย41</v>
          </cell>
          <cell r="C7342" t="str">
            <v>ซาติน แขนยาวขายาว ย41-L</v>
          </cell>
        </row>
        <row r="7343">
          <cell r="A7343" t="str">
            <v>ย41-M</v>
          </cell>
          <cell r="B7343" t="str">
            <v>ย41</v>
          </cell>
          <cell r="C7343" t="str">
            <v>ซาติน แขนยาวขายาว ย41-M</v>
          </cell>
        </row>
        <row r="7344">
          <cell r="A7344" t="str">
            <v>ย42-M</v>
          </cell>
          <cell r="B7344" t="str">
            <v>ย42</v>
          </cell>
          <cell r="C7344" t="str">
            <v>ซาติน แขนยาวขายาว ย42-M</v>
          </cell>
        </row>
        <row r="7345">
          <cell r="A7345" t="str">
            <v>ย43-M</v>
          </cell>
          <cell r="B7345" t="str">
            <v>ย43</v>
          </cell>
          <cell r="C7345" t="str">
            <v>ซาติน แขนยาวขายาว ย43-M</v>
          </cell>
        </row>
        <row r="7346">
          <cell r="A7346" t="str">
            <v>ย44-M</v>
          </cell>
          <cell r="B7346" t="str">
            <v>ย44</v>
          </cell>
          <cell r="C7346" t="str">
            <v>ซาติน แขนยาวขายาว ย44-M</v>
          </cell>
        </row>
        <row r="7347">
          <cell r="A7347" t="str">
            <v>ย45-M</v>
          </cell>
          <cell r="B7347" t="str">
            <v>ย45</v>
          </cell>
          <cell r="C7347" t="str">
            <v>ซาติน แขนยาวขายาว ย45-M</v>
          </cell>
        </row>
        <row r="7348">
          <cell r="A7348" t="str">
            <v>ย46-M</v>
          </cell>
          <cell r="B7348" t="str">
            <v>ย46</v>
          </cell>
          <cell r="C7348" t="str">
            <v>ซาติน แขนยาวขายาว ย46-M</v>
          </cell>
        </row>
        <row r="7349">
          <cell r="A7349" t="str">
            <v>ย47-M</v>
          </cell>
          <cell r="B7349" t="str">
            <v>ย47</v>
          </cell>
          <cell r="C7349" t="str">
            <v>ซาติน แขนยาวขายาว ย47-M</v>
          </cell>
        </row>
        <row r="7350">
          <cell r="A7350" t="str">
            <v>ย48-L</v>
          </cell>
          <cell r="B7350" t="str">
            <v>ย48</v>
          </cell>
          <cell r="C7350" t="str">
            <v>ซาติน แขนยาวขายาว ย48-L</v>
          </cell>
        </row>
        <row r="7351">
          <cell r="A7351" t="str">
            <v>ย49-M</v>
          </cell>
          <cell r="B7351" t="str">
            <v>ย49</v>
          </cell>
          <cell r="C7351" t="str">
            <v>ซาติน แขนยาวขายาว ย49-M</v>
          </cell>
        </row>
        <row r="7352">
          <cell r="A7352" t="str">
            <v>ย50-L</v>
          </cell>
          <cell r="B7352" t="str">
            <v>ย50</v>
          </cell>
          <cell r="C7352" t="str">
            <v>ซาติน แขนยาวขายาว ย50-L</v>
          </cell>
        </row>
        <row r="7353">
          <cell r="A7353" t="str">
            <v>ย51-M</v>
          </cell>
          <cell r="B7353" t="str">
            <v>ย51</v>
          </cell>
          <cell r="C7353" t="str">
            <v>ซาติน แขนยาวขายาว ย51-M</v>
          </cell>
        </row>
        <row r="7354">
          <cell r="A7354" t="str">
            <v>ย52-L</v>
          </cell>
          <cell r="B7354" t="str">
            <v>ย52</v>
          </cell>
          <cell r="C7354" t="str">
            <v>ซาติน แขนยาวขายาว ย52-L</v>
          </cell>
        </row>
        <row r="7355">
          <cell r="A7355" t="str">
            <v>ย53-M</v>
          </cell>
          <cell r="B7355" t="str">
            <v>ย53</v>
          </cell>
          <cell r="C7355" t="str">
            <v>ซาติน แขนยาวขายาว ย53-M</v>
          </cell>
        </row>
        <row r="7356">
          <cell r="A7356" t="str">
            <v>ย54-L</v>
          </cell>
          <cell r="B7356" t="str">
            <v>ย54</v>
          </cell>
          <cell r="C7356" t="str">
            <v>ซาติน แขนยาวขายาว ย54-L</v>
          </cell>
        </row>
        <row r="7357">
          <cell r="A7357" t="str">
            <v>ย54-M</v>
          </cell>
          <cell r="B7357" t="str">
            <v>ย54</v>
          </cell>
          <cell r="C7357" t="str">
            <v>ซาติน แขนยาวขายาว ย54-M</v>
          </cell>
        </row>
        <row r="7358">
          <cell r="A7358" t="str">
            <v>ย55-L</v>
          </cell>
          <cell r="B7358" t="str">
            <v>ย55</v>
          </cell>
          <cell r="C7358" t="str">
            <v>ซาติน แขนยาวขายาว ย55-L</v>
          </cell>
        </row>
        <row r="7359">
          <cell r="A7359" t="str">
            <v>ย56-M</v>
          </cell>
          <cell r="B7359" t="str">
            <v>ย56</v>
          </cell>
          <cell r="C7359" t="str">
            <v>ซาติน แขนยาวขายาว ย56-M</v>
          </cell>
        </row>
        <row r="7360">
          <cell r="A7360" t="str">
            <v>ย57-M</v>
          </cell>
          <cell r="B7360" t="str">
            <v>ย57</v>
          </cell>
          <cell r="C7360" t="str">
            <v>ซาติน แขนยาวขายาว ย57-M</v>
          </cell>
        </row>
        <row r="7361">
          <cell r="A7361" t="str">
            <v>ย58-S</v>
          </cell>
          <cell r="B7361" t="str">
            <v>ย58</v>
          </cell>
          <cell r="C7361" t="str">
            <v>ซาติน แขนยาวขายาว ย58-S</v>
          </cell>
        </row>
        <row r="7362">
          <cell r="A7362" t="str">
            <v>ย59-L</v>
          </cell>
          <cell r="B7362" t="str">
            <v>ย59</v>
          </cell>
          <cell r="C7362" t="str">
            <v>ซาติน แขนยาวขายาว ย59-L</v>
          </cell>
        </row>
        <row r="7363">
          <cell r="A7363" t="str">
            <v>ย60-M</v>
          </cell>
          <cell r="B7363" t="str">
            <v>ย60</v>
          </cell>
          <cell r="C7363" t="str">
            <v>ซาติน แขนยาวขายาว ย60-M</v>
          </cell>
        </row>
        <row r="7364">
          <cell r="A7364" t="str">
            <v>ย61-M</v>
          </cell>
          <cell r="B7364" t="str">
            <v>ย61</v>
          </cell>
          <cell r="C7364" t="str">
            <v>ซาติน แขนยาวขายาว ย61-M</v>
          </cell>
        </row>
        <row r="7365">
          <cell r="A7365" t="str">
            <v>ย62-L</v>
          </cell>
          <cell r="B7365" t="str">
            <v>ย62</v>
          </cell>
          <cell r="C7365" t="str">
            <v>ซาติน แขนยาวขายาว ย62-L</v>
          </cell>
        </row>
        <row r="7366">
          <cell r="A7366" t="str">
            <v>ย63-M</v>
          </cell>
          <cell r="B7366" t="str">
            <v>ย63</v>
          </cell>
          <cell r="C7366" t="str">
            <v>ซาติน แขนยาวขายาว ย63-M</v>
          </cell>
        </row>
        <row r="7367">
          <cell r="A7367" t="str">
            <v>ย64-L</v>
          </cell>
          <cell r="B7367" t="str">
            <v>ย64</v>
          </cell>
          <cell r="C7367" t="str">
            <v>ซาติน แขนยาวขายาว ย64-L</v>
          </cell>
        </row>
        <row r="7368">
          <cell r="A7368" t="str">
            <v>ย65-M</v>
          </cell>
          <cell r="B7368" t="str">
            <v>ย65</v>
          </cell>
          <cell r="C7368" t="str">
            <v>ซาติน แขนยาวขายาว ย65-M</v>
          </cell>
        </row>
        <row r="7369">
          <cell r="A7369" t="str">
            <v>ย66-M</v>
          </cell>
          <cell r="B7369" t="str">
            <v>ย66</v>
          </cell>
          <cell r="C7369" t="str">
            <v>ซาติน แขนยาวขายาว ย66-M</v>
          </cell>
        </row>
        <row r="7370">
          <cell r="A7370" t="str">
            <v>ย67-L</v>
          </cell>
          <cell r="B7370" t="str">
            <v>ย67</v>
          </cell>
          <cell r="C7370" t="str">
            <v>ซาติน แขนยาวขายาว ย67-L</v>
          </cell>
        </row>
        <row r="7371">
          <cell r="A7371" t="str">
            <v>ย68-M</v>
          </cell>
          <cell r="B7371" t="str">
            <v>ย68</v>
          </cell>
          <cell r="C7371" t="str">
            <v>ซาติน แขนยาวขายาว ย68-M</v>
          </cell>
        </row>
        <row r="7372">
          <cell r="A7372" t="str">
            <v>ย69-M</v>
          </cell>
          <cell r="B7372" t="str">
            <v>ย69</v>
          </cell>
          <cell r="C7372" t="str">
            <v>ซาติน แขนยาวขายาว ย69-M</v>
          </cell>
        </row>
        <row r="7373">
          <cell r="A7373" t="str">
            <v>ย70-M</v>
          </cell>
          <cell r="B7373" t="str">
            <v>ย70</v>
          </cell>
          <cell r="C7373" t="str">
            <v>ซาติน แขนยาวขายาว ย70-M</v>
          </cell>
        </row>
        <row r="7374">
          <cell r="A7374" t="str">
            <v>ย71-L</v>
          </cell>
          <cell r="B7374" t="str">
            <v>ย71</v>
          </cell>
          <cell r="C7374" t="str">
            <v>ซาติน แขนยาวขายาว ย71-L</v>
          </cell>
        </row>
        <row r="7375">
          <cell r="A7375" t="str">
            <v>ย72-M</v>
          </cell>
          <cell r="B7375" t="str">
            <v>ย72</v>
          </cell>
          <cell r="C7375" t="str">
            <v>ซาติน แขนยาวขายาว ย72-M</v>
          </cell>
        </row>
        <row r="7376">
          <cell r="A7376" t="str">
            <v>ย73-L</v>
          </cell>
          <cell r="B7376" t="str">
            <v>ย73</v>
          </cell>
          <cell r="C7376" t="str">
            <v>ซาติน แขนยาวขายาว ย73-L</v>
          </cell>
        </row>
        <row r="7377">
          <cell r="A7377" t="str">
            <v>ย74-M</v>
          </cell>
          <cell r="B7377" t="str">
            <v>ย74</v>
          </cell>
          <cell r="C7377" t="str">
            <v>ซาติน แขนยาวขายาว ย74-M</v>
          </cell>
        </row>
        <row r="7378">
          <cell r="A7378" t="str">
            <v>ย75-M</v>
          </cell>
          <cell r="B7378" t="str">
            <v>ย75</v>
          </cell>
          <cell r="C7378" t="str">
            <v>ซาติน แขนยาวขายาว ย75-M</v>
          </cell>
        </row>
        <row r="7379">
          <cell r="A7379" t="str">
            <v>ย76-M</v>
          </cell>
          <cell r="B7379" t="str">
            <v>ย76</v>
          </cell>
          <cell r="C7379" t="str">
            <v>ซาติน แขนยาวขายาว ย76-M</v>
          </cell>
        </row>
        <row r="7380">
          <cell r="A7380" t="str">
            <v>ย76M</v>
          </cell>
          <cell r="B7380" t="str">
            <v>ย76</v>
          </cell>
          <cell r="C7380" t="str">
            <v>ย76M</v>
          </cell>
        </row>
        <row r="7381">
          <cell r="A7381" t="str">
            <v>ย77-L</v>
          </cell>
          <cell r="B7381" t="str">
            <v>ย77</v>
          </cell>
          <cell r="C7381" t="str">
            <v>ซาติน แขนยาวขายาว ย77-L</v>
          </cell>
        </row>
        <row r="7382">
          <cell r="A7382" t="str">
            <v>ย78-M</v>
          </cell>
          <cell r="B7382" t="str">
            <v>ย78</v>
          </cell>
          <cell r="C7382" t="str">
            <v>ซาติน แขนยาวขายาว ย78-M</v>
          </cell>
        </row>
        <row r="7383">
          <cell r="A7383" t="str">
            <v>ย79-M</v>
          </cell>
          <cell r="B7383" t="str">
            <v>ย79</v>
          </cell>
          <cell r="C7383" t="str">
            <v>ซาติน แขนยาวขายาว ย79-M</v>
          </cell>
        </row>
        <row r="7384">
          <cell r="A7384" t="str">
            <v>ย80-M</v>
          </cell>
          <cell r="B7384" t="str">
            <v>ย80</v>
          </cell>
          <cell r="C7384" t="str">
            <v>ซาติน แขนยาวขายาว ย80-M</v>
          </cell>
        </row>
        <row r="7385">
          <cell r="A7385" t="str">
            <v>ย81-L</v>
          </cell>
          <cell r="B7385" t="str">
            <v>ย81</v>
          </cell>
          <cell r="C7385" t="str">
            <v>ซาติน แขนยาวขายาว ย81-L</v>
          </cell>
        </row>
        <row r="7386">
          <cell r="A7386" t="str">
            <v>ย82-M</v>
          </cell>
          <cell r="B7386" t="str">
            <v>ย82</v>
          </cell>
          <cell r="C7386" t="str">
            <v>ซาติน แขนยาวขายาว ย82-M</v>
          </cell>
        </row>
        <row r="7387">
          <cell r="A7387" t="str">
            <v>ย83-M</v>
          </cell>
          <cell r="B7387" t="str">
            <v>ย83</v>
          </cell>
          <cell r="C7387" t="str">
            <v>ซาติน แขนยาวขายาว ย83-M</v>
          </cell>
        </row>
        <row r="7388">
          <cell r="A7388" t="str">
            <v>ย84-M</v>
          </cell>
          <cell r="B7388" t="str">
            <v>ย84</v>
          </cell>
          <cell r="C7388" t="str">
            <v>ซาติน แขนยาวขายาว ย84-M</v>
          </cell>
        </row>
        <row r="7389">
          <cell r="A7389" t="str">
            <v>ย85-M</v>
          </cell>
          <cell r="B7389" t="str">
            <v>ย85</v>
          </cell>
          <cell r="C7389" t="str">
            <v>ซาติน แขนยาวขายาว ย85-M</v>
          </cell>
        </row>
        <row r="7390">
          <cell r="A7390" t="str">
            <v>ย86-M</v>
          </cell>
          <cell r="B7390" t="str">
            <v>ย86</v>
          </cell>
          <cell r="C7390" t="str">
            <v>ซาติน แขนยาวขายาว ย86-M</v>
          </cell>
        </row>
        <row r="7391">
          <cell r="A7391" t="str">
            <v>ย87-L</v>
          </cell>
          <cell r="B7391" t="str">
            <v>ย87</v>
          </cell>
          <cell r="C7391" t="str">
            <v>ซาติน แขนยาวขายาว ย87-L</v>
          </cell>
        </row>
        <row r="7392">
          <cell r="A7392" t="str">
            <v>ย88-L</v>
          </cell>
          <cell r="B7392" t="str">
            <v>ย88</v>
          </cell>
          <cell r="C7392" t="str">
            <v>ซาติน แขนยาวขายาว ย88-L</v>
          </cell>
        </row>
        <row r="7393">
          <cell r="A7393" t="str">
            <v>ย89-L</v>
          </cell>
          <cell r="B7393" t="str">
            <v>ย89</v>
          </cell>
          <cell r="C7393" t="str">
            <v>ซาติน แขนยาวขายาว ย89-L</v>
          </cell>
        </row>
        <row r="7394">
          <cell r="A7394" t="str">
            <v>ย90-M</v>
          </cell>
          <cell r="B7394" t="str">
            <v>ย90</v>
          </cell>
          <cell r="C7394" t="str">
            <v>ซาติน แขนยาวขายาว ย90-M</v>
          </cell>
        </row>
        <row r="7395">
          <cell r="A7395" t="str">
            <v>ย91-L</v>
          </cell>
          <cell r="B7395" t="str">
            <v>ย91</v>
          </cell>
          <cell r="C7395" t="str">
            <v>ซาติน แขนยาวขายาว ย91-L</v>
          </cell>
        </row>
        <row r="7396">
          <cell r="A7396" t="str">
            <v>ย92-L</v>
          </cell>
          <cell r="B7396" t="str">
            <v>ย92</v>
          </cell>
          <cell r="C7396" t="str">
            <v>ซาติน แขนยาวขายาว ย92-L</v>
          </cell>
        </row>
        <row r="7397">
          <cell r="A7397" t="str">
            <v>ย93-M</v>
          </cell>
          <cell r="B7397" t="str">
            <v>ย93</v>
          </cell>
          <cell r="C7397" t="str">
            <v>ซาติน แขนยาวขายาว ย93-M</v>
          </cell>
        </row>
        <row r="7398">
          <cell r="A7398" t="str">
            <v>ย93M</v>
          </cell>
          <cell r="B7398" t="str">
            <v>ย93</v>
          </cell>
          <cell r="C7398" t="str">
            <v>ย93M</v>
          </cell>
        </row>
        <row r="7399">
          <cell r="A7399" t="str">
            <v>ย94-M</v>
          </cell>
          <cell r="B7399" t="str">
            <v>ย94</v>
          </cell>
          <cell r="C7399" t="str">
            <v>ซาติน แขนยาวขายาว ย94-M</v>
          </cell>
        </row>
        <row r="7400">
          <cell r="A7400" t="str">
            <v>ย95-M</v>
          </cell>
          <cell r="B7400" t="str">
            <v>ย95</v>
          </cell>
          <cell r="C7400" t="str">
            <v>ซาติน แขนยาวขายาว ย95-M</v>
          </cell>
        </row>
        <row r="7401">
          <cell r="A7401" t="str">
            <v>ย96-M</v>
          </cell>
          <cell r="B7401" t="str">
            <v>ย96</v>
          </cell>
          <cell r="C7401" t="str">
            <v>ซาติน แขนยาวขายาว ย96-M</v>
          </cell>
        </row>
        <row r="7402">
          <cell r="A7402" t="str">
            <v>ย104-L</v>
          </cell>
          <cell r="B7402" t="str">
            <v>ย104</v>
          </cell>
          <cell r="C7402" t="str">
            <v>ซาติน แขนยาวขายาว ย104-L</v>
          </cell>
        </row>
        <row r="7403">
          <cell r="A7403" t="str">
            <v>ย105-L</v>
          </cell>
          <cell r="B7403" t="str">
            <v>ย105</v>
          </cell>
          <cell r="C7403" t="str">
            <v>ซาติน แขนยาวขายาว ย105-L</v>
          </cell>
        </row>
        <row r="7404">
          <cell r="A7404" t="str">
            <v>ย106-L</v>
          </cell>
          <cell r="B7404" t="str">
            <v>ย106</v>
          </cell>
          <cell r="C7404" t="str">
            <v>ซาติน แขนยาวขายาว ย106-L</v>
          </cell>
        </row>
        <row r="7405">
          <cell r="A7405" t="str">
            <v>ย107-M</v>
          </cell>
          <cell r="B7405" t="str">
            <v>ย107</v>
          </cell>
          <cell r="C7405" t="str">
            <v>ซาติน แขนยาวขายาว ย107-M</v>
          </cell>
        </row>
        <row r="7406">
          <cell r="A7406" t="str">
            <v>ย108-L</v>
          </cell>
          <cell r="B7406" t="str">
            <v>ย108</v>
          </cell>
          <cell r="C7406" t="str">
            <v>ซาติน แขนยาวขายาว ย108-L</v>
          </cell>
        </row>
        <row r="7407">
          <cell r="A7407" t="str">
            <v>ย109-M</v>
          </cell>
          <cell r="B7407" t="str">
            <v>ย109</v>
          </cell>
          <cell r="C7407" t="str">
            <v>ซาติน แขนยาวขายาว ย109-M</v>
          </cell>
        </row>
        <row r="7408">
          <cell r="A7408" t="str">
            <v>ย110-L</v>
          </cell>
          <cell r="B7408" t="str">
            <v>ย110</v>
          </cell>
          <cell r="C7408" t="str">
            <v>ซาติน แขนยาวขายาว ย110-L</v>
          </cell>
        </row>
        <row r="7409">
          <cell r="A7409" t="str">
            <v>ย111-M</v>
          </cell>
          <cell r="B7409" t="str">
            <v>ย111</v>
          </cell>
          <cell r="C7409" t="str">
            <v>ซาติน แขนยาวขายาว ย111-M</v>
          </cell>
        </row>
        <row r="7410">
          <cell r="A7410" t="str">
            <v>ย112-M</v>
          </cell>
          <cell r="B7410" t="str">
            <v>ย112</v>
          </cell>
          <cell r="C7410" t="str">
            <v>ซาติน แขนยาวขายาว ย112-M</v>
          </cell>
        </row>
        <row r="7411">
          <cell r="A7411" t="str">
            <v>ย113-M</v>
          </cell>
          <cell r="B7411" t="str">
            <v>ย113</v>
          </cell>
          <cell r="C7411" t="str">
            <v>ซาติน แขนยาวขายาว ย113-M</v>
          </cell>
        </row>
        <row r="7412">
          <cell r="A7412" t="str">
            <v>ย114-M</v>
          </cell>
          <cell r="B7412" t="str">
            <v>ย114</v>
          </cell>
          <cell r="C7412" t="str">
            <v>ซาติน แขนยาวขายาว ย114-M</v>
          </cell>
        </row>
        <row r="7413">
          <cell r="A7413" t="str">
            <v>ย115-M</v>
          </cell>
          <cell r="B7413" t="str">
            <v>ย115</v>
          </cell>
          <cell r="C7413" t="str">
            <v>ซาติน แขนยาวขายาว ย115-M</v>
          </cell>
        </row>
        <row r="7414">
          <cell r="A7414" t="str">
            <v>ย116-L</v>
          </cell>
          <cell r="B7414" t="str">
            <v>ย116</v>
          </cell>
          <cell r="C7414" t="str">
            <v>ซาติน แขนยาวขายาว ย116-L</v>
          </cell>
        </row>
        <row r="7415">
          <cell r="A7415" t="str">
            <v>ย117-M</v>
          </cell>
          <cell r="B7415" t="str">
            <v>ย117</v>
          </cell>
          <cell r="C7415" t="str">
            <v>ซาติน แขนยาวขายาว ย117-M</v>
          </cell>
        </row>
        <row r="7416">
          <cell r="A7416" t="str">
            <v>ย118-M</v>
          </cell>
          <cell r="B7416" t="str">
            <v>ย118</v>
          </cell>
          <cell r="C7416" t="str">
            <v>ซาติน แขนยาวขายาว ย118-M</v>
          </cell>
        </row>
        <row r="7417">
          <cell r="A7417" t="str">
            <v>ย119-M</v>
          </cell>
          <cell r="B7417" t="str">
            <v>ย119</v>
          </cell>
          <cell r="C7417" t="str">
            <v>ซาติน แขนยาวขายาว ย119-M</v>
          </cell>
        </row>
        <row r="7418">
          <cell r="A7418" t="str">
            <v>ย120-L</v>
          </cell>
          <cell r="B7418" t="str">
            <v>ย120</v>
          </cell>
          <cell r="C7418" t="str">
            <v>ซาติน แขนยาวขายาว ย120-L</v>
          </cell>
        </row>
        <row r="7419">
          <cell r="A7419" t="str">
            <v>ย121-M</v>
          </cell>
          <cell r="B7419" t="str">
            <v>ย121</v>
          </cell>
          <cell r="C7419" t="str">
            <v>ซาติน แขนยาวขายาว ย121-M</v>
          </cell>
        </row>
        <row r="7420">
          <cell r="A7420" t="str">
            <v>ย122-L</v>
          </cell>
          <cell r="B7420" t="str">
            <v>ย122</v>
          </cell>
          <cell r="C7420" t="str">
            <v>ซาติน แขนยาวขายาว ย122-L</v>
          </cell>
        </row>
        <row r="7421">
          <cell r="A7421" t="str">
            <v>ย123-M</v>
          </cell>
          <cell r="B7421" t="str">
            <v>ย123</v>
          </cell>
          <cell r="C7421" t="str">
            <v>ซาติน แขนยาวขายาว ย123-M</v>
          </cell>
        </row>
        <row r="7422">
          <cell r="A7422" t="str">
            <v>ย124-M</v>
          </cell>
          <cell r="B7422" t="str">
            <v>ย124</v>
          </cell>
          <cell r="C7422" t="str">
            <v>ซาติน แขนยาวขายาว ย124-M</v>
          </cell>
        </row>
        <row r="7423">
          <cell r="A7423" t="str">
            <v>ย125-M</v>
          </cell>
          <cell r="B7423" t="str">
            <v>ย125</v>
          </cell>
          <cell r="C7423" t="str">
            <v>ซาติน แขนยาวขายาว ย125-M</v>
          </cell>
        </row>
        <row r="7424">
          <cell r="A7424" t="str">
            <v>ย126-M</v>
          </cell>
          <cell r="B7424" t="str">
            <v>ย126</v>
          </cell>
          <cell r="C7424" t="str">
            <v>ซาติน แขนยาวขายาว ย126-M</v>
          </cell>
        </row>
        <row r="7425">
          <cell r="A7425" t="str">
            <v>ย127-M</v>
          </cell>
          <cell r="B7425" t="str">
            <v>ย127</v>
          </cell>
          <cell r="C7425" t="str">
            <v>ซาติน แขนยาวขายาว ย127-M</v>
          </cell>
        </row>
        <row r="7426">
          <cell r="A7426" t="str">
            <v>ย128-L</v>
          </cell>
          <cell r="B7426" t="str">
            <v>ย128</v>
          </cell>
          <cell r="C7426" t="str">
            <v>ซาติน แขนยาวขายาว ย128-L</v>
          </cell>
        </row>
        <row r="7427">
          <cell r="A7427" t="str">
            <v>ย129-M</v>
          </cell>
          <cell r="B7427" t="str">
            <v>ย129</v>
          </cell>
          <cell r="C7427" t="str">
            <v>ซาติน แขนยาวขายาว ย129-M</v>
          </cell>
        </row>
        <row r="7428">
          <cell r="A7428" t="str">
            <v>ย130-M</v>
          </cell>
          <cell r="B7428" t="str">
            <v>ย130</v>
          </cell>
          <cell r="C7428" t="str">
            <v>ซาติน แขนยาวขายาว ย130-M</v>
          </cell>
        </row>
        <row r="7429">
          <cell r="A7429" t="str">
            <v>ย131-L</v>
          </cell>
          <cell r="B7429" t="str">
            <v>ย131</v>
          </cell>
          <cell r="C7429" t="str">
            <v>ซาติน แขนยาวขายาว ย131-L</v>
          </cell>
        </row>
        <row r="7430">
          <cell r="A7430" t="str">
            <v>ย132-L</v>
          </cell>
          <cell r="B7430" t="str">
            <v>ย132</v>
          </cell>
          <cell r="C7430" t="str">
            <v>ซาติน แขนยาวขายาว ย132-L</v>
          </cell>
        </row>
        <row r="7431">
          <cell r="A7431" t="str">
            <v>ย133-M</v>
          </cell>
          <cell r="B7431" t="str">
            <v>ย133</v>
          </cell>
          <cell r="C7431" t="str">
            <v>ซาติน แขนยาวขายาว ย133-M</v>
          </cell>
        </row>
        <row r="7432">
          <cell r="A7432" t="str">
            <v>ย134-M</v>
          </cell>
          <cell r="B7432" t="str">
            <v>ย134</v>
          </cell>
          <cell r="C7432" t="str">
            <v>ซาติน แขนยาวขายาว ย134-M</v>
          </cell>
        </row>
        <row r="7433">
          <cell r="A7433" t="str">
            <v>ย135-M</v>
          </cell>
          <cell r="B7433" t="str">
            <v>ย135</v>
          </cell>
          <cell r="C7433" t="str">
            <v>ซาติน แขนยาวขายาว ย135-M</v>
          </cell>
        </row>
        <row r="7434">
          <cell r="A7434" t="str">
            <v>ย136-M</v>
          </cell>
          <cell r="B7434" t="str">
            <v>ย136</v>
          </cell>
          <cell r="C7434" t="str">
            <v>ซาติน แขนยาวขายาว ย136-M</v>
          </cell>
        </row>
        <row r="7435">
          <cell r="A7435" t="str">
            <v>ย137-M</v>
          </cell>
          <cell r="B7435" t="str">
            <v>ย137</v>
          </cell>
          <cell r="C7435" t="str">
            <v>ซาติน แขนยาวขายาว ย137-M</v>
          </cell>
        </row>
        <row r="7436">
          <cell r="A7436" t="str">
            <v>ย138-M</v>
          </cell>
          <cell r="B7436" t="str">
            <v>ย138</v>
          </cell>
          <cell r="C7436" t="str">
            <v>ซาติน แขนยาวขายาว ย138-M</v>
          </cell>
        </row>
        <row r="7437">
          <cell r="A7437" t="str">
            <v>ย139-M</v>
          </cell>
          <cell r="B7437" t="str">
            <v>ย139</v>
          </cell>
          <cell r="C7437" t="str">
            <v>ซาติน แขนยาวขายาว ย139-M</v>
          </cell>
        </row>
        <row r="7438">
          <cell r="A7438" t="str">
            <v>ย140-M</v>
          </cell>
          <cell r="B7438" t="str">
            <v>ย140</v>
          </cell>
          <cell r="C7438" t="str">
            <v>ซาติน แขนยาวขายาว ย140-M</v>
          </cell>
        </row>
        <row r="7439">
          <cell r="A7439" t="str">
            <v>ย141-M</v>
          </cell>
          <cell r="B7439" t="str">
            <v>ย141</v>
          </cell>
          <cell r="C7439" t="str">
            <v>ซาติน แขนยาวขายาว ย141-M</v>
          </cell>
        </row>
        <row r="7440">
          <cell r="A7440" t="str">
            <v>ย143-M</v>
          </cell>
          <cell r="B7440" t="str">
            <v>ย143</v>
          </cell>
          <cell r="C7440" t="str">
            <v>ซาติน แขนยาวขายาว ย143-M</v>
          </cell>
        </row>
        <row r="7441">
          <cell r="A7441" t="str">
            <v>ย144-M</v>
          </cell>
          <cell r="B7441" t="str">
            <v>ย144</v>
          </cell>
          <cell r="C7441" t="str">
            <v>ซาติน แขนยาวขายาว ย144-M</v>
          </cell>
        </row>
        <row r="7442">
          <cell r="A7442" t="str">
            <v>ย145-L</v>
          </cell>
          <cell r="B7442" t="str">
            <v>ย145</v>
          </cell>
          <cell r="C7442" t="str">
            <v>ซาติน แขนยาวขายาว ย145-L</v>
          </cell>
        </row>
        <row r="7443">
          <cell r="A7443" t="str">
            <v>ย146-M</v>
          </cell>
          <cell r="B7443" t="str">
            <v>ย146</v>
          </cell>
          <cell r="C7443" t="str">
            <v>ซาติน แขนยาวขายาว ย146-M</v>
          </cell>
        </row>
        <row r="7444">
          <cell r="A7444" t="str">
            <v>ย147-M</v>
          </cell>
          <cell r="B7444" t="str">
            <v>ย147</v>
          </cell>
          <cell r="C7444" t="str">
            <v>ซาติน แขนยาวขายาว ย147-M</v>
          </cell>
        </row>
        <row r="7445">
          <cell r="A7445" t="str">
            <v>ย148-M</v>
          </cell>
          <cell r="B7445" t="str">
            <v>ย148</v>
          </cell>
          <cell r="C7445" t="str">
            <v>ซาติน แขนยาวขายาว ย148-M</v>
          </cell>
        </row>
        <row r="7446">
          <cell r="A7446" t="str">
            <v>ย148M</v>
          </cell>
          <cell r="B7446" t="str">
            <v>ย148</v>
          </cell>
          <cell r="C7446" t="str">
            <v>ย148M</v>
          </cell>
        </row>
        <row r="7447">
          <cell r="A7447" t="str">
            <v>ย149-M</v>
          </cell>
          <cell r="B7447" t="str">
            <v>ย149</v>
          </cell>
          <cell r="C7447" t="str">
            <v>ซาติน แขนยาวขายาว ย149-M</v>
          </cell>
        </row>
        <row r="7448">
          <cell r="A7448" t="str">
            <v>ย150-M</v>
          </cell>
          <cell r="B7448" t="str">
            <v>ย150</v>
          </cell>
          <cell r="C7448" t="str">
            <v>ซาติน แขนยาวขายาว ย150-M</v>
          </cell>
        </row>
        <row r="7449">
          <cell r="A7449" t="str">
            <v>ย151-M</v>
          </cell>
          <cell r="B7449" t="str">
            <v>ย151</v>
          </cell>
          <cell r="C7449" t="str">
            <v>ซาติน แขนยาวขายาว ย151-M</v>
          </cell>
        </row>
        <row r="7450">
          <cell r="A7450" t="str">
            <v>ส1-L</v>
          </cell>
          <cell r="B7450" t="str">
            <v>ส1</v>
          </cell>
          <cell r="C7450" t="str">
            <v>ซาติน แขนสั้นขายาว ส1-L</v>
          </cell>
        </row>
        <row r="7451">
          <cell r="A7451" t="str">
            <v>ส2-M</v>
          </cell>
          <cell r="B7451" t="str">
            <v>ส2</v>
          </cell>
          <cell r="C7451" t="str">
            <v>ซาติน แขนสั้นขายาว ส2-M</v>
          </cell>
        </row>
        <row r="7452">
          <cell r="A7452" t="str">
            <v>ส3-L</v>
          </cell>
          <cell r="B7452" t="str">
            <v>ส3</v>
          </cell>
          <cell r="C7452" t="str">
            <v>ซาติน แขนสั้นขายาว ส3-L</v>
          </cell>
        </row>
        <row r="7453">
          <cell r="A7453" t="str">
            <v>ส4-L</v>
          </cell>
          <cell r="B7453" t="str">
            <v>ส4</v>
          </cell>
          <cell r="C7453" t="str">
            <v>ซาติน แขนสั้นขายาว ส4-L</v>
          </cell>
        </row>
        <row r="7454">
          <cell r="A7454" t="str">
            <v>ส5-M</v>
          </cell>
          <cell r="B7454" t="str">
            <v>ส5</v>
          </cell>
          <cell r="C7454" t="str">
            <v>ซาติน แขนสั้นขายาว ส5-M</v>
          </cell>
        </row>
        <row r="7455">
          <cell r="A7455" t="str">
            <v>ส6-M</v>
          </cell>
          <cell r="B7455" t="str">
            <v>ส6</v>
          </cell>
          <cell r="C7455" t="str">
            <v>ซาติน แขนสั้นขายาว ส6-M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338"/>
  <sheetViews>
    <sheetView tabSelected="1" zoomScale="85" zoomScaleNormal="85" workbookViewId="0">
      <selection activeCell="J3" sqref="J3"/>
    </sheetView>
  </sheetViews>
  <sheetFormatPr defaultRowHeight="32.4" customHeight="1"/>
  <cols>
    <col min="1" max="1" width="6.88671875" style="1" customWidth="1"/>
    <col min="2" max="2" width="22.21875" style="1" customWidth="1"/>
    <col min="3" max="3" width="12.21875" style="65" customWidth="1"/>
    <col min="4" max="4" width="15" style="1" customWidth="1"/>
    <col min="5" max="5" width="10.33203125" style="1" customWidth="1"/>
    <col min="6" max="6" width="45.21875" style="17" customWidth="1"/>
    <col min="7" max="7" width="7.88671875" style="18" customWidth="1"/>
    <col min="8" max="8" width="7.77734375" style="18" customWidth="1"/>
    <col min="9" max="9" width="7.77734375" style="26" customWidth="1"/>
    <col min="10" max="10" width="14.88671875" style="26" customWidth="1"/>
    <col min="11" max="11" width="9.33203125" style="19" customWidth="1"/>
    <col min="12" max="12" width="9.33203125" style="47" customWidth="1"/>
    <col min="13" max="13" width="16.77734375" style="31" customWidth="1"/>
    <col min="14" max="14" width="20.21875" style="38" customWidth="1"/>
    <col min="15" max="15" width="16.77734375" style="34" customWidth="1"/>
    <col min="16" max="16" width="20.21875" style="40" customWidth="1"/>
    <col min="17" max="17" width="29.77734375" style="1" customWidth="1"/>
    <col min="18" max="18" width="16.77734375" style="1" hidden="1" customWidth="1"/>
    <col min="20" max="20" width="47.21875" bestFit="1" customWidth="1"/>
    <col min="21" max="21" width="24" customWidth="1"/>
    <col min="22" max="24" width="24.21875" customWidth="1"/>
  </cols>
  <sheetData>
    <row r="1" spans="1:24" ht="32.4" customHeight="1" thickBot="1">
      <c r="A1" s="106" t="s">
        <v>7</v>
      </c>
      <c r="B1" s="108" t="s">
        <v>8</v>
      </c>
      <c r="C1" s="51" t="s">
        <v>0</v>
      </c>
      <c r="D1" s="110" t="s">
        <v>0</v>
      </c>
      <c r="E1" s="51" t="s">
        <v>9</v>
      </c>
      <c r="F1" s="108" t="s">
        <v>10</v>
      </c>
      <c r="G1" s="113" t="s">
        <v>11</v>
      </c>
      <c r="H1" s="114"/>
      <c r="I1" s="122" t="s">
        <v>12</v>
      </c>
      <c r="J1" s="123"/>
      <c r="K1" s="115" t="s">
        <v>4</v>
      </c>
      <c r="L1" s="116"/>
      <c r="M1" s="116"/>
      <c r="N1" s="116"/>
      <c r="O1" s="116"/>
      <c r="P1" s="117"/>
      <c r="Q1" s="132" t="s">
        <v>13</v>
      </c>
      <c r="R1" s="83"/>
      <c r="T1" s="130" t="s">
        <v>14</v>
      </c>
      <c r="U1" s="48" t="s">
        <v>6</v>
      </c>
      <c r="V1" s="128" t="s">
        <v>18</v>
      </c>
      <c r="W1" s="124" t="s">
        <v>22</v>
      </c>
      <c r="X1" s="126" t="s">
        <v>19</v>
      </c>
    </row>
    <row r="2" spans="1:24" ht="32.4" customHeight="1" thickBot="1">
      <c r="A2" s="107"/>
      <c r="B2" s="109"/>
      <c r="C2" s="52" t="s">
        <v>21</v>
      </c>
      <c r="D2" s="111"/>
      <c r="E2" s="52" t="s">
        <v>15</v>
      </c>
      <c r="F2" s="112"/>
      <c r="G2" s="75" t="s">
        <v>1</v>
      </c>
      <c r="H2" s="77" t="s">
        <v>16</v>
      </c>
      <c r="I2" s="76" t="s">
        <v>16</v>
      </c>
      <c r="J2" s="74" t="s">
        <v>20</v>
      </c>
      <c r="K2" s="67" t="s">
        <v>2</v>
      </c>
      <c r="L2" s="41" t="s">
        <v>3</v>
      </c>
      <c r="M2" s="118" t="s">
        <v>11</v>
      </c>
      <c r="N2" s="119"/>
      <c r="O2" s="120" t="s">
        <v>17</v>
      </c>
      <c r="P2" s="121"/>
      <c r="Q2" s="133"/>
      <c r="R2" s="83"/>
      <c r="T2" s="131"/>
      <c r="U2" s="49" t="s">
        <v>5</v>
      </c>
      <c r="V2" s="129"/>
      <c r="W2" s="125"/>
      <c r="X2" s="127"/>
    </row>
    <row r="3" spans="1:24" ht="32.4" customHeight="1" thickBot="1">
      <c r="A3" s="134">
        <v>1</v>
      </c>
      <c r="B3" s="85"/>
      <c r="C3" s="85" t="s">
        <v>45</v>
      </c>
      <c r="D3" s="53" t="str">
        <f>IF(G3=0,"",C3&amp;"-"&amp;G3)</f>
        <v>SK0344-M</v>
      </c>
      <c r="E3" s="53" t="str">
        <f>IF(G3="","",IF(LEN(LEFT(C3,SEARCH("0",C3,1)-1))&lt;2,RIGHT(LEFT(C3,SEARCH("0",C3,1)-1),1)&amp;INT(RIGHT(C3,4)),RIGHT(LEFT(C3,SEARCH("0",C3,1)-1),1)&amp;INT(RIGHT(C3,4))))</f>
        <v>K344</v>
      </c>
      <c r="F3" s="2" t="s">
        <v>47</v>
      </c>
      <c r="G3" s="13" t="s">
        <v>39</v>
      </c>
      <c r="H3" s="10">
        <v>10</v>
      </c>
      <c r="I3" s="22">
        <v>10</v>
      </c>
      <c r="J3" s="72" t="s">
        <v>51</v>
      </c>
      <c r="K3" s="68">
        <v>63</v>
      </c>
      <c r="L3" s="42">
        <f>K3*$U$3</f>
        <v>346.5</v>
      </c>
      <c r="M3" s="27">
        <f t="shared" ref="M3:M34" si="0">H3*L3</f>
        <v>3465</v>
      </c>
      <c r="N3" s="96">
        <f>SUM(M3:M7)</f>
        <v>6930</v>
      </c>
      <c r="O3" s="35">
        <f t="shared" ref="O3:O34" si="1">I3*L3</f>
        <v>3465</v>
      </c>
      <c r="P3" s="99">
        <f>SUM(O3:O7)</f>
        <v>6930</v>
      </c>
      <c r="Q3" s="103" t="str">
        <f>IF(N3=P3,"",IF(N3&gt;P3,"Loss",IF(N3&lt;P3,"Over")))</f>
        <v/>
      </c>
      <c r="R3" s="84" t="str">
        <f>LEFT(E3,1)</f>
        <v>K</v>
      </c>
      <c r="S3" t="str">
        <f t="shared" ref="S3:S34" si="2">IF(H3&lt;&gt;I3,"F","")</f>
        <v/>
      </c>
      <c r="T3" s="82" t="s">
        <v>23</v>
      </c>
      <c r="U3" s="50">
        <v>5.5</v>
      </c>
      <c r="V3" s="60">
        <f>SUM($N$3:$N$9810)</f>
        <v>22990</v>
      </c>
      <c r="W3" s="61">
        <f>SUM($P$3:$P$9810)</f>
        <v>22990</v>
      </c>
      <c r="X3" s="62">
        <f>W3-V3</f>
        <v>0</v>
      </c>
    </row>
    <row r="4" spans="1:24" ht="32.4" customHeight="1" thickBot="1">
      <c r="A4" s="135"/>
      <c r="B4" s="86"/>
      <c r="C4" s="86"/>
      <c r="D4" s="54" t="str">
        <f>IF(G4=0,"",C3&amp;"-"&amp;G4)</f>
        <v>SK0344-L</v>
      </c>
      <c r="E4" s="54" t="str">
        <f>IF(G4="","",IF(LEN(LEFT(C3,SEARCH("0",C3,1)-1))&lt;2,RIGHT(LEFT(C3,SEARCH("0",C3,1)-1),1)&amp;INT(RIGHT(C3,4)),RIGHT(LEFT(C3,SEARCH("0",C3,1)-1),1)&amp;INT(RIGHT(C3,4))))</f>
        <v>K344</v>
      </c>
      <c r="F4" s="5" t="s">
        <v>48</v>
      </c>
      <c r="G4" s="6" t="s">
        <v>40</v>
      </c>
      <c r="H4" s="10">
        <v>10</v>
      </c>
      <c r="I4" s="22">
        <v>10</v>
      </c>
      <c r="J4" s="73" t="str">
        <f>IF(D4&lt;&gt;"",$J$3,"")</f>
        <v>78647293395246 po</v>
      </c>
      <c r="K4" s="68">
        <v>63</v>
      </c>
      <c r="L4" s="43">
        <f>K4*$U$3</f>
        <v>346.5</v>
      </c>
      <c r="M4" s="28">
        <f t="shared" si="0"/>
        <v>3465</v>
      </c>
      <c r="N4" s="97"/>
      <c r="O4" s="32">
        <f t="shared" si="1"/>
        <v>3465</v>
      </c>
      <c r="P4" s="100"/>
      <c r="Q4" s="104"/>
      <c r="R4" s="84" t="str">
        <f t="shared" ref="R4:R67" si="3">LEFT(E4,1)</f>
        <v>K</v>
      </c>
      <c r="S4" t="str">
        <f t="shared" si="2"/>
        <v/>
      </c>
    </row>
    <row r="5" spans="1:24" ht="32.4" customHeight="1" thickBot="1">
      <c r="A5" s="136"/>
      <c r="B5" s="86"/>
      <c r="C5" s="86"/>
      <c r="D5" s="54" t="str">
        <f>IF(G5=0,"",C3&amp;"-"&amp;G5)</f>
        <v/>
      </c>
      <c r="E5" s="54" t="str">
        <f>IF(G5="","",IF(LEN(LEFT(C3,SEARCH("0",C3,1)-1))&lt;2,RIGHT(LEFT(C3,SEARCH("0",C3,1)-1),1)&amp;INT(RIGHT(C3,4)),RIGHT(LEFT(C3,SEARCH("0",C3,1)-1),1)&amp;INT(RIGHT(C3,4))))</f>
        <v/>
      </c>
      <c r="F5" s="8" t="str">
        <f>IF(G5=0,"",VLOOKUP(D5,[1]Worksheet!$A:$C,3,0))</f>
        <v/>
      </c>
      <c r="G5" s="9"/>
      <c r="H5" s="10"/>
      <c r="I5" s="22"/>
      <c r="J5" s="73" t="str">
        <f t="shared" ref="J5:J68" si="4">IF(D5&lt;&gt;"",$J$3,"")</f>
        <v/>
      </c>
      <c r="K5" s="68"/>
      <c r="L5" s="44">
        <f>K5*$U$3</f>
        <v>0</v>
      </c>
      <c r="M5" s="28">
        <f t="shared" si="0"/>
        <v>0</v>
      </c>
      <c r="N5" s="97"/>
      <c r="O5" s="32">
        <f t="shared" si="1"/>
        <v>0</v>
      </c>
      <c r="P5" s="100"/>
      <c r="Q5" s="104"/>
      <c r="R5" s="84" t="str">
        <f t="shared" si="3"/>
        <v/>
      </c>
      <c r="S5" t="str">
        <f t="shared" si="2"/>
        <v/>
      </c>
    </row>
    <row r="6" spans="1:24" ht="32.4" customHeight="1" thickBot="1">
      <c r="A6" s="136"/>
      <c r="B6" s="86"/>
      <c r="C6" s="86"/>
      <c r="D6" s="54" t="str">
        <f>IF(G6=0,"",C3&amp;"-"&amp;G6)</f>
        <v/>
      </c>
      <c r="E6" s="54" t="str">
        <f>IF(G6="","",IF(LEN(LEFT(C3,SEARCH("0",C3,1)-1))&lt;2,RIGHT(LEFT(C3,SEARCH("0",C3,1)-1),1)&amp;INT(RIGHT(C3,4)),RIGHT(LEFT(C3,SEARCH("0",C3,1)-1),1)&amp;INT(RIGHT(C3,4))))</f>
        <v/>
      </c>
      <c r="F6" s="8" t="str">
        <f>IF(G6=0,"",VLOOKUP(D6,[1]Worksheet!$A:$C,3,0))</f>
        <v/>
      </c>
      <c r="G6" s="10"/>
      <c r="H6" s="10"/>
      <c r="I6" s="22"/>
      <c r="J6" s="73" t="str">
        <f t="shared" si="4"/>
        <v/>
      </c>
      <c r="K6" s="68"/>
      <c r="L6" s="43">
        <f t="shared" ref="L6:L69" si="5">K6*$U$3</f>
        <v>0</v>
      </c>
      <c r="M6" s="28">
        <f t="shared" si="0"/>
        <v>0</v>
      </c>
      <c r="N6" s="97"/>
      <c r="O6" s="32">
        <f t="shared" si="1"/>
        <v>0</v>
      </c>
      <c r="P6" s="100"/>
      <c r="Q6" s="104"/>
      <c r="R6" s="84" t="str">
        <f t="shared" si="3"/>
        <v/>
      </c>
      <c r="S6" t="str">
        <f t="shared" si="2"/>
        <v/>
      </c>
    </row>
    <row r="7" spans="1:24" ht="32.4" customHeight="1" thickBot="1">
      <c r="A7" s="137"/>
      <c r="B7" s="87"/>
      <c r="C7" s="87"/>
      <c r="D7" s="55" t="str">
        <f>IF(G7=0,"",C3&amp;"-"&amp;G7)</f>
        <v/>
      </c>
      <c r="E7" s="55" t="str">
        <f>IF(G7="","",IF(LEN(LEFT(C3,SEARCH("0",C3,1)-1))&lt;2,RIGHT(LEFT(C3,SEARCH("0",C3,1)-1),1)&amp;INT(RIGHT(C3,4)),RIGHT(LEFT(C3,SEARCH("0",C3,1)-1),1)&amp;INT(RIGHT(C3,4))))</f>
        <v/>
      </c>
      <c r="F7" s="11" t="str">
        <f>IF(G7=0,"",VLOOKUP(D7,[1]Worksheet!$A:$C,3,0))</f>
        <v/>
      </c>
      <c r="G7" s="13"/>
      <c r="H7" s="7"/>
      <c r="I7" s="21"/>
      <c r="J7" s="73" t="str">
        <f t="shared" si="4"/>
        <v/>
      </c>
      <c r="K7" s="71"/>
      <c r="L7" s="45">
        <f t="shared" si="5"/>
        <v>0</v>
      </c>
      <c r="M7" s="29">
        <f t="shared" si="0"/>
        <v>0</v>
      </c>
      <c r="N7" s="98"/>
      <c r="O7" s="36">
        <f t="shared" si="1"/>
        <v>0</v>
      </c>
      <c r="P7" s="101"/>
      <c r="Q7" s="105"/>
      <c r="R7" s="84" t="str">
        <f t="shared" si="3"/>
        <v/>
      </c>
      <c r="S7" t="str">
        <f t="shared" si="2"/>
        <v/>
      </c>
      <c r="T7" s="79" t="s">
        <v>33</v>
      </c>
      <c r="U7" s="78">
        <f>SUMIF(R:R,"A",I:I)</f>
        <v>0</v>
      </c>
    </row>
    <row r="8" spans="1:24" ht="32.4" customHeight="1" thickBot="1">
      <c r="A8" s="138">
        <f>A3+1</f>
        <v>2</v>
      </c>
      <c r="B8" s="102"/>
      <c r="C8" s="85" t="s">
        <v>46</v>
      </c>
      <c r="D8" s="53" t="str">
        <f>IF(G8=0,"",C8&amp;"-"&amp;G8)</f>
        <v>SK0345-M</v>
      </c>
      <c r="E8" s="53" t="str">
        <f>IF(G8="","",IF(LEN(LEFT(C8,SEARCH("0",C8,1)-1))&lt;2,RIGHT(LEFT(C8,SEARCH("0",C8,1)-1),1)&amp;INT(RIGHT(C8,4)),RIGHT(LEFT(C8,SEARCH("0",C8,1)-1),1)&amp;INT(RIGHT(C8,4))))</f>
        <v>K345</v>
      </c>
      <c r="F8" s="2" t="s">
        <v>49</v>
      </c>
      <c r="G8" s="13" t="s">
        <v>39</v>
      </c>
      <c r="H8" s="10">
        <v>10</v>
      </c>
      <c r="I8" s="22">
        <v>10</v>
      </c>
      <c r="J8" s="73" t="str">
        <f t="shared" si="4"/>
        <v>78647293395246 po</v>
      </c>
      <c r="K8" s="68">
        <v>63</v>
      </c>
      <c r="L8" s="42">
        <f t="shared" si="5"/>
        <v>346.5</v>
      </c>
      <c r="M8" s="27">
        <f t="shared" si="0"/>
        <v>3465</v>
      </c>
      <c r="N8" s="96">
        <f>SUM(M8:M12)</f>
        <v>6930</v>
      </c>
      <c r="O8" s="35">
        <f t="shared" si="1"/>
        <v>3465</v>
      </c>
      <c r="P8" s="99">
        <f>SUM(O8:O12)</f>
        <v>6930</v>
      </c>
      <c r="Q8" s="103" t="str">
        <f t="shared" ref="Q8" si="6">IF(N8=P8,"",IF(N8&gt;P8,"Loss",IF(N8&lt;P8,"Over")))</f>
        <v/>
      </c>
      <c r="R8" s="84" t="str">
        <f t="shared" si="3"/>
        <v>K</v>
      </c>
      <c r="S8" t="str">
        <f t="shared" si="2"/>
        <v/>
      </c>
      <c r="T8" s="80" t="s">
        <v>34</v>
      </c>
      <c r="U8" s="78">
        <f>SUMIF(R:R,"B",I:I)</f>
        <v>0</v>
      </c>
    </row>
    <row r="9" spans="1:24" ht="32.4" customHeight="1" thickBot="1">
      <c r="A9" s="139"/>
      <c r="B9" s="93"/>
      <c r="C9" s="86"/>
      <c r="D9" s="54" t="str">
        <f>IF(G9=0,"",C8&amp;"-"&amp;G9)</f>
        <v>SK0345-L</v>
      </c>
      <c r="E9" s="54" t="str">
        <f>IF(G9="","",IF(LEN(LEFT(C8,SEARCH("0",C8,1)-1))&lt;2,RIGHT(LEFT(C8,SEARCH("0",C8,1)-1),1)&amp;INT(RIGHT(C8,4)),RIGHT(LEFT(C8,SEARCH("0",C8,1)-1),1)&amp;INT(RIGHT(C8,4))))</f>
        <v>K345</v>
      </c>
      <c r="F9" s="5" t="s">
        <v>50</v>
      </c>
      <c r="G9" s="6" t="s">
        <v>40</v>
      </c>
      <c r="H9" s="10">
        <v>10</v>
      </c>
      <c r="I9" s="22">
        <v>10</v>
      </c>
      <c r="J9" s="73" t="str">
        <f t="shared" si="4"/>
        <v>78647293395246 po</v>
      </c>
      <c r="K9" s="68">
        <v>63</v>
      </c>
      <c r="L9" s="43">
        <f t="shared" si="5"/>
        <v>346.5</v>
      </c>
      <c r="M9" s="28">
        <f t="shared" si="0"/>
        <v>3465</v>
      </c>
      <c r="N9" s="97"/>
      <c r="O9" s="32">
        <f t="shared" si="1"/>
        <v>3465</v>
      </c>
      <c r="P9" s="100"/>
      <c r="Q9" s="104"/>
      <c r="R9" s="84" t="str">
        <f t="shared" si="3"/>
        <v>K</v>
      </c>
      <c r="S9" t="str">
        <f t="shared" si="2"/>
        <v/>
      </c>
      <c r="T9" s="80" t="s">
        <v>35</v>
      </c>
      <c r="U9" s="78">
        <f>SUMIF(R:R,"C",I:I)</f>
        <v>0</v>
      </c>
    </row>
    <row r="10" spans="1:24" ht="32.4" customHeight="1" thickBot="1">
      <c r="A10" s="140"/>
      <c r="B10" s="94"/>
      <c r="C10" s="86"/>
      <c r="D10" s="54" t="str">
        <f>IF(G10=0,"",C8&amp;"-"&amp;G10)</f>
        <v/>
      </c>
      <c r="E10" s="54" t="str">
        <f>IF(G10="","",IF(LEN(LEFT(C8,SEARCH("0",C8,1)-1))&lt;2,RIGHT(LEFT(C8,SEARCH("0",C8,1)-1),1)&amp;INT(RIGHT(C8,4)),RIGHT(LEFT(C8,SEARCH("0",C8,1)-1),1)&amp;INT(RIGHT(C8,4))))</f>
        <v/>
      </c>
      <c r="F10" s="8" t="str">
        <f>IF(G10=0,"",VLOOKUP(D10,[1]Worksheet!$A:$C,3,0))</f>
        <v/>
      </c>
      <c r="G10" s="9"/>
      <c r="H10" s="10"/>
      <c r="I10" s="22"/>
      <c r="J10" s="73" t="str">
        <f t="shared" si="4"/>
        <v/>
      </c>
      <c r="K10" s="68"/>
      <c r="L10" s="44">
        <f t="shared" si="5"/>
        <v>0</v>
      </c>
      <c r="M10" s="28">
        <f t="shared" si="0"/>
        <v>0</v>
      </c>
      <c r="N10" s="97"/>
      <c r="O10" s="32">
        <f t="shared" si="1"/>
        <v>0</v>
      </c>
      <c r="P10" s="100"/>
      <c r="Q10" s="104"/>
      <c r="R10" s="84" t="str">
        <f t="shared" si="3"/>
        <v/>
      </c>
      <c r="S10" t="str">
        <f t="shared" si="2"/>
        <v/>
      </c>
      <c r="T10" s="80" t="s">
        <v>24</v>
      </c>
      <c r="U10" s="78">
        <f>SUMIF(R:R,"D",I:I)</f>
        <v>0</v>
      </c>
    </row>
    <row r="11" spans="1:24" ht="32.4" customHeight="1" thickBot="1">
      <c r="A11" s="140"/>
      <c r="B11" s="94"/>
      <c r="C11" s="86"/>
      <c r="D11" s="54" t="str">
        <f>IF(G11=0,"",C8&amp;"-"&amp;G11)</f>
        <v/>
      </c>
      <c r="E11" s="54" t="str">
        <f>IF(G11="","",IF(LEN(LEFT(C8,SEARCH("0",C8,1)-1))&lt;2,RIGHT(LEFT(C8,SEARCH("0",C8,1)-1),1)&amp;INT(RIGHT(C8,4)),RIGHT(LEFT(C8,SEARCH("0",C8,1)-1),1)&amp;INT(RIGHT(C8,4))))</f>
        <v/>
      </c>
      <c r="F11" s="8" t="str">
        <f>IF(G11=0,"",VLOOKUP(D11,[1]Worksheet!$A:$C,3,0))</f>
        <v/>
      </c>
      <c r="G11" s="10"/>
      <c r="H11" s="10"/>
      <c r="I11" s="22"/>
      <c r="J11" s="73" t="str">
        <f t="shared" si="4"/>
        <v/>
      </c>
      <c r="K11" s="68"/>
      <c r="L11" s="43">
        <f t="shared" si="5"/>
        <v>0</v>
      </c>
      <c r="M11" s="28">
        <f t="shared" si="0"/>
        <v>0</v>
      </c>
      <c r="N11" s="97"/>
      <c r="O11" s="32">
        <f t="shared" si="1"/>
        <v>0</v>
      </c>
      <c r="P11" s="100"/>
      <c r="Q11" s="104"/>
      <c r="R11" s="84" t="str">
        <f t="shared" si="3"/>
        <v/>
      </c>
      <c r="S11" t="str">
        <f t="shared" si="2"/>
        <v/>
      </c>
      <c r="T11" s="80" t="s">
        <v>32</v>
      </c>
      <c r="U11" s="78">
        <f>SUMIF(R:R,"E",I:I)</f>
        <v>0</v>
      </c>
    </row>
    <row r="12" spans="1:24" ht="32.4" customHeight="1" thickBot="1">
      <c r="A12" s="141"/>
      <c r="B12" s="95"/>
      <c r="C12" s="87"/>
      <c r="D12" s="55" t="str">
        <f>IF(G12=0,"",C8&amp;"-"&amp;G12)</f>
        <v/>
      </c>
      <c r="E12" s="55" t="str">
        <f>IF(G12="","",IF(LEN(LEFT(C8,SEARCH("0",C8,1)-1))&lt;2,RIGHT(LEFT(C8,SEARCH("0",C8,1)-1),1)&amp;INT(RIGHT(C8,4)),RIGHT(LEFT(C8,SEARCH("0",C8,1)-1),1)&amp;INT(RIGHT(C8,4))))</f>
        <v/>
      </c>
      <c r="F12" s="11" t="str">
        <f>IF(G12=0,"",VLOOKUP(D12,[1]Worksheet!$A:$C,3,0))</f>
        <v/>
      </c>
      <c r="G12" s="12"/>
      <c r="H12" s="12"/>
      <c r="I12" s="23"/>
      <c r="J12" s="73" t="str">
        <f t="shared" si="4"/>
        <v/>
      </c>
      <c r="K12" s="71"/>
      <c r="L12" s="45">
        <f t="shared" si="5"/>
        <v>0</v>
      </c>
      <c r="M12" s="29">
        <f t="shared" si="0"/>
        <v>0</v>
      </c>
      <c r="N12" s="98"/>
      <c r="O12" s="36">
        <f t="shared" si="1"/>
        <v>0</v>
      </c>
      <c r="P12" s="101"/>
      <c r="Q12" s="105"/>
      <c r="R12" s="84" t="str">
        <f t="shared" si="3"/>
        <v/>
      </c>
      <c r="S12" t="str">
        <f t="shared" si="2"/>
        <v/>
      </c>
      <c r="T12" s="80" t="s">
        <v>25</v>
      </c>
      <c r="U12" s="78">
        <f>SUMIF(R:R,"G",I:I)</f>
        <v>0</v>
      </c>
    </row>
    <row r="13" spans="1:24" ht="32.4" customHeight="1" thickBot="1">
      <c r="A13" s="138">
        <f>A8+1</f>
        <v>3</v>
      </c>
      <c r="B13" s="92"/>
      <c r="C13" s="85" t="s">
        <v>37</v>
      </c>
      <c r="D13" s="53" t="str">
        <f>IF(G13=0,"",C13&amp;"-"&amp;G13)</f>
        <v>SP0957-M</v>
      </c>
      <c r="E13" s="53" t="str">
        <f>IF(G13="","",IF(LEN(LEFT(C13,SEARCH("0",C13,1)-1))&lt;2,RIGHT(LEFT(C13,SEARCH("0",C13,1)-1),1)&amp;INT(RIGHT(C13,4)),RIGHT(LEFT(C13,SEARCH("0",C13,1)-1),1)&amp;INT(RIGHT(C13,4))))</f>
        <v>P957</v>
      </c>
      <c r="F13" s="2" t="s">
        <v>43</v>
      </c>
      <c r="G13" s="13" t="s">
        <v>39</v>
      </c>
      <c r="H13" s="10">
        <v>5</v>
      </c>
      <c r="I13" s="22">
        <v>5</v>
      </c>
      <c r="J13" s="73" t="str">
        <f t="shared" si="4"/>
        <v>78647293395246 po</v>
      </c>
      <c r="K13" s="68">
        <v>83</v>
      </c>
      <c r="L13" s="42">
        <f t="shared" si="5"/>
        <v>456.5</v>
      </c>
      <c r="M13" s="27">
        <f t="shared" si="0"/>
        <v>2282.5</v>
      </c>
      <c r="N13" s="96">
        <f>SUM(M13:M17)</f>
        <v>4565</v>
      </c>
      <c r="O13" s="35">
        <f t="shared" si="1"/>
        <v>2282.5</v>
      </c>
      <c r="P13" s="99">
        <f>SUM(O13:O17)</f>
        <v>4565</v>
      </c>
      <c r="Q13" s="103" t="str">
        <f t="shared" ref="Q13" si="7">IF(N13=P13,"",IF(N13&gt;P13,"Loss",IF(N13&lt;P13,"Over")))</f>
        <v/>
      </c>
      <c r="R13" s="84" t="str">
        <f t="shared" si="3"/>
        <v>P</v>
      </c>
      <c r="S13" t="str">
        <f t="shared" si="2"/>
        <v/>
      </c>
      <c r="T13" s="80" t="s">
        <v>26</v>
      </c>
      <c r="U13" s="78">
        <f>SUMIF(R:R,"K",I:I)</f>
        <v>40</v>
      </c>
    </row>
    <row r="14" spans="1:24" ht="32.4" customHeight="1" thickBot="1">
      <c r="A14" s="139"/>
      <c r="B14" s="93"/>
      <c r="C14" s="86"/>
      <c r="D14" s="54" t="str">
        <f>IF(G14=0,"",C13&amp;"-"&amp;G14)</f>
        <v>SP0957-L</v>
      </c>
      <c r="E14" s="54" t="str">
        <f>IF(G14="","",IF(LEN(LEFT(C13,SEARCH("0",C13,1)-1))&lt;2,RIGHT(LEFT(C13,SEARCH("0",C13,1)-1),1)&amp;INT(RIGHT(C13,4)),RIGHT(LEFT(C13,SEARCH("0",C13,1)-1),1)&amp;INT(RIGHT(C13,4))))</f>
        <v>P957</v>
      </c>
      <c r="F14" s="2" t="s">
        <v>44</v>
      </c>
      <c r="G14" s="6" t="s">
        <v>40</v>
      </c>
      <c r="H14" s="10">
        <v>5</v>
      </c>
      <c r="I14" s="22">
        <v>5</v>
      </c>
      <c r="J14" s="73" t="str">
        <f t="shared" si="4"/>
        <v>78647293395246 po</v>
      </c>
      <c r="K14" s="69">
        <v>83</v>
      </c>
      <c r="L14" s="43">
        <f t="shared" si="5"/>
        <v>456.5</v>
      </c>
      <c r="M14" s="28">
        <f t="shared" si="0"/>
        <v>2282.5</v>
      </c>
      <c r="N14" s="97"/>
      <c r="O14" s="32">
        <f t="shared" si="1"/>
        <v>2282.5</v>
      </c>
      <c r="P14" s="100"/>
      <c r="Q14" s="104"/>
      <c r="R14" s="84" t="str">
        <f t="shared" si="3"/>
        <v>P</v>
      </c>
      <c r="S14" t="str">
        <f t="shared" si="2"/>
        <v/>
      </c>
      <c r="T14" s="80" t="s">
        <v>27</v>
      </c>
      <c r="U14" s="78">
        <f>SUMIF(R:R,"N",I:I)+SUMIF(R:R,"W",I:I)</f>
        <v>0</v>
      </c>
    </row>
    <row r="15" spans="1:24" ht="32.4" customHeight="1" thickBot="1">
      <c r="A15" s="140"/>
      <c r="B15" s="94"/>
      <c r="C15" s="86"/>
      <c r="D15" s="54" t="str">
        <f>IF(G15=0,"",C13&amp;"-"&amp;G15)</f>
        <v/>
      </c>
      <c r="E15" s="54" t="str">
        <f>IF(G15="","",IF(LEN(LEFT(C13,SEARCH("0",C13,1)-1))&lt;2,RIGHT(LEFT(C13,SEARCH("0",C13,1)-1),1)&amp;INT(RIGHT(C13,4)),RIGHT(LEFT(C13,SEARCH("0",C13,1)-1),1)&amp;INT(RIGHT(C13,4))))</f>
        <v/>
      </c>
      <c r="F15" s="8" t="str">
        <f>IF(G15=0,"",VLOOKUP(D15,[1]Worksheet!$A:$C,3,0))</f>
        <v/>
      </c>
      <c r="G15" s="9"/>
      <c r="H15" s="10"/>
      <c r="I15" s="22"/>
      <c r="J15" s="73" t="str">
        <f t="shared" si="4"/>
        <v/>
      </c>
      <c r="K15" s="69"/>
      <c r="L15" s="44">
        <f t="shared" si="5"/>
        <v>0</v>
      </c>
      <c r="M15" s="28">
        <f t="shared" si="0"/>
        <v>0</v>
      </c>
      <c r="N15" s="97"/>
      <c r="O15" s="32">
        <f t="shared" si="1"/>
        <v>0</v>
      </c>
      <c r="P15" s="100"/>
      <c r="Q15" s="104"/>
      <c r="R15" s="84" t="str">
        <f t="shared" si="3"/>
        <v/>
      </c>
      <c r="S15" t="str">
        <f t="shared" si="2"/>
        <v/>
      </c>
      <c r="T15" s="80" t="s">
        <v>28</v>
      </c>
      <c r="U15" s="78">
        <f>SUMIF(R:R,"T",I:I) + SUMIF(R:R,"V",I:I) + SUMIF(R:R,"X",I:I) + SUMIF(R:R,"R",I:I)</f>
        <v>0</v>
      </c>
    </row>
    <row r="16" spans="1:24" ht="32.4" customHeight="1" thickBot="1">
      <c r="A16" s="140"/>
      <c r="B16" s="94"/>
      <c r="C16" s="86"/>
      <c r="D16" s="54" t="str">
        <f>IF(G16=0,"",C13&amp;"-"&amp;G16)</f>
        <v/>
      </c>
      <c r="E16" s="54" t="str">
        <f>IF(G16="","",IF(LEN(LEFT(C13,SEARCH("0",C13,1)-1))&lt;2,RIGHT(LEFT(C13,SEARCH("0",C13,1)-1),1)&amp;INT(RIGHT(C13,4)),RIGHT(LEFT(C13,SEARCH("0",C13,1)-1),1)&amp;INT(RIGHT(C13,4))))</f>
        <v/>
      </c>
      <c r="F16" s="8" t="str">
        <f>IF(G16=0,"",VLOOKUP(D16,[1]Worksheet!$A:$C,3,0))</f>
        <v/>
      </c>
      <c r="G16" s="10"/>
      <c r="H16" s="10"/>
      <c r="I16" s="22"/>
      <c r="J16" s="73" t="str">
        <f t="shared" si="4"/>
        <v/>
      </c>
      <c r="K16" s="70"/>
      <c r="L16" s="43">
        <f t="shared" si="5"/>
        <v>0</v>
      </c>
      <c r="M16" s="28">
        <f t="shared" si="0"/>
        <v>0</v>
      </c>
      <c r="N16" s="97"/>
      <c r="O16" s="32">
        <f t="shared" si="1"/>
        <v>0</v>
      </c>
      <c r="P16" s="100"/>
      <c r="Q16" s="104"/>
      <c r="R16" s="84" t="str">
        <f t="shared" si="3"/>
        <v/>
      </c>
      <c r="S16" t="str">
        <f t="shared" si="2"/>
        <v/>
      </c>
      <c r="T16" s="80" t="s">
        <v>29</v>
      </c>
      <c r="U16" s="78">
        <f>SUMIF(R:R,"P",I:I)</f>
        <v>20</v>
      </c>
    </row>
    <row r="17" spans="1:24" ht="32.4" customHeight="1" thickBot="1">
      <c r="A17" s="141"/>
      <c r="B17" s="95"/>
      <c r="C17" s="87"/>
      <c r="D17" s="55" t="str">
        <f>IF(G17=0,"",C13&amp;"-"&amp;G17)</f>
        <v/>
      </c>
      <c r="E17" s="55" t="str">
        <f>IF(G17="","",IF(LEN(LEFT(C13,SEARCH("0",C13,1)-1))&lt;2,RIGHT(LEFT(C13,SEARCH("0",C13,1)-1),1)&amp;INT(RIGHT(C13,4)),RIGHT(LEFT(C13,SEARCH("0",C13,1)-1),1)&amp;INT(RIGHT(C13,4))))</f>
        <v/>
      </c>
      <c r="F17" s="11" t="str">
        <f>IF(G17=0,"",VLOOKUP(D17,[1]Worksheet!$A:$C,3,0))</f>
        <v/>
      </c>
      <c r="G17" s="12"/>
      <c r="H17" s="12"/>
      <c r="I17" s="23"/>
      <c r="J17" s="73" t="str">
        <f t="shared" si="4"/>
        <v/>
      </c>
      <c r="K17" s="71"/>
      <c r="L17" s="45">
        <f t="shared" si="5"/>
        <v>0</v>
      </c>
      <c r="M17" s="29">
        <f t="shared" si="0"/>
        <v>0</v>
      </c>
      <c r="N17" s="98"/>
      <c r="O17" s="36">
        <f t="shared" si="1"/>
        <v>0</v>
      </c>
      <c r="P17" s="101"/>
      <c r="Q17" s="105"/>
      <c r="R17" s="84" t="str">
        <f t="shared" si="3"/>
        <v/>
      </c>
      <c r="S17" t="str">
        <f t="shared" si="2"/>
        <v/>
      </c>
      <c r="T17" s="80" t="s">
        <v>30</v>
      </c>
      <c r="U17" s="78">
        <f>SUMIF(R:R,"U",I:I)</f>
        <v>0</v>
      </c>
    </row>
    <row r="18" spans="1:24" ht="32.4" customHeight="1" thickBot="1">
      <c r="A18" s="138">
        <f>A13+1</f>
        <v>4</v>
      </c>
      <c r="B18" s="92"/>
      <c r="C18" s="85" t="s">
        <v>38</v>
      </c>
      <c r="D18" s="53" t="str">
        <f>IF(G18=0,"",C18&amp;"-"&amp;G18)</f>
        <v>SP0958-M</v>
      </c>
      <c r="E18" s="53" t="str">
        <f>IF(G18="","",IF(LEN(LEFT(C18,SEARCH("0",C18,1)-1))&lt;2,RIGHT(LEFT(C18,SEARCH("0",C18,1)-1),1)&amp;INT(RIGHT(C18,4)),RIGHT(LEFT(C18,SEARCH("0",C18,1)-1),1)&amp;INT(RIGHT(C18,4))))</f>
        <v>P958</v>
      </c>
      <c r="F18" s="2" t="s">
        <v>41</v>
      </c>
      <c r="G18" s="13" t="s">
        <v>39</v>
      </c>
      <c r="H18" s="10">
        <v>5</v>
      </c>
      <c r="I18" s="22">
        <v>5</v>
      </c>
      <c r="J18" s="73" t="str">
        <f t="shared" si="4"/>
        <v>78647293395246 po</v>
      </c>
      <c r="K18" s="68">
        <v>83</v>
      </c>
      <c r="L18" s="42">
        <f t="shared" si="5"/>
        <v>456.5</v>
      </c>
      <c r="M18" s="27">
        <f t="shared" si="0"/>
        <v>2282.5</v>
      </c>
      <c r="N18" s="96">
        <f>SUM(M18:M22)</f>
        <v>4565</v>
      </c>
      <c r="O18" s="35">
        <f t="shared" si="1"/>
        <v>2282.5</v>
      </c>
      <c r="P18" s="99">
        <f>SUM(O18:O22)</f>
        <v>4565</v>
      </c>
      <c r="Q18" s="103" t="str">
        <f t="shared" ref="Q18" si="8">IF(N18=P18,"",IF(N18&gt;P18,"Loss",IF(N18&lt;P18,"Over")))</f>
        <v/>
      </c>
      <c r="R18" s="84" t="str">
        <f t="shared" si="3"/>
        <v>P</v>
      </c>
      <c r="S18" t="str">
        <f t="shared" si="2"/>
        <v/>
      </c>
      <c r="T18" s="81" t="s">
        <v>31</v>
      </c>
      <c r="U18" s="78">
        <f>SUMIF(R:R,"Y",I:I)</f>
        <v>0</v>
      </c>
    </row>
    <row r="19" spans="1:24" ht="32.4" customHeight="1" thickBot="1">
      <c r="A19" s="139"/>
      <c r="B19" s="93"/>
      <c r="C19" s="86"/>
      <c r="D19" s="54" t="str">
        <f>IF(G19=0,"",C18&amp;"-"&amp;G19)</f>
        <v>SP0958-L</v>
      </c>
      <c r="E19" s="54" t="str">
        <f>IF(G19="","",IF(LEN(LEFT(C18,SEARCH("0",C18,1)-1))&lt;2,RIGHT(LEFT(C18,SEARCH("0",C18,1)-1),1)&amp;INT(RIGHT(C18,4)),RIGHT(LEFT(C18,SEARCH("0",C18,1)-1),1)&amp;INT(RIGHT(C18,4))))</f>
        <v>P958</v>
      </c>
      <c r="F19" s="5" t="s">
        <v>42</v>
      </c>
      <c r="G19" s="6" t="s">
        <v>40</v>
      </c>
      <c r="H19" s="10">
        <v>5</v>
      </c>
      <c r="I19" s="22">
        <v>5</v>
      </c>
      <c r="J19" s="73" t="str">
        <f t="shared" si="4"/>
        <v>78647293395246 po</v>
      </c>
      <c r="K19" s="68">
        <v>83</v>
      </c>
      <c r="L19" s="43">
        <f t="shared" si="5"/>
        <v>456.5</v>
      </c>
      <c r="M19" s="28">
        <f t="shared" si="0"/>
        <v>2282.5</v>
      </c>
      <c r="N19" s="97"/>
      <c r="O19" s="32">
        <f t="shared" si="1"/>
        <v>2282.5</v>
      </c>
      <c r="P19" s="100"/>
      <c r="Q19" s="104"/>
      <c r="R19" s="84" t="str">
        <f t="shared" si="3"/>
        <v>P</v>
      </c>
      <c r="S19" t="str">
        <f t="shared" si="2"/>
        <v/>
      </c>
      <c r="T19" s="81" t="s">
        <v>36</v>
      </c>
      <c r="U19" s="78">
        <f>SUMIF(R:R,"H",I:I)</f>
        <v>0</v>
      </c>
    </row>
    <row r="20" spans="1:24" ht="32.4" customHeight="1">
      <c r="A20" s="140"/>
      <c r="B20" s="94"/>
      <c r="C20" s="86"/>
      <c r="D20" s="54" t="str">
        <f>IF(G20=0,"",C18&amp;"-"&amp;G20)</f>
        <v/>
      </c>
      <c r="E20" s="54" t="str">
        <f>IF(G20="","",IF(LEN(LEFT(C18,SEARCH("0",C18,1)-1))&lt;2,RIGHT(LEFT(C18,SEARCH("0",C18,1)-1),1)&amp;INT(RIGHT(C18,4)),RIGHT(LEFT(C18,SEARCH("0",C18,1)-1),1)&amp;INT(RIGHT(C18,4))))</f>
        <v/>
      </c>
      <c r="F20" s="8" t="str">
        <f>IF(G20=0,"",VLOOKUP(D20,[1]Worksheet!$A:$C,3,0))</f>
        <v/>
      </c>
      <c r="G20" s="9"/>
      <c r="H20" s="10"/>
      <c r="I20" s="22"/>
      <c r="J20" s="73" t="str">
        <f t="shared" si="4"/>
        <v/>
      </c>
      <c r="K20" s="68"/>
      <c r="L20" s="44">
        <f t="shared" si="5"/>
        <v>0</v>
      </c>
      <c r="M20" s="28">
        <f t="shared" si="0"/>
        <v>0</v>
      </c>
      <c r="N20" s="97"/>
      <c r="O20" s="32">
        <f t="shared" si="1"/>
        <v>0</v>
      </c>
      <c r="P20" s="100"/>
      <c r="Q20" s="104"/>
      <c r="R20" s="84" t="str">
        <f t="shared" si="3"/>
        <v/>
      </c>
      <c r="S20" t="str">
        <f t="shared" si="2"/>
        <v/>
      </c>
    </row>
    <row r="21" spans="1:24" ht="32.4" customHeight="1">
      <c r="A21" s="140"/>
      <c r="B21" s="94"/>
      <c r="C21" s="86"/>
      <c r="D21" s="54" t="str">
        <f>IF(G21=0,"",C18&amp;"-"&amp;G21)</f>
        <v/>
      </c>
      <c r="E21" s="54" t="str">
        <f>IF(G21="","",IF(LEN(LEFT(C18,SEARCH("0",C18,1)-1))&lt;2,RIGHT(LEFT(C18,SEARCH("0",C18,1)-1),1)&amp;INT(RIGHT(C18,4)),RIGHT(LEFT(C18,SEARCH("0",C18,1)-1),1)&amp;INT(RIGHT(C18,4))))</f>
        <v/>
      </c>
      <c r="F21" s="8" t="str">
        <f>IF(G21=0,"",VLOOKUP(D21,[1]Worksheet!$A:$C,3,0))</f>
        <v/>
      </c>
      <c r="G21" s="10"/>
      <c r="H21" s="10"/>
      <c r="I21" s="22"/>
      <c r="J21" s="73" t="str">
        <f t="shared" si="4"/>
        <v/>
      </c>
      <c r="K21" s="70"/>
      <c r="L21" s="43">
        <f t="shared" si="5"/>
        <v>0</v>
      </c>
      <c r="M21" s="28">
        <f t="shared" si="0"/>
        <v>0</v>
      </c>
      <c r="N21" s="97"/>
      <c r="O21" s="32">
        <f t="shared" si="1"/>
        <v>0</v>
      </c>
      <c r="P21" s="100"/>
      <c r="Q21" s="104"/>
      <c r="R21" s="84" t="str">
        <f t="shared" si="3"/>
        <v/>
      </c>
      <c r="S21" t="str">
        <f t="shared" si="2"/>
        <v/>
      </c>
    </row>
    <row r="22" spans="1:24" ht="32.4" customHeight="1" thickBot="1">
      <c r="A22" s="141"/>
      <c r="B22" s="95"/>
      <c r="C22" s="87"/>
      <c r="D22" s="55" t="str">
        <f>IF(G22=0,"",C18&amp;"-"&amp;G22)</f>
        <v/>
      </c>
      <c r="E22" s="55" t="str">
        <f>IF(G22="","",IF(LEN(LEFT(C18,SEARCH("0",C18,1)-1))&lt;2,RIGHT(LEFT(C18,SEARCH("0",C18,1)-1),1)&amp;INT(RIGHT(C18,4)),RIGHT(LEFT(C18,SEARCH("0",C18,1)-1),1)&amp;INT(RIGHT(C18,4))))</f>
        <v/>
      </c>
      <c r="F22" s="11" t="str">
        <f>IF(G22=0,"",VLOOKUP(D22,[1]Worksheet!$A:$C,3,0))</f>
        <v/>
      </c>
      <c r="G22" s="12"/>
      <c r="H22" s="12"/>
      <c r="I22" s="23"/>
      <c r="J22" s="73" t="str">
        <f t="shared" si="4"/>
        <v/>
      </c>
      <c r="K22" s="71"/>
      <c r="L22" s="45">
        <f t="shared" si="5"/>
        <v>0</v>
      </c>
      <c r="M22" s="29">
        <f t="shared" si="0"/>
        <v>0</v>
      </c>
      <c r="N22" s="98"/>
      <c r="O22" s="36">
        <f t="shared" si="1"/>
        <v>0</v>
      </c>
      <c r="P22" s="101"/>
      <c r="Q22" s="105"/>
      <c r="R22" s="84" t="str">
        <f t="shared" si="3"/>
        <v/>
      </c>
      <c r="S22" t="str">
        <f t="shared" si="2"/>
        <v/>
      </c>
    </row>
    <row r="23" spans="1:24" ht="32.4" customHeight="1" thickBot="1">
      <c r="A23" s="88">
        <f>A18+1</f>
        <v>5</v>
      </c>
      <c r="B23" s="92"/>
      <c r="C23" s="85"/>
      <c r="D23" s="53" t="str">
        <f>IF(G23=0,"",C23&amp;"-"&amp;G23)</f>
        <v/>
      </c>
      <c r="E23" s="53" t="str">
        <f>IF(G23="","",IF(LEN(LEFT(C23,SEARCH("0",C23,1)-1))&lt;2,RIGHT(LEFT(C23,SEARCH("0",C23,1)-1),1)&amp;INT(RIGHT(C23,4)),RIGHT(LEFT(C23,SEARCH("0",C23,1)-1),1)&amp;INT(RIGHT(C23,4))))</f>
        <v/>
      </c>
      <c r="F23" s="2" t="str">
        <f>IF(G23=0,"",VLOOKUP(D23,[1]Worksheet!$A:$C,3,0))</f>
        <v/>
      </c>
      <c r="G23" s="13"/>
      <c r="H23" s="7"/>
      <c r="I23" s="21"/>
      <c r="J23" s="73" t="str">
        <f t="shared" ref="J23:J27" si="9">IF(D23&lt;&gt;"",$J$3,"")</f>
        <v/>
      </c>
      <c r="K23" s="68"/>
      <c r="L23" s="42">
        <f t="shared" si="5"/>
        <v>0</v>
      </c>
      <c r="M23" s="27">
        <f t="shared" si="0"/>
        <v>0</v>
      </c>
      <c r="N23" s="96">
        <f>SUM(M23:M27)</f>
        <v>0</v>
      </c>
      <c r="O23" s="35">
        <f t="shared" si="1"/>
        <v>0</v>
      </c>
      <c r="P23" s="99">
        <f>SUM(O23:O27)</f>
        <v>0</v>
      </c>
      <c r="Q23" s="103" t="str">
        <f t="shared" ref="Q23" si="10">IF(N23=P23,"",IF(N23&gt;P23,"Loss",IF(N23&lt;P23,"Over")))</f>
        <v/>
      </c>
      <c r="R23" s="84" t="str">
        <f t="shared" si="3"/>
        <v/>
      </c>
      <c r="S23" t="str">
        <f t="shared" si="2"/>
        <v/>
      </c>
    </row>
    <row r="24" spans="1:24" ht="32.4" customHeight="1">
      <c r="A24" s="89"/>
      <c r="B24" s="93"/>
      <c r="C24" s="86"/>
      <c r="D24" s="54" t="str">
        <f>IF(G24=0,"",C23&amp;"-"&amp;G24)</f>
        <v/>
      </c>
      <c r="E24" s="54" t="str">
        <f>IF(G24="","",IF(LEN(LEFT(C23,SEARCH("0",C23,1)-1))&lt;2,RIGHT(LEFT(C23,SEARCH("0",C23,1)-1),1)&amp;INT(RIGHT(C23,4)),RIGHT(LEFT(C23,SEARCH("0",C23,1)-1),1)&amp;INT(RIGHT(C23,4))))</f>
        <v/>
      </c>
      <c r="F24" s="5" t="str">
        <f>IF(G24=0,"",VLOOKUP(D24,[1]Worksheet!$A:$C,3,0))</f>
        <v/>
      </c>
      <c r="G24" s="6"/>
      <c r="H24" s="7"/>
      <c r="I24" s="21"/>
      <c r="J24" s="73" t="str">
        <f t="shared" si="9"/>
        <v/>
      </c>
      <c r="K24" s="68"/>
      <c r="L24" s="43">
        <f t="shared" si="5"/>
        <v>0</v>
      </c>
      <c r="M24" s="28">
        <f t="shared" si="0"/>
        <v>0</v>
      </c>
      <c r="N24" s="97"/>
      <c r="O24" s="32">
        <f t="shared" si="1"/>
        <v>0</v>
      </c>
      <c r="P24" s="100"/>
      <c r="Q24" s="104"/>
      <c r="R24" s="84" t="str">
        <f t="shared" si="3"/>
        <v/>
      </c>
      <c r="S24" t="str">
        <f t="shared" si="2"/>
        <v/>
      </c>
      <c r="V24" s="63"/>
      <c r="W24" s="63"/>
      <c r="X24" s="63"/>
    </row>
    <row r="25" spans="1:24" ht="32.4" customHeight="1">
      <c r="A25" s="90"/>
      <c r="B25" s="94"/>
      <c r="C25" s="86"/>
      <c r="D25" s="54" t="str">
        <f>IF(G25=0,"",C23&amp;"-"&amp;G25)</f>
        <v/>
      </c>
      <c r="E25" s="54" t="str">
        <f>IF(G25="","",IF(LEN(LEFT(C23,SEARCH("0",C23,1)-1))&lt;2,RIGHT(LEFT(C23,SEARCH("0",C23,1)-1),1)&amp;INT(RIGHT(C23,4)),RIGHT(LEFT(C23,SEARCH("0",C23,1)-1),1)&amp;INT(RIGHT(C23,4))))</f>
        <v/>
      </c>
      <c r="F25" s="8" t="str">
        <f>IF(G25=0,"",VLOOKUP(D25,[1]Worksheet!$A:$C,3,0))</f>
        <v/>
      </c>
      <c r="G25" s="9"/>
      <c r="H25" s="10"/>
      <c r="I25" s="22"/>
      <c r="J25" s="73" t="str">
        <f t="shared" si="9"/>
        <v/>
      </c>
      <c r="K25" s="69"/>
      <c r="L25" s="44">
        <f t="shared" si="5"/>
        <v>0</v>
      </c>
      <c r="M25" s="28">
        <f t="shared" si="0"/>
        <v>0</v>
      </c>
      <c r="N25" s="97"/>
      <c r="O25" s="32">
        <f t="shared" si="1"/>
        <v>0</v>
      </c>
      <c r="P25" s="100"/>
      <c r="Q25" s="104"/>
      <c r="R25" s="84" t="str">
        <f t="shared" si="3"/>
        <v/>
      </c>
      <c r="S25" t="str">
        <f t="shared" si="2"/>
        <v/>
      </c>
    </row>
    <row r="26" spans="1:24" ht="32.4" customHeight="1">
      <c r="A26" s="90"/>
      <c r="B26" s="94"/>
      <c r="C26" s="86"/>
      <c r="D26" s="54" t="str">
        <f>IF(G26=0,"",C23&amp;"-"&amp;G26)</f>
        <v/>
      </c>
      <c r="E26" s="54" t="str">
        <f>IF(G26="","",IF(LEN(LEFT(C23,SEARCH("0",C23,1)-1))&lt;2,RIGHT(LEFT(C23,SEARCH("0",C23,1)-1),1)&amp;INT(RIGHT(C23,4)),RIGHT(LEFT(C23,SEARCH("0",C23,1)-1),1)&amp;INT(RIGHT(C23,4))))</f>
        <v/>
      </c>
      <c r="F26" s="8" t="str">
        <f>IF(G26=0,"",VLOOKUP(D26,[1]Worksheet!$A:$C,3,0))</f>
        <v/>
      </c>
      <c r="G26" s="10"/>
      <c r="H26" s="10"/>
      <c r="I26" s="22"/>
      <c r="J26" s="73" t="str">
        <f t="shared" si="9"/>
        <v/>
      </c>
      <c r="K26" s="70"/>
      <c r="L26" s="43">
        <f t="shared" si="5"/>
        <v>0</v>
      </c>
      <c r="M26" s="28">
        <f t="shared" si="0"/>
        <v>0</v>
      </c>
      <c r="N26" s="97"/>
      <c r="O26" s="32">
        <f t="shared" si="1"/>
        <v>0</v>
      </c>
      <c r="P26" s="100"/>
      <c r="Q26" s="104"/>
      <c r="R26" s="84" t="str">
        <f t="shared" si="3"/>
        <v/>
      </c>
      <c r="S26" t="str">
        <f t="shared" si="2"/>
        <v/>
      </c>
    </row>
    <row r="27" spans="1:24" ht="32.4" customHeight="1" thickBot="1">
      <c r="A27" s="91"/>
      <c r="B27" s="95"/>
      <c r="C27" s="87"/>
      <c r="D27" s="55" t="str">
        <f>IF(G27=0,"",C23&amp;"-"&amp;G27)</f>
        <v/>
      </c>
      <c r="E27" s="55" t="str">
        <f>IF(G27="","",IF(LEN(LEFT(C23,SEARCH("0",C23,1)-1))&lt;2,RIGHT(LEFT(C23,SEARCH("0",C23,1)-1),1)&amp;INT(RIGHT(C23,4)),RIGHT(LEFT(C23,SEARCH("0",C23,1)-1),1)&amp;INT(RIGHT(C23,4))))</f>
        <v/>
      </c>
      <c r="F27" s="11" t="str">
        <f>IF(G27=0,"",VLOOKUP(D27,[1]Worksheet!$A:$C,3,0))</f>
        <v/>
      </c>
      <c r="G27" s="12"/>
      <c r="H27" s="12"/>
      <c r="I27" s="23"/>
      <c r="J27" s="73" t="str">
        <f t="shared" si="9"/>
        <v/>
      </c>
      <c r="K27" s="71"/>
      <c r="L27" s="45">
        <f t="shared" si="5"/>
        <v>0</v>
      </c>
      <c r="M27" s="29">
        <f t="shared" si="0"/>
        <v>0</v>
      </c>
      <c r="N27" s="98"/>
      <c r="O27" s="36">
        <f t="shared" si="1"/>
        <v>0</v>
      </c>
      <c r="P27" s="101"/>
      <c r="Q27" s="105"/>
      <c r="R27" s="84" t="str">
        <f t="shared" si="3"/>
        <v/>
      </c>
      <c r="S27" t="str">
        <f t="shared" si="2"/>
        <v/>
      </c>
    </row>
    <row r="28" spans="1:24" ht="32.4" customHeight="1" thickBot="1">
      <c r="A28" s="88">
        <f>A23+1</f>
        <v>6</v>
      </c>
      <c r="B28" s="92"/>
      <c r="C28" s="85"/>
      <c r="D28" s="53" t="str">
        <f>IF(G28=0,"",C28&amp;"-"&amp;G28)</f>
        <v/>
      </c>
      <c r="E28" s="53" t="str">
        <f>IF(G28="","",IF(LEN(LEFT(C28,SEARCH("0",C28,1)-1))&lt;2,RIGHT(LEFT(C28,SEARCH("0",C28,1)-1),1)&amp;INT(RIGHT(C28,4)),RIGHT(LEFT(C28,SEARCH("0",C28,1)-1),1)&amp;INT(RIGHT(C28,4))))</f>
        <v/>
      </c>
      <c r="F28" s="2" t="str">
        <f>IF(G28=0,"",VLOOKUP(D28,[1]Worksheet!$A:$C,3,0))</f>
        <v/>
      </c>
      <c r="G28" s="6"/>
      <c r="H28" s="7"/>
      <c r="I28" s="21"/>
      <c r="J28" s="73" t="str">
        <f t="shared" si="4"/>
        <v/>
      </c>
      <c r="K28" s="68"/>
      <c r="L28" s="42">
        <f t="shared" si="5"/>
        <v>0</v>
      </c>
      <c r="M28" s="27">
        <f t="shared" si="0"/>
        <v>0</v>
      </c>
      <c r="N28" s="96">
        <f>SUM(M28:M32)</f>
        <v>0</v>
      </c>
      <c r="O28" s="35">
        <f t="shared" si="1"/>
        <v>0</v>
      </c>
      <c r="P28" s="99">
        <f>SUM(O28:O32)</f>
        <v>0</v>
      </c>
      <c r="Q28" s="103" t="str">
        <f t="shared" ref="Q28" si="11">IF(N28=P28,"",IF(N28&gt;P28,"Loss",IF(N28&lt;P28,"Over")))</f>
        <v/>
      </c>
      <c r="R28" s="84" t="str">
        <f t="shared" si="3"/>
        <v/>
      </c>
      <c r="S28" t="str">
        <f t="shared" si="2"/>
        <v/>
      </c>
    </row>
    <row r="29" spans="1:24" ht="32.4" customHeight="1">
      <c r="A29" s="89"/>
      <c r="B29" s="93"/>
      <c r="C29" s="86"/>
      <c r="D29" s="54" t="str">
        <f>IF(G29=0,"",C28&amp;"-"&amp;G29)</f>
        <v/>
      </c>
      <c r="E29" s="54" t="str">
        <f>IF(G29="","",IF(LEN(LEFT(C28,SEARCH("0",C28,1)-1))&lt;2,RIGHT(LEFT(C28,SEARCH("0",C28,1)-1),1)&amp;INT(RIGHT(C28,4)),RIGHT(LEFT(C28,SEARCH("0",C28,1)-1),1)&amp;INT(RIGHT(C28,4))))</f>
        <v/>
      </c>
      <c r="F29" s="5" t="str">
        <f>IF(G29=0,"",VLOOKUP(D29,[1]Worksheet!$A:$C,3,0))</f>
        <v/>
      </c>
      <c r="G29" s="9"/>
      <c r="H29" s="10"/>
      <c r="I29" s="22"/>
      <c r="J29" s="73" t="str">
        <f t="shared" si="4"/>
        <v/>
      </c>
      <c r="K29" s="68"/>
      <c r="L29" s="43">
        <f t="shared" si="5"/>
        <v>0</v>
      </c>
      <c r="M29" s="28">
        <f t="shared" si="0"/>
        <v>0</v>
      </c>
      <c r="N29" s="97"/>
      <c r="O29" s="32">
        <f t="shared" si="1"/>
        <v>0</v>
      </c>
      <c r="P29" s="100"/>
      <c r="Q29" s="104"/>
      <c r="R29" s="84" t="str">
        <f t="shared" si="3"/>
        <v/>
      </c>
      <c r="S29" t="str">
        <f t="shared" si="2"/>
        <v/>
      </c>
    </row>
    <row r="30" spans="1:24" ht="32.4" customHeight="1">
      <c r="A30" s="90"/>
      <c r="B30" s="94"/>
      <c r="C30" s="86"/>
      <c r="D30" s="54" t="str">
        <f>IF(G30=0,"",C28&amp;"-"&amp;G30)</f>
        <v/>
      </c>
      <c r="E30" s="54" t="str">
        <f>IF(G30="","",IF(LEN(LEFT(C28,SEARCH("0",C28,1)-1))&lt;2,RIGHT(LEFT(C28,SEARCH("0",C28,1)-1),1)&amp;INT(RIGHT(C28,4)),RIGHT(LEFT(C28,SEARCH("0",C28,1)-1),1)&amp;INT(RIGHT(C28,4))))</f>
        <v/>
      </c>
      <c r="F30" s="8" t="str">
        <f>IF(G30=0,"",VLOOKUP(D30,[1]Worksheet!$A:$C,3,0))</f>
        <v/>
      </c>
      <c r="G30" s="10"/>
      <c r="H30" s="10"/>
      <c r="I30" s="22"/>
      <c r="J30" s="73" t="str">
        <f t="shared" si="4"/>
        <v/>
      </c>
      <c r="K30" s="69"/>
      <c r="L30" s="44">
        <f t="shared" si="5"/>
        <v>0</v>
      </c>
      <c r="M30" s="28">
        <f t="shared" si="0"/>
        <v>0</v>
      </c>
      <c r="N30" s="97"/>
      <c r="O30" s="32">
        <f t="shared" si="1"/>
        <v>0</v>
      </c>
      <c r="P30" s="100"/>
      <c r="Q30" s="104"/>
      <c r="R30" s="84" t="str">
        <f t="shared" si="3"/>
        <v/>
      </c>
      <c r="S30" t="str">
        <f t="shared" si="2"/>
        <v/>
      </c>
      <c r="V30" s="63"/>
      <c r="W30" s="63"/>
      <c r="X30" s="63"/>
    </row>
    <row r="31" spans="1:24" ht="32.4" customHeight="1">
      <c r="A31" s="90"/>
      <c r="B31" s="94"/>
      <c r="C31" s="86"/>
      <c r="D31" s="54" t="str">
        <f>IF(G31=0,"",C28&amp;"-"&amp;G31)</f>
        <v/>
      </c>
      <c r="E31" s="54" t="str">
        <f>IF(G31="","",IF(LEN(LEFT(C28,SEARCH("0",C28,1)-1))&lt;2,RIGHT(LEFT(C28,SEARCH("0",C28,1)-1),1)&amp;INT(RIGHT(C28,4)),RIGHT(LEFT(C28,SEARCH("0",C28,1)-1),1)&amp;INT(RIGHT(C28,4))))</f>
        <v/>
      </c>
      <c r="F31" s="8" t="str">
        <f>IF(G31=0,"",VLOOKUP(D31,[1]Worksheet!$A:$C,3,0))</f>
        <v/>
      </c>
      <c r="G31" s="10"/>
      <c r="H31" s="10"/>
      <c r="I31" s="22"/>
      <c r="J31" s="73" t="str">
        <f t="shared" si="4"/>
        <v/>
      </c>
      <c r="K31" s="70"/>
      <c r="L31" s="43">
        <f t="shared" si="5"/>
        <v>0</v>
      </c>
      <c r="M31" s="28">
        <f t="shared" si="0"/>
        <v>0</v>
      </c>
      <c r="N31" s="97"/>
      <c r="O31" s="32">
        <f t="shared" si="1"/>
        <v>0</v>
      </c>
      <c r="P31" s="100"/>
      <c r="Q31" s="104"/>
      <c r="R31" s="84" t="str">
        <f t="shared" si="3"/>
        <v/>
      </c>
      <c r="S31" t="str">
        <f t="shared" si="2"/>
        <v/>
      </c>
    </row>
    <row r="32" spans="1:24" ht="32.4" customHeight="1" thickBot="1">
      <c r="A32" s="91"/>
      <c r="B32" s="95"/>
      <c r="C32" s="87"/>
      <c r="D32" s="55" t="str">
        <f>IF(G32=0,"",C28&amp;"-"&amp;G32)</f>
        <v/>
      </c>
      <c r="E32" s="55" t="str">
        <f>IF(G32="","",IF(LEN(LEFT(C28,SEARCH("0",C28,1)-1))&lt;2,RIGHT(LEFT(C28,SEARCH("0",C28,1)-1),1)&amp;INT(RIGHT(C28,4)),RIGHT(LEFT(C28,SEARCH("0",C28,1)-1),1)&amp;INT(RIGHT(C28,4))))</f>
        <v/>
      </c>
      <c r="F32" s="11" t="str">
        <f>IF(G32=0,"",VLOOKUP(D32,[1]Worksheet!$A:$C,3,0))</f>
        <v/>
      </c>
      <c r="G32" s="12"/>
      <c r="H32" s="12"/>
      <c r="I32" s="23"/>
      <c r="J32" s="73" t="str">
        <f t="shared" si="4"/>
        <v/>
      </c>
      <c r="K32" s="71"/>
      <c r="L32" s="45">
        <f t="shared" si="5"/>
        <v>0</v>
      </c>
      <c r="M32" s="29">
        <f t="shared" si="0"/>
        <v>0</v>
      </c>
      <c r="N32" s="98"/>
      <c r="O32" s="36">
        <f t="shared" si="1"/>
        <v>0</v>
      </c>
      <c r="P32" s="101"/>
      <c r="Q32" s="105"/>
      <c r="R32" s="84" t="str">
        <f t="shared" si="3"/>
        <v/>
      </c>
      <c r="S32" t="str">
        <f t="shared" si="2"/>
        <v/>
      </c>
    </row>
    <row r="33" spans="1:19" ht="32.4" customHeight="1" thickBot="1">
      <c r="A33" s="88">
        <f>A28+1</f>
        <v>7</v>
      </c>
      <c r="B33" s="102"/>
      <c r="C33" s="85"/>
      <c r="D33" s="53" t="str">
        <f>IF(G33=0,"",C33&amp;"-"&amp;G33)</f>
        <v/>
      </c>
      <c r="E33" s="53" t="str">
        <f>IF(G33="","",IF(LEN(LEFT(C33,SEARCH("0",C33,1)-1))&lt;2,RIGHT(LEFT(C33,SEARCH("0",C33,1)-1),1)&amp;INT(RIGHT(C33,4)),RIGHT(LEFT(C33,SEARCH("0",C33,1)-1),1)&amp;INT(RIGHT(C33,4))))</f>
        <v/>
      </c>
      <c r="F33" s="2" t="str">
        <f>IF(G33=0,"",VLOOKUP(D33,[1]Worksheet!$A:$C,3,0))</f>
        <v/>
      </c>
      <c r="G33" s="9"/>
      <c r="H33" s="7"/>
      <c r="I33" s="21"/>
      <c r="J33" s="73" t="str">
        <f t="shared" si="4"/>
        <v/>
      </c>
      <c r="K33" s="68"/>
      <c r="L33" s="42">
        <f t="shared" si="5"/>
        <v>0</v>
      </c>
      <c r="M33" s="27">
        <f t="shared" si="0"/>
        <v>0</v>
      </c>
      <c r="N33" s="96">
        <f>SUM(M33:M37)</f>
        <v>0</v>
      </c>
      <c r="O33" s="35">
        <f t="shared" si="1"/>
        <v>0</v>
      </c>
      <c r="P33" s="99">
        <f>SUM(O33:O37)</f>
        <v>0</v>
      </c>
      <c r="Q33" s="103" t="str">
        <f t="shared" ref="Q33" si="12">IF(N33=P33,"",IF(N33&gt;P33,"Loss",IF(N33&lt;P33,"Over")))</f>
        <v/>
      </c>
      <c r="R33" s="84" t="str">
        <f t="shared" si="3"/>
        <v/>
      </c>
      <c r="S33" t="str">
        <f t="shared" si="2"/>
        <v/>
      </c>
    </row>
    <row r="34" spans="1:19" ht="32.4" customHeight="1" thickBot="1">
      <c r="A34" s="89"/>
      <c r="B34" s="93"/>
      <c r="C34" s="86"/>
      <c r="D34" s="54" t="str">
        <f>IF(G34=0,"",C33&amp;"-"&amp;G34)</f>
        <v/>
      </c>
      <c r="E34" s="54" t="str">
        <f>IF(G34="","",IF(LEN(LEFT(C33,SEARCH("0",C33,1)-1))&lt;2,RIGHT(LEFT(C33,SEARCH("0",C33,1)-1),1)&amp;INT(RIGHT(C33,4)),RIGHT(LEFT(C33,SEARCH("0",C33,1)-1),1)&amp;INT(RIGHT(C33,4))))</f>
        <v/>
      </c>
      <c r="F34" s="5" t="str">
        <f>IF(G34=0,"",VLOOKUP(D34,[1]Worksheet!$A:$C,3,0))</f>
        <v/>
      </c>
      <c r="G34" s="9"/>
      <c r="H34" s="7"/>
      <c r="I34" s="21"/>
      <c r="J34" s="73" t="str">
        <f t="shared" si="4"/>
        <v/>
      </c>
      <c r="K34" s="68"/>
      <c r="L34" s="43">
        <f t="shared" si="5"/>
        <v>0</v>
      </c>
      <c r="M34" s="28">
        <f t="shared" si="0"/>
        <v>0</v>
      </c>
      <c r="N34" s="97"/>
      <c r="O34" s="32">
        <f t="shared" si="1"/>
        <v>0</v>
      </c>
      <c r="P34" s="100"/>
      <c r="Q34" s="104"/>
      <c r="R34" s="84" t="str">
        <f t="shared" si="3"/>
        <v/>
      </c>
      <c r="S34" t="str">
        <f t="shared" si="2"/>
        <v/>
      </c>
    </row>
    <row r="35" spans="1:19" ht="32.4" customHeight="1" thickBot="1">
      <c r="A35" s="90"/>
      <c r="B35" s="94"/>
      <c r="C35" s="86"/>
      <c r="D35" s="54" t="str">
        <f>IF(G35=0,"",C33&amp;"-"&amp;G35)</f>
        <v/>
      </c>
      <c r="E35" s="54" t="str">
        <f>IF(G35="","",IF(LEN(LEFT(C33,SEARCH("0",C33,1)-1))&lt;2,RIGHT(LEFT(C33,SEARCH("0",C33,1)-1),1)&amp;INT(RIGHT(C33,4)),RIGHT(LEFT(C33,SEARCH("0",C33,1)-1),1)&amp;INT(RIGHT(C33,4))))</f>
        <v/>
      </c>
      <c r="F35" s="8" t="str">
        <f>IF(G35=0,"",VLOOKUP(D35,[1]Worksheet!$A:$C,3,0))</f>
        <v/>
      </c>
      <c r="G35" s="9"/>
      <c r="H35" s="10"/>
      <c r="I35" s="22"/>
      <c r="J35" s="73" t="str">
        <f t="shared" si="4"/>
        <v/>
      </c>
      <c r="K35" s="68"/>
      <c r="L35" s="44">
        <f t="shared" si="5"/>
        <v>0</v>
      </c>
      <c r="M35" s="28">
        <f t="shared" ref="M35:M66" si="13">H35*L35</f>
        <v>0</v>
      </c>
      <c r="N35" s="97"/>
      <c r="O35" s="32">
        <f t="shared" ref="O35:O66" si="14">I35*L35</f>
        <v>0</v>
      </c>
      <c r="P35" s="100"/>
      <c r="Q35" s="104"/>
      <c r="R35" s="84" t="str">
        <f t="shared" si="3"/>
        <v/>
      </c>
      <c r="S35" t="str">
        <f t="shared" ref="S35:S66" si="15">IF(H35&lt;&gt;I35,"F","")</f>
        <v/>
      </c>
    </row>
    <row r="36" spans="1:19" ht="32.4" customHeight="1">
      <c r="A36" s="90"/>
      <c r="B36" s="94"/>
      <c r="C36" s="86"/>
      <c r="D36" s="54" t="str">
        <f>IF(G36=0,"",C33&amp;"-"&amp;G36)</f>
        <v/>
      </c>
      <c r="E36" s="54" t="str">
        <f>IF(G36="","",IF(LEN(LEFT(C33,SEARCH("0",C33,1)-1))&lt;2,RIGHT(LEFT(C33,SEARCH("0",C33,1)-1),1)&amp;INT(RIGHT(C33,4)),RIGHT(LEFT(C33,SEARCH("0",C33,1)-1),1)&amp;INT(RIGHT(C33,4))))</f>
        <v/>
      </c>
      <c r="F36" s="8" t="str">
        <f>IF(G36=0,"",VLOOKUP(D36,[1]Worksheet!$A:$C,3,0))</f>
        <v/>
      </c>
      <c r="G36" s="10"/>
      <c r="H36" s="10"/>
      <c r="I36" s="22"/>
      <c r="J36" s="73" t="str">
        <f t="shared" si="4"/>
        <v/>
      </c>
      <c r="K36" s="68"/>
      <c r="L36" s="43">
        <f t="shared" si="5"/>
        <v>0</v>
      </c>
      <c r="M36" s="28">
        <f t="shared" si="13"/>
        <v>0</v>
      </c>
      <c r="N36" s="97"/>
      <c r="O36" s="32">
        <f t="shared" si="14"/>
        <v>0</v>
      </c>
      <c r="P36" s="100"/>
      <c r="Q36" s="104"/>
      <c r="R36" s="84" t="str">
        <f t="shared" si="3"/>
        <v/>
      </c>
      <c r="S36" t="str">
        <f t="shared" si="15"/>
        <v/>
      </c>
    </row>
    <row r="37" spans="1:19" ht="32.4" customHeight="1" thickBot="1">
      <c r="A37" s="91"/>
      <c r="B37" s="95"/>
      <c r="C37" s="87"/>
      <c r="D37" s="55" t="str">
        <f>IF(G37=0,"",C33&amp;"-"&amp;G37)</f>
        <v/>
      </c>
      <c r="E37" s="55" t="str">
        <f>IF(G37="","",IF(LEN(LEFT(C33,SEARCH("0",C33,1)-1))&lt;2,RIGHT(LEFT(C33,SEARCH("0",C33,1)-1),1)&amp;INT(RIGHT(C33,4)),RIGHT(LEFT(C33,SEARCH("0",C33,1)-1),1)&amp;INT(RIGHT(C33,4))))</f>
        <v/>
      </c>
      <c r="F37" s="11" t="str">
        <f>IF(G37=0,"",VLOOKUP(D37,[1]Worksheet!$A:$C,3,0))</f>
        <v/>
      </c>
      <c r="G37" s="12"/>
      <c r="H37" s="12"/>
      <c r="I37" s="23"/>
      <c r="J37" s="73" t="str">
        <f t="shared" si="4"/>
        <v/>
      </c>
      <c r="K37" s="71"/>
      <c r="L37" s="45">
        <f t="shared" si="5"/>
        <v>0</v>
      </c>
      <c r="M37" s="29">
        <f t="shared" si="13"/>
        <v>0</v>
      </c>
      <c r="N37" s="98"/>
      <c r="O37" s="36">
        <f t="shared" si="14"/>
        <v>0</v>
      </c>
      <c r="P37" s="101"/>
      <c r="Q37" s="105"/>
      <c r="R37" s="84" t="str">
        <f t="shared" si="3"/>
        <v/>
      </c>
      <c r="S37" t="str">
        <f t="shared" si="15"/>
        <v/>
      </c>
    </row>
    <row r="38" spans="1:19" ht="32.4" customHeight="1">
      <c r="A38" s="88">
        <f>A33+1</f>
        <v>8</v>
      </c>
      <c r="B38" s="92"/>
      <c r="C38" s="85"/>
      <c r="D38" s="53" t="str">
        <f>IF(G38=0,"",C38&amp;"-"&amp;G38)</f>
        <v/>
      </c>
      <c r="E38" s="53" t="str">
        <f>IF(G38="","",IF(LEN(LEFT(C38,SEARCH("0",C38,1)-1))&lt;2,RIGHT(LEFT(C38,SEARCH("0",C38,1)-1),1)&amp;INT(RIGHT(C38,4)),RIGHT(LEFT(C38,SEARCH("0",C38,1)-1),1)&amp;INT(RIGHT(C38,4))))</f>
        <v/>
      </c>
      <c r="F38" s="2" t="str">
        <f>IF(G38=0,"",VLOOKUP(D38,[1]Worksheet!$A:$C,3,0))</f>
        <v/>
      </c>
      <c r="G38" s="9"/>
      <c r="H38" s="10"/>
      <c r="I38" s="22"/>
      <c r="J38" s="73" t="str">
        <f t="shared" si="4"/>
        <v/>
      </c>
      <c r="K38" s="68"/>
      <c r="L38" s="42">
        <f t="shared" si="5"/>
        <v>0</v>
      </c>
      <c r="M38" s="27">
        <f t="shared" si="13"/>
        <v>0</v>
      </c>
      <c r="N38" s="96">
        <f>SUM(M38:M42)</f>
        <v>0</v>
      </c>
      <c r="O38" s="35">
        <f t="shared" si="14"/>
        <v>0</v>
      </c>
      <c r="P38" s="99">
        <f>SUM(O38:O42)</f>
        <v>0</v>
      </c>
      <c r="Q38" s="103" t="str">
        <f t="shared" ref="Q38" si="16">IF(N38=P38,"",IF(N38&gt;P38,"Loss",IF(N38&lt;P38,"Over")))</f>
        <v/>
      </c>
      <c r="R38" s="84" t="str">
        <f t="shared" si="3"/>
        <v/>
      </c>
      <c r="S38" t="str">
        <f t="shared" si="15"/>
        <v/>
      </c>
    </row>
    <row r="39" spans="1:19" ht="32.4" customHeight="1">
      <c r="A39" s="89"/>
      <c r="B39" s="93"/>
      <c r="C39" s="86"/>
      <c r="D39" s="54" t="str">
        <f>IF(G39=0,"",C38&amp;"-"&amp;G39)</f>
        <v/>
      </c>
      <c r="E39" s="54" t="str">
        <f>IF(G39="","",IF(LEN(LEFT(C38,SEARCH("0",C38,1)-1))&lt;2,RIGHT(LEFT(C38,SEARCH("0",C38,1)-1),1)&amp;INT(RIGHT(C38,4)),RIGHT(LEFT(C38,SEARCH("0",C38,1)-1),1)&amp;INT(RIGHT(C38,4))))</f>
        <v/>
      </c>
      <c r="F39" s="5" t="str">
        <f>IF(G39=0,"",VLOOKUP(D39,[1]Worksheet!$A:$C,3,0))</f>
        <v/>
      </c>
      <c r="G39" s="6"/>
      <c r="H39" s="7"/>
      <c r="I39" s="21"/>
      <c r="J39" s="73" t="str">
        <f t="shared" si="4"/>
        <v/>
      </c>
      <c r="K39" s="69"/>
      <c r="L39" s="43">
        <f t="shared" si="5"/>
        <v>0</v>
      </c>
      <c r="M39" s="28">
        <f t="shared" si="13"/>
        <v>0</v>
      </c>
      <c r="N39" s="97"/>
      <c r="O39" s="32">
        <f t="shared" si="14"/>
        <v>0</v>
      </c>
      <c r="P39" s="100"/>
      <c r="Q39" s="104"/>
      <c r="R39" s="84" t="str">
        <f t="shared" si="3"/>
        <v/>
      </c>
      <c r="S39" t="str">
        <f t="shared" si="15"/>
        <v/>
      </c>
    </row>
    <row r="40" spans="1:19" ht="32.4" customHeight="1">
      <c r="A40" s="90"/>
      <c r="B40" s="94"/>
      <c r="C40" s="86"/>
      <c r="D40" s="54" t="str">
        <f>IF(G40=0,"",C38&amp;"-"&amp;G40)</f>
        <v/>
      </c>
      <c r="E40" s="54" t="str">
        <f>IF(G40="","",IF(LEN(LEFT(C38,SEARCH("0",C38,1)-1))&lt;2,RIGHT(LEFT(C38,SEARCH("0",C38,1)-1),1)&amp;INT(RIGHT(C38,4)),RIGHT(LEFT(C38,SEARCH("0",C38,1)-1),1)&amp;INT(RIGHT(C38,4))))</f>
        <v/>
      </c>
      <c r="F40" s="8" t="str">
        <f>IF(G40=0,"",VLOOKUP(D40,[1]Worksheet!$A:$C,3,0))</f>
        <v/>
      </c>
      <c r="G40" s="9"/>
      <c r="H40" s="10"/>
      <c r="I40" s="22"/>
      <c r="J40" s="73" t="str">
        <f t="shared" si="4"/>
        <v/>
      </c>
      <c r="K40" s="69"/>
      <c r="L40" s="44">
        <f t="shared" si="5"/>
        <v>0</v>
      </c>
      <c r="M40" s="28">
        <f t="shared" si="13"/>
        <v>0</v>
      </c>
      <c r="N40" s="97"/>
      <c r="O40" s="32">
        <f t="shared" si="14"/>
        <v>0</v>
      </c>
      <c r="P40" s="100"/>
      <c r="Q40" s="104"/>
      <c r="R40" s="84" t="str">
        <f t="shared" si="3"/>
        <v/>
      </c>
      <c r="S40" t="str">
        <f t="shared" si="15"/>
        <v/>
      </c>
    </row>
    <row r="41" spans="1:19" ht="32.4" customHeight="1">
      <c r="A41" s="90"/>
      <c r="B41" s="94"/>
      <c r="C41" s="86"/>
      <c r="D41" s="54" t="str">
        <f>IF(G41=0,"",C38&amp;"-"&amp;G41)</f>
        <v/>
      </c>
      <c r="E41" s="54" t="str">
        <f>IF(G41="","",IF(LEN(LEFT(C38,SEARCH("0",C38,1)-1))&lt;2,RIGHT(LEFT(C38,SEARCH("0",C38,1)-1),1)&amp;INT(RIGHT(C38,4)),RIGHT(LEFT(C38,SEARCH("0",C38,1)-1),1)&amp;INT(RIGHT(C38,4))))</f>
        <v/>
      </c>
      <c r="F41" s="8" t="str">
        <f>IF(G41=0,"",VLOOKUP(D41,[1]Worksheet!$A:$C,3,0))</f>
        <v/>
      </c>
      <c r="G41" s="10"/>
      <c r="H41" s="10"/>
      <c r="I41" s="22"/>
      <c r="J41" s="73" t="str">
        <f t="shared" si="4"/>
        <v/>
      </c>
      <c r="K41" s="70"/>
      <c r="L41" s="43">
        <f t="shared" si="5"/>
        <v>0</v>
      </c>
      <c r="M41" s="28">
        <f t="shared" si="13"/>
        <v>0</v>
      </c>
      <c r="N41" s="97"/>
      <c r="O41" s="32">
        <f t="shared" si="14"/>
        <v>0</v>
      </c>
      <c r="P41" s="100"/>
      <c r="Q41" s="104"/>
      <c r="R41" s="84" t="str">
        <f t="shared" si="3"/>
        <v/>
      </c>
      <c r="S41" t="str">
        <f t="shared" si="15"/>
        <v/>
      </c>
    </row>
    <row r="42" spans="1:19" ht="32.4" customHeight="1" thickBot="1">
      <c r="A42" s="91"/>
      <c r="B42" s="95"/>
      <c r="C42" s="87"/>
      <c r="D42" s="55" t="str">
        <f>IF(G42=0,"",C38&amp;"-"&amp;G42)</f>
        <v/>
      </c>
      <c r="E42" s="55" t="str">
        <f>IF(G42="","",IF(LEN(LEFT(C38,SEARCH("0",C38,1)-1))&lt;2,RIGHT(LEFT(C38,SEARCH("0",C38,1)-1),1)&amp;INT(RIGHT(C38,4)),RIGHT(LEFT(C38,SEARCH("0",C38,1)-1),1)&amp;INT(RIGHT(C38,4))))</f>
        <v/>
      </c>
      <c r="F42" s="11" t="str">
        <f>IF(G42=0,"",VLOOKUP(D42,[1]Worksheet!$A:$C,3,0))</f>
        <v/>
      </c>
      <c r="G42" s="12"/>
      <c r="H42" s="12"/>
      <c r="I42" s="23"/>
      <c r="J42" s="73" t="str">
        <f t="shared" si="4"/>
        <v/>
      </c>
      <c r="K42" s="71"/>
      <c r="L42" s="45">
        <f t="shared" si="5"/>
        <v>0</v>
      </c>
      <c r="M42" s="29">
        <f t="shared" si="13"/>
        <v>0</v>
      </c>
      <c r="N42" s="98"/>
      <c r="O42" s="36">
        <f t="shared" si="14"/>
        <v>0</v>
      </c>
      <c r="P42" s="101"/>
      <c r="Q42" s="105"/>
      <c r="R42" s="84" t="str">
        <f t="shared" si="3"/>
        <v/>
      </c>
      <c r="S42" t="str">
        <f t="shared" si="15"/>
        <v/>
      </c>
    </row>
    <row r="43" spans="1:19" ht="32.4" customHeight="1" thickBot="1">
      <c r="A43" s="88">
        <f>A38+1</f>
        <v>9</v>
      </c>
      <c r="B43" s="92"/>
      <c r="C43" s="85"/>
      <c r="D43" s="53" t="str">
        <f>IF(G43=0,"",C43&amp;"-"&amp;G43)</f>
        <v/>
      </c>
      <c r="E43" s="53" t="str">
        <f>IF(G43="","",IF(LEN(LEFT(C43,SEARCH("0",C43,1)-1))&lt;2,RIGHT(LEFT(C43,SEARCH("0",C43,1)-1),1)&amp;INT(RIGHT(C43,4)),RIGHT(LEFT(C43,SEARCH("0",C43,1)-1),1)&amp;INT(RIGHT(C43,4))))</f>
        <v/>
      </c>
      <c r="F43" s="2" t="str">
        <f>IF(G43=0,"",VLOOKUP(D43,[1]Worksheet!$A:$C,3,0))</f>
        <v/>
      </c>
      <c r="G43" s="9"/>
      <c r="H43" s="7"/>
      <c r="I43" s="21"/>
      <c r="J43" s="73" t="str">
        <f t="shared" si="4"/>
        <v/>
      </c>
      <c r="K43" s="68"/>
      <c r="L43" s="42">
        <f t="shared" si="5"/>
        <v>0</v>
      </c>
      <c r="M43" s="27">
        <f t="shared" si="13"/>
        <v>0</v>
      </c>
      <c r="N43" s="96">
        <f>SUM(M43:M47)</f>
        <v>0</v>
      </c>
      <c r="O43" s="35">
        <f t="shared" si="14"/>
        <v>0</v>
      </c>
      <c r="P43" s="99">
        <f>SUM(O43:O47)</f>
        <v>0</v>
      </c>
      <c r="Q43" s="103" t="str">
        <f t="shared" ref="Q43" si="17">IF(N43=P43,"",IF(N43&gt;P43,"Loss",IF(N43&lt;P43,"Over")))</f>
        <v/>
      </c>
      <c r="R43" s="84" t="str">
        <f t="shared" si="3"/>
        <v/>
      </c>
      <c r="S43" t="str">
        <f t="shared" si="15"/>
        <v/>
      </c>
    </row>
    <row r="44" spans="1:19" ht="32.4" customHeight="1" thickBot="1">
      <c r="A44" s="89"/>
      <c r="B44" s="93"/>
      <c r="C44" s="86"/>
      <c r="D44" s="54" t="str">
        <f>IF(G44=0,"",C43&amp;"-"&amp;G44)</f>
        <v/>
      </c>
      <c r="E44" s="54" t="str">
        <f>IF(G44="","",IF(LEN(LEFT(C43,SEARCH("0",C43,1)-1))&lt;2,RIGHT(LEFT(C43,SEARCH("0",C43,1)-1),1)&amp;INT(RIGHT(C43,4)),RIGHT(LEFT(C43,SEARCH("0",C43,1)-1),1)&amp;INT(RIGHT(C43,4))))</f>
        <v/>
      </c>
      <c r="F44" s="5" t="str">
        <f>IF(G44=0,"",VLOOKUP(D44,[1]Worksheet!$A:$C,3,0))</f>
        <v/>
      </c>
      <c r="G44" s="9"/>
      <c r="H44" s="10"/>
      <c r="I44" s="22"/>
      <c r="J44" s="73" t="str">
        <f t="shared" si="4"/>
        <v/>
      </c>
      <c r="K44" s="68"/>
      <c r="L44" s="43">
        <f t="shared" si="5"/>
        <v>0</v>
      </c>
      <c r="M44" s="28">
        <f t="shared" si="13"/>
        <v>0</v>
      </c>
      <c r="N44" s="97"/>
      <c r="O44" s="32">
        <f t="shared" si="14"/>
        <v>0</v>
      </c>
      <c r="P44" s="100"/>
      <c r="Q44" s="104"/>
      <c r="R44" s="84" t="str">
        <f t="shared" si="3"/>
        <v/>
      </c>
      <c r="S44" t="str">
        <f t="shared" si="15"/>
        <v/>
      </c>
    </row>
    <row r="45" spans="1:19" ht="32.4" customHeight="1">
      <c r="A45" s="90"/>
      <c r="B45" s="94"/>
      <c r="C45" s="86"/>
      <c r="D45" s="54" t="str">
        <f>IF(G45=0,"",C43&amp;"-"&amp;G45)</f>
        <v/>
      </c>
      <c r="E45" s="54" t="str">
        <f>IF(G45="","",IF(LEN(LEFT(C43,SEARCH("0",C43,1)-1))&lt;2,RIGHT(LEFT(C43,SEARCH("0",C43,1)-1),1)&amp;INT(RIGHT(C43,4)),RIGHT(LEFT(C43,SEARCH("0",C43,1)-1),1)&amp;INT(RIGHT(C43,4))))</f>
        <v/>
      </c>
      <c r="F45" s="8" t="str">
        <f>IF(G45=0,"",VLOOKUP(D45,[1]Worksheet!$A:$C,3,0))</f>
        <v/>
      </c>
      <c r="G45" s="9"/>
      <c r="H45" s="10"/>
      <c r="I45" s="22"/>
      <c r="J45" s="73" t="str">
        <f t="shared" si="4"/>
        <v/>
      </c>
      <c r="K45" s="68"/>
      <c r="L45" s="44">
        <f t="shared" si="5"/>
        <v>0</v>
      </c>
      <c r="M45" s="28">
        <f t="shared" si="13"/>
        <v>0</v>
      </c>
      <c r="N45" s="97"/>
      <c r="O45" s="32">
        <f t="shared" si="14"/>
        <v>0</v>
      </c>
      <c r="P45" s="100"/>
      <c r="Q45" s="104"/>
      <c r="R45" s="84" t="str">
        <f t="shared" si="3"/>
        <v/>
      </c>
      <c r="S45" t="str">
        <f t="shared" si="15"/>
        <v/>
      </c>
    </row>
    <row r="46" spans="1:19" ht="32.4" customHeight="1">
      <c r="A46" s="90"/>
      <c r="B46" s="94"/>
      <c r="C46" s="86"/>
      <c r="D46" s="54" t="str">
        <f>IF(G46=0,"",C43&amp;"-"&amp;G46)</f>
        <v/>
      </c>
      <c r="E46" s="54" t="str">
        <f>IF(G46="","",IF(LEN(LEFT(C43,SEARCH("0",C43,1)-1))&lt;2,RIGHT(LEFT(C43,SEARCH("0",C43,1)-1),1)&amp;INT(RIGHT(C43,4)),RIGHT(LEFT(C43,SEARCH("0",C43,1)-1),1)&amp;INT(RIGHT(C43,4))))</f>
        <v/>
      </c>
      <c r="F46" s="8" t="str">
        <f>IF(G46=0,"",VLOOKUP(D46,[1]Worksheet!$A:$C,3,0))</f>
        <v/>
      </c>
      <c r="G46" s="10"/>
      <c r="H46" s="10"/>
      <c r="I46" s="22"/>
      <c r="J46" s="73" t="str">
        <f t="shared" si="4"/>
        <v/>
      </c>
      <c r="K46" s="70"/>
      <c r="L46" s="43">
        <f t="shared" si="5"/>
        <v>0</v>
      </c>
      <c r="M46" s="28">
        <f t="shared" si="13"/>
        <v>0</v>
      </c>
      <c r="N46" s="97"/>
      <c r="O46" s="32">
        <f t="shared" si="14"/>
        <v>0</v>
      </c>
      <c r="P46" s="100"/>
      <c r="Q46" s="104"/>
      <c r="R46" s="84" t="str">
        <f t="shared" si="3"/>
        <v/>
      </c>
      <c r="S46" t="str">
        <f t="shared" si="15"/>
        <v/>
      </c>
    </row>
    <row r="47" spans="1:19" ht="32.4" customHeight="1" thickBot="1">
      <c r="A47" s="91"/>
      <c r="B47" s="95"/>
      <c r="C47" s="87"/>
      <c r="D47" s="55" t="str">
        <f>IF(G47=0,"",C43&amp;"-"&amp;G47)</f>
        <v/>
      </c>
      <c r="E47" s="55" t="str">
        <f>IF(G47="","",IF(LEN(LEFT(C43,SEARCH("0",C43,1)-1))&lt;2,RIGHT(LEFT(C43,SEARCH("0",C43,1)-1),1)&amp;INT(RIGHT(C43,4)),RIGHT(LEFT(C43,SEARCH("0",C43,1)-1),1)&amp;INT(RIGHT(C43,4))))</f>
        <v/>
      </c>
      <c r="F47" s="11" t="str">
        <f>IF(G47=0,"",VLOOKUP(D47,[1]Worksheet!$A:$C,3,0))</f>
        <v/>
      </c>
      <c r="G47" s="12"/>
      <c r="H47" s="12"/>
      <c r="I47" s="23"/>
      <c r="J47" s="73" t="str">
        <f t="shared" si="4"/>
        <v/>
      </c>
      <c r="K47" s="71"/>
      <c r="L47" s="45">
        <f t="shared" si="5"/>
        <v>0</v>
      </c>
      <c r="M47" s="29">
        <f t="shared" si="13"/>
        <v>0</v>
      </c>
      <c r="N47" s="98"/>
      <c r="O47" s="36">
        <f t="shared" si="14"/>
        <v>0</v>
      </c>
      <c r="P47" s="101"/>
      <c r="Q47" s="105"/>
      <c r="R47" s="84" t="str">
        <f t="shared" si="3"/>
        <v/>
      </c>
      <c r="S47" t="str">
        <f t="shared" si="15"/>
        <v/>
      </c>
    </row>
    <row r="48" spans="1:19" ht="32.4" customHeight="1">
      <c r="A48" s="88">
        <f>A43+1</f>
        <v>10</v>
      </c>
      <c r="B48" s="92"/>
      <c r="C48" s="85"/>
      <c r="D48" s="53" t="str">
        <f>IF(G48=0,"",C48&amp;"-"&amp;G48)</f>
        <v/>
      </c>
      <c r="E48" s="53" t="str">
        <f>IF(G48="","",IF(LEN(LEFT(C48,SEARCH("0",C48,1)-1))&lt;2,RIGHT(LEFT(C48,SEARCH("0",C48,1)-1),1)&amp;INT(RIGHT(C48,4)),RIGHT(LEFT(C48,SEARCH("0",C48,1)-1),1)&amp;INT(RIGHT(C48,4))))</f>
        <v/>
      </c>
      <c r="F48" s="2" t="str">
        <f>IF(G48=0,"",VLOOKUP(D48,[1]Worksheet!$A:$C,3,0))</f>
        <v/>
      </c>
      <c r="G48" s="9"/>
      <c r="H48" s="10"/>
      <c r="I48" s="21"/>
      <c r="J48" s="73" t="str">
        <f t="shared" si="4"/>
        <v/>
      </c>
      <c r="K48" s="68"/>
      <c r="L48" s="42">
        <f t="shared" si="5"/>
        <v>0</v>
      </c>
      <c r="M48" s="27">
        <f t="shared" si="13"/>
        <v>0</v>
      </c>
      <c r="N48" s="96">
        <f>SUM(M48:M52)</f>
        <v>0</v>
      </c>
      <c r="O48" s="35">
        <f t="shared" si="14"/>
        <v>0</v>
      </c>
      <c r="P48" s="99">
        <f>SUM(O48:O52)</f>
        <v>0</v>
      </c>
      <c r="Q48" s="103" t="str">
        <f t="shared" ref="Q48" si="18">IF(N48=P48,"",IF(N48&gt;P48,"Loss",IF(N48&lt;P48,"Over")))</f>
        <v/>
      </c>
      <c r="R48" s="84" t="str">
        <f t="shared" si="3"/>
        <v/>
      </c>
      <c r="S48" t="str">
        <f t="shared" si="15"/>
        <v/>
      </c>
    </row>
    <row r="49" spans="1:24" ht="32.4" customHeight="1">
      <c r="A49" s="89"/>
      <c r="B49" s="93"/>
      <c r="C49" s="86"/>
      <c r="D49" s="54" t="str">
        <f>IF(G49=0,"",C48&amp;"-"&amp;G49)</f>
        <v/>
      </c>
      <c r="E49" s="54" t="str">
        <f>IF(G49="","",IF(LEN(LEFT(C48,SEARCH("0",C48,1)-1))&lt;2,RIGHT(LEFT(C48,SEARCH("0",C48,1)-1),1)&amp;INT(RIGHT(C48,4)),RIGHT(LEFT(C48,SEARCH("0",C48,1)-1),1)&amp;INT(RIGHT(C48,4))))</f>
        <v/>
      </c>
      <c r="F49" s="5" t="str">
        <f>IF(G49=0,"",VLOOKUP(D49,[1]Worksheet!$A:$C,3,0))</f>
        <v/>
      </c>
      <c r="G49" s="9"/>
      <c r="H49" s="10"/>
      <c r="I49" s="21"/>
      <c r="J49" s="73" t="str">
        <f t="shared" si="4"/>
        <v/>
      </c>
      <c r="K49" s="69"/>
      <c r="L49" s="43">
        <f t="shared" si="5"/>
        <v>0</v>
      </c>
      <c r="M49" s="28">
        <f t="shared" si="13"/>
        <v>0</v>
      </c>
      <c r="N49" s="97"/>
      <c r="O49" s="32">
        <f t="shared" si="14"/>
        <v>0</v>
      </c>
      <c r="P49" s="100"/>
      <c r="Q49" s="104"/>
      <c r="R49" s="84" t="str">
        <f t="shared" si="3"/>
        <v/>
      </c>
      <c r="S49" t="str">
        <f t="shared" si="15"/>
        <v/>
      </c>
    </row>
    <row r="50" spans="1:24" ht="32.4" customHeight="1">
      <c r="A50" s="90"/>
      <c r="B50" s="94"/>
      <c r="C50" s="86"/>
      <c r="D50" s="54" t="str">
        <f>IF(G50=0,"",C48&amp;"-"&amp;G50)</f>
        <v/>
      </c>
      <c r="E50" s="54" t="str">
        <f>IF(G50="","",IF(LEN(LEFT(C48,SEARCH("0",C48,1)-1))&lt;2,RIGHT(LEFT(C48,SEARCH("0",C48,1)-1),1)&amp;INT(RIGHT(C48,4)),RIGHT(LEFT(C48,SEARCH("0",C48,1)-1),1)&amp;INT(RIGHT(C48,4))))</f>
        <v/>
      </c>
      <c r="F50" s="8" t="str">
        <f>IF(G50=0,"",VLOOKUP(D50,[1]Worksheet!$A:$C,3,0))</f>
        <v/>
      </c>
      <c r="G50" s="9"/>
      <c r="H50" s="10"/>
      <c r="I50" s="22"/>
      <c r="J50" s="73" t="str">
        <f t="shared" si="4"/>
        <v/>
      </c>
      <c r="K50" s="69"/>
      <c r="L50" s="44">
        <f t="shared" si="5"/>
        <v>0</v>
      </c>
      <c r="M50" s="28">
        <f t="shared" si="13"/>
        <v>0</v>
      </c>
      <c r="N50" s="97"/>
      <c r="O50" s="32">
        <f t="shared" si="14"/>
        <v>0</v>
      </c>
      <c r="P50" s="100"/>
      <c r="Q50" s="104"/>
      <c r="R50" s="84" t="str">
        <f t="shared" si="3"/>
        <v/>
      </c>
      <c r="S50" t="str">
        <f t="shared" si="15"/>
        <v/>
      </c>
      <c r="V50" s="63"/>
      <c r="W50" s="63"/>
      <c r="X50" s="63"/>
    </row>
    <row r="51" spans="1:24" ht="32.4" customHeight="1">
      <c r="A51" s="90"/>
      <c r="B51" s="94"/>
      <c r="C51" s="86"/>
      <c r="D51" s="54" t="str">
        <f>IF(G51=0,"",C48&amp;"-"&amp;G51)</f>
        <v/>
      </c>
      <c r="E51" s="54" t="str">
        <f>IF(G51="","",IF(LEN(LEFT(C48,SEARCH("0",C48,1)-1))&lt;2,RIGHT(LEFT(C48,SEARCH("0",C48,1)-1),1)&amp;INT(RIGHT(C48,4)),RIGHT(LEFT(C48,SEARCH("0",C48,1)-1),1)&amp;INT(RIGHT(C48,4))))</f>
        <v/>
      </c>
      <c r="F51" s="8" t="str">
        <f>IF(G51=0,"",VLOOKUP(D51,[1]Worksheet!$A:$C,3,0))</f>
        <v/>
      </c>
      <c r="G51" s="10"/>
      <c r="H51" s="10"/>
      <c r="I51" s="22"/>
      <c r="J51" s="73" t="str">
        <f t="shared" si="4"/>
        <v/>
      </c>
      <c r="K51" s="70"/>
      <c r="L51" s="43">
        <f t="shared" si="5"/>
        <v>0</v>
      </c>
      <c r="M51" s="28">
        <f t="shared" si="13"/>
        <v>0</v>
      </c>
      <c r="N51" s="97"/>
      <c r="O51" s="32">
        <f t="shared" si="14"/>
        <v>0</v>
      </c>
      <c r="P51" s="100"/>
      <c r="Q51" s="104"/>
      <c r="R51" s="84" t="str">
        <f t="shared" si="3"/>
        <v/>
      </c>
      <c r="S51" t="str">
        <f t="shared" si="15"/>
        <v/>
      </c>
    </row>
    <row r="52" spans="1:24" ht="32.4" customHeight="1" thickBot="1">
      <c r="A52" s="91"/>
      <c r="B52" s="95"/>
      <c r="C52" s="87"/>
      <c r="D52" s="55" t="str">
        <f>IF(G52=0,"",C48&amp;"-"&amp;G52)</f>
        <v/>
      </c>
      <c r="E52" s="55" t="str">
        <f>IF(G52="","",IF(LEN(LEFT(C48,SEARCH("0",C48,1)-1))&lt;2,RIGHT(LEFT(C48,SEARCH("0",C48,1)-1),1)&amp;INT(RIGHT(C48,4)),RIGHT(LEFT(C48,SEARCH("0",C48,1)-1),1)&amp;INT(RIGHT(C48,4))))</f>
        <v/>
      </c>
      <c r="F52" s="11" t="str">
        <f>IF(G52=0,"",VLOOKUP(D52,[1]Worksheet!$A:$C,3,0))</f>
        <v/>
      </c>
      <c r="G52" s="12"/>
      <c r="H52" s="12"/>
      <c r="I52" s="23"/>
      <c r="J52" s="73" t="str">
        <f t="shared" si="4"/>
        <v/>
      </c>
      <c r="K52" s="71"/>
      <c r="L52" s="45">
        <f t="shared" si="5"/>
        <v>0</v>
      </c>
      <c r="M52" s="29">
        <f t="shared" si="13"/>
        <v>0</v>
      </c>
      <c r="N52" s="98"/>
      <c r="O52" s="36">
        <f t="shared" si="14"/>
        <v>0</v>
      </c>
      <c r="P52" s="101"/>
      <c r="Q52" s="105"/>
      <c r="R52" s="84" t="str">
        <f t="shared" si="3"/>
        <v/>
      </c>
      <c r="S52" t="str">
        <f t="shared" si="15"/>
        <v/>
      </c>
    </row>
    <row r="53" spans="1:24" ht="32.4" customHeight="1">
      <c r="A53" s="88">
        <f>A48+1</f>
        <v>11</v>
      </c>
      <c r="B53" s="102"/>
      <c r="C53" s="85"/>
      <c r="D53" s="53" t="str">
        <f>IF(G53=0,"",C53&amp;"-"&amp;G53)</f>
        <v/>
      </c>
      <c r="E53" s="53" t="str">
        <f>IF(G53="","",IF(LEN(LEFT(C53,SEARCH("0",C53,1)-1))&lt;2,RIGHT(LEFT(C53,SEARCH("0",C53,1)-1),1)&amp;INT(RIGHT(C53,4)),RIGHT(LEFT(C53,SEARCH("0",C53,1)-1),1)&amp;INT(RIGHT(C53,4))))</f>
        <v/>
      </c>
      <c r="F53" s="2" t="str">
        <f>IF(G53=0,"",VLOOKUP(D53,[1]Worksheet!$A:$C,3,0))</f>
        <v/>
      </c>
      <c r="G53" s="9"/>
      <c r="H53" s="10"/>
      <c r="I53" s="21"/>
      <c r="J53" s="73" t="str">
        <f t="shared" si="4"/>
        <v/>
      </c>
      <c r="K53" s="68"/>
      <c r="L53" s="42">
        <f t="shared" si="5"/>
        <v>0</v>
      </c>
      <c r="M53" s="27">
        <f t="shared" si="13"/>
        <v>0</v>
      </c>
      <c r="N53" s="96">
        <f>SUM(M53:M57)</f>
        <v>0</v>
      </c>
      <c r="O53" s="35">
        <f t="shared" si="14"/>
        <v>0</v>
      </c>
      <c r="P53" s="99">
        <f>SUM(O53:O57)</f>
        <v>0</v>
      </c>
      <c r="Q53" s="103" t="str">
        <f t="shared" ref="Q53" si="19">IF(N53=P53,"",IF(N53&gt;P53,"Loss",IF(N53&lt;P53,"Over")))</f>
        <v/>
      </c>
      <c r="R53" s="84" t="str">
        <f t="shared" si="3"/>
        <v/>
      </c>
      <c r="S53" t="str">
        <f t="shared" si="15"/>
        <v/>
      </c>
    </row>
    <row r="54" spans="1:24" ht="32.4" customHeight="1">
      <c r="A54" s="89"/>
      <c r="B54" s="93"/>
      <c r="C54" s="86"/>
      <c r="D54" s="54" t="str">
        <f>IF(G54=0,"",C53&amp;"-"&amp;G54)</f>
        <v/>
      </c>
      <c r="E54" s="54" t="str">
        <f>IF(G54="","",IF(LEN(LEFT(C53,SEARCH("0",C53,1)-1))&lt;2,RIGHT(LEFT(C53,SEARCH("0",C53,1)-1),1)&amp;INT(RIGHT(C53,4)),RIGHT(LEFT(C53,SEARCH("0",C53,1)-1),1)&amp;INT(RIGHT(C53,4))))</f>
        <v/>
      </c>
      <c r="F54" s="5" t="str">
        <f>IF(G54=0,"",VLOOKUP(D54,[1]Worksheet!$A:$C,3,0))</f>
        <v/>
      </c>
      <c r="G54" s="9"/>
      <c r="H54" s="10"/>
      <c r="I54" s="21"/>
      <c r="J54" s="73" t="str">
        <f t="shared" si="4"/>
        <v/>
      </c>
      <c r="K54" s="69"/>
      <c r="L54" s="43">
        <f t="shared" si="5"/>
        <v>0</v>
      </c>
      <c r="M54" s="28">
        <f t="shared" si="13"/>
        <v>0</v>
      </c>
      <c r="N54" s="97"/>
      <c r="O54" s="32">
        <f t="shared" si="14"/>
        <v>0</v>
      </c>
      <c r="P54" s="100"/>
      <c r="Q54" s="104"/>
      <c r="R54" s="84" t="str">
        <f t="shared" si="3"/>
        <v/>
      </c>
      <c r="S54" t="str">
        <f t="shared" si="15"/>
        <v/>
      </c>
    </row>
    <row r="55" spans="1:24" ht="32.4" customHeight="1">
      <c r="A55" s="90"/>
      <c r="B55" s="94"/>
      <c r="C55" s="86"/>
      <c r="D55" s="54" t="str">
        <f>IF(G55=0,"",C53&amp;"-"&amp;G55)</f>
        <v/>
      </c>
      <c r="E55" s="54" t="str">
        <f>IF(G55="","",IF(LEN(LEFT(C53,SEARCH("0",C53,1)-1))&lt;2,RIGHT(LEFT(C53,SEARCH("0",C53,1)-1),1)&amp;INT(RIGHT(C53,4)),RIGHT(LEFT(C53,SEARCH("0",C53,1)-1),1)&amp;INT(RIGHT(C53,4))))</f>
        <v/>
      </c>
      <c r="F55" s="8" t="str">
        <f>IF(G55=0,"",VLOOKUP(D55,[1]Worksheet!$A:$C,3,0))</f>
        <v/>
      </c>
      <c r="G55" s="10"/>
      <c r="H55" s="10"/>
      <c r="I55" s="22"/>
      <c r="J55" s="73" t="str">
        <f t="shared" si="4"/>
        <v/>
      </c>
      <c r="K55" s="69"/>
      <c r="L55" s="44">
        <f t="shared" si="5"/>
        <v>0</v>
      </c>
      <c r="M55" s="28">
        <f t="shared" si="13"/>
        <v>0</v>
      </c>
      <c r="N55" s="97"/>
      <c r="O55" s="32">
        <f t="shared" si="14"/>
        <v>0</v>
      </c>
      <c r="P55" s="100"/>
      <c r="Q55" s="104"/>
      <c r="R55" s="84" t="str">
        <f t="shared" si="3"/>
        <v/>
      </c>
      <c r="S55" t="str">
        <f t="shared" si="15"/>
        <v/>
      </c>
    </row>
    <row r="56" spans="1:24" ht="32.4" customHeight="1">
      <c r="A56" s="90"/>
      <c r="B56" s="94"/>
      <c r="C56" s="86"/>
      <c r="D56" s="54" t="str">
        <f>IF(G56=0,"",C53&amp;"-"&amp;G56)</f>
        <v/>
      </c>
      <c r="E56" s="54" t="str">
        <f>IF(G56="","",IF(LEN(LEFT(C53,SEARCH("0",C53,1)-1))&lt;2,RIGHT(LEFT(C53,SEARCH("0",C53,1)-1),1)&amp;INT(RIGHT(C53,4)),RIGHT(LEFT(C53,SEARCH("0",C53,1)-1),1)&amp;INT(RIGHT(C53,4))))</f>
        <v/>
      </c>
      <c r="F56" s="8" t="str">
        <f>IF(G56=0,"",VLOOKUP(D56,[1]Worksheet!$A:$C,3,0))</f>
        <v/>
      </c>
      <c r="G56" s="10"/>
      <c r="H56" s="10"/>
      <c r="I56" s="22"/>
      <c r="J56" s="73" t="str">
        <f t="shared" si="4"/>
        <v/>
      </c>
      <c r="K56" s="70"/>
      <c r="L56" s="43">
        <f t="shared" si="5"/>
        <v>0</v>
      </c>
      <c r="M56" s="28">
        <f t="shared" si="13"/>
        <v>0</v>
      </c>
      <c r="N56" s="97"/>
      <c r="O56" s="32">
        <f t="shared" si="14"/>
        <v>0</v>
      </c>
      <c r="P56" s="100"/>
      <c r="Q56" s="104"/>
      <c r="R56" s="84" t="str">
        <f t="shared" si="3"/>
        <v/>
      </c>
      <c r="S56" t="str">
        <f t="shared" si="15"/>
        <v/>
      </c>
    </row>
    <row r="57" spans="1:24" ht="32.4" customHeight="1" thickBot="1">
      <c r="A57" s="91"/>
      <c r="B57" s="95"/>
      <c r="C57" s="87"/>
      <c r="D57" s="55" t="str">
        <f>IF(G57=0,"",C53&amp;"-"&amp;G57)</f>
        <v/>
      </c>
      <c r="E57" s="55" t="str">
        <f>IF(G57="","",IF(LEN(LEFT(C53,SEARCH("0",C53,1)-1))&lt;2,RIGHT(LEFT(C53,SEARCH("0",C53,1)-1),1)&amp;INT(RIGHT(C53,4)),RIGHT(LEFT(C53,SEARCH("0",C53,1)-1),1)&amp;INT(RIGHT(C53,4))))</f>
        <v/>
      </c>
      <c r="F57" s="11" t="str">
        <f>IF(G57=0,"",VLOOKUP(D57,[1]Worksheet!$A:$C,3,0))</f>
        <v/>
      </c>
      <c r="G57" s="12"/>
      <c r="H57" s="12"/>
      <c r="I57" s="23"/>
      <c r="J57" s="73" t="str">
        <f t="shared" si="4"/>
        <v/>
      </c>
      <c r="K57" s="71"/>
      <c r="L57" s="45">
        <f t="shared" si="5"/>
        <v>0</v>
      </c>
      <c r="M57" s="29">
        <f t="shared" si="13"/>
        <v>0</v>
      </c>
      <c r="N57" s="98"/>
      <c r="O57" s="36">
        <f t="shared" si="14"/>
        <v>0</v>
      </c>
      <c r="P57" s="101"/>
      <c r="Q57" s="105"/>
      <c r="R57" s="84" t="str">
        <f t="shared" si="3"/>
        <v/>
      </c>
      <c r="S57" t="str">
        <f t="shared" si="15"/>
        <v/>
      </c>
    </row>
    <row r="58" spans="1:24" ht="32.4" customHeight="1">
      <c r="A58" s="88">
        <f>A53+1</f>
        <v>12</v>
      </c>
      <c r="B58" s="92"/>
      <c r="C58" s="85"/>
      <c r="D58" s="53" t="str">
        <f>IF(G58=0,"",C58&amp;"-"&amp;G58)</f>
        <v/>
      </c>
      <c r="E58" s="53" t="str">
        <f>IF(G58="","",IF(LEN(LEFT(C58,SEARCH("0",C58,1)-1))&lt;2,RIGHT(LEFT(C58,SEARCH("0",C58,1)-1),1)&amp;INT(RIGHT(C58,4)),RIGHT(LEFT(C58,SEARCH("0",C58,1)-1),1)&amp;INT(RIGHT(C58,4))))</f>
        <v/>
      </c>
      <c r="F58" s="2" t="str">
        <f>IF(G58=0,"",VLOOKUP(D58,[1]Worksheet!$A:$C,3,0))</f>
        <v/>
      </c>
      <c r="G58" s="9"/>
      <c r="H58" s="10"/>
      <c r="I58" s="21"/>
      <c r="J58" s="73" t="str">
        <f t="shared" si="4"/>
        <v/>
      </c>
      <c r="K58" s="68"/>
      <c r="L58" s="42">
        <f t="shared" si="5"/>
        <v>0</v>
      </c>
      <c r="M58" s="27">
        <f t="shared" si="13"/>
        <v>0</v>
      </c>
      <c r="N58" s="96">
        <f>SUM(M58:M62)</f>
        <v>0</v>
      </c>
      <c r="O58" s="35">
        <f t="shared" si="14"/>
        <v>0</v>
      </c>
      <c r="P58" s="99">
        <f>SUM(O58:O62)</f>
        <v>0</v>
      </c>
      <c r="Q58" s="103" t="str">
        <f t="shared" ref="Q58" si="20">IF(N58=P58,"",IF(N58&gt;P58,"Loss",IF(N58&lt;P58,"Over")))</f>
        <v/>
      </c>
      <c r="R58" s="84" t="str">
        <f t="shared" si="3"/>
        <v/>
      </c>
      <c r="S58" t="str">
        <f t="shared" si="15"/>
        <v/>
      </c>
    </row>
    <row r="59" spans="1:24" ht="32.4" customHeight="1">
      <c r="A59" s="89"/>
      <c r="B59" s="93"/>
      <c r="C59" s="86"/>
      <c r="D59" s="54" t="str">
        <f>IF(G59=0,"",C58&amp;"-"&amp;G59)</f>
        <v/>
      </c>
      <c r="E59" s="54" t="str">
        <f>IF(G59="","",IF(LEN(LEFT(C58,SEARCH("0",C58,1)-1))&lt;2,RIGHT(LEFT(C58,SEARCH("0",C58,1)-1),1)&amp;INT(RIGHT(C58,4)),RIGHT(LEFT(C58,SEARCH("0",C58,1)-1),1)&amp;INT(RIGHT(C58,4))))</f>
        <v/>
      </c>
      <c r="F59" s="5" t="str">
        <f>IF(G59=0,"",VLOOKUP(D59,[1]Worksheet!$A:$C,3,0))</f>
        <v/>
      </c>
      <c r="G59" s="9"/>
      <c r="H59" s="10"/>
      <c r="I59" s="21"/>
      <c r="J59" s="73" t="str">
        <f t="shared" si="4"/>
        <v/>
      </c>
      <c r="K59" s="69"/>
      <c r="L59" s="43">
        <f t="shared" si="5"/>
        <v>0</v>
      </c>
      <c r="M59" s="28">
        <f>H59*L59</f>
        <v>0</v>
      </c>
      <c r="N59" s="97"/>
      <c r="O59" s="32">
        <f>I59*L59</f>
        <v>0</v>
      </c>
      <c r="P59" s="100"/>
      <c r="Q59" s="104"/>
      <c r="R59" s="84" t="str">
        <f t="shared" si="3"/>
        <v/>
      </c>
      <c r="S59" t="str">
        <f>IF(H59&lt;&gt;I59,"F","")</f>
        <v/>
      </c>
    </row>
    <row r="60" spans="1:24" ht="32.4" customHeight="1">
      <c r="A60" s="90"/>
      <c r="B60" s="94"/>
      <c r="C60" s="86"/>
      <c r="D60" s="54" t="str">
        <f>IF(G60=0,"",C58&amp;"-"&amp;G60)</f>
        <v/>
      </c>
      <c r="E60" s="54" t="str">
        <f>IF(G60="","",IF(LEN(LEFT(C58,SEARCH("0",C58,1)-1))&lt;2,RIGHT(LEFT(C58,SEARCH("0",C58,1)-1),1)&amp;INT(RIGHT(C58,4)),RIGHT(LEFT(C58,SEARCH("0",C58,1)-1),1)&amp;INT(RIGHT(C58,4))))</f>
        <v/>
      </c>
      <c r="F60" s="8" t="str">
        <f>IF(G60=0,"",VLOOKUP(D60,[1]Worksheet!$A:$C,3,0))</f>
        <v/>
      </c>
      <c r="G60" s="9"/>
      <c r="H60" s="10"/>
      <c r="I60" s="21"/>
      <c r="J60" s="73" t="str">
        <f t="shared" si="4"/>
        <v/>
      </c>
      <c r="K60" s="69"/>
      <c r="L60" s="44">
        <f t="shared" si="5"/>
        <v>0</v>
      </c>
      <c r="M60" s="28">
        <f>H60*L60</f>
        <v>0</v>
      </c>
      <c r="N60" s="97"/>
      <c r="O60" s="32">
        <f>I60*L60</f>
        <v>0</v>
      </c>
      <c r="P60" s="100"/>
      <c r="Q60" s="104"/>
      <c r="R60" s="84" t="str">
        <f t="shared" si="3"/>
        <v/>
      </c>
      <c r="S60" t="str">
        <f>IF(H60&lt;&gt;I60,"F","")</f>
        <v/>
      </c>
    </row>
    <row r="61" spans="1:24" ht="32.4" customHeight="1">
      <c r="A61" s="90"/>
      <c r="B61" s="94"/>
      <c r="C61" s="86"/>
      <c r="D61" s="54" t="str">
        <f>IF(G61=0,"",C58&amp;"-"&amp;G61)</f>
        <v/>
      </c>
      <c r="E61" s="54" t="str">
        <f>IF(G61="","",IF(LEN(LEFT(C58,SEARCH("0",C58,1)-1))&lt;2,RIGHT(LEFT(C58,SEARCH("0",C58,1)-1),1)&amp;INT(RIGHT(C58,4)),RIGHT(LEFT(C58,SEARCH("0",C58,1)-1),1)&amp;INT(RIGHT(C58,4))))</f>
        <v/>
      </c>
      <c r="F61" s="8" t="str">
        <f>IF(G61=0,"",VLOOKUP(D61,[1]Worksheet!$A:$C,3,0))</f>
        <v/>
      </c>
      <c r="G61" s="10"/>
      <c r="H61" s="10"/>
      <c r="I61" s="22"/>
      <c r="J61" s="73" t="str">
        <f t="shared" si="4"/>
        <v/>
      </c>
      <c r="K61" s="70"/>
      <c r="L61" s="43">
        <f t="shared" si="5"/>
        <v>0</v>
      </c>
      <c r="M61" s="28">
        <f t="shared" si="13"/>
        <v>0</v>
      </c>
      <c r="N61" s="97"/>
      <c r="O61" s="32">
        <f t="shared" si="14"/>
        <v>0</v>
      </c>
      <c r="P61" s="100"/>
      <c r="Q61" s="104"/>
      <c r="R61" s="84" t="str">
        <f t="shared" si="3"/>
        <v/>
      </c>
      <c r="S61" t="str">
        <f t="shared" si="15"/>
        <v/>
      </c>
    </row>
    <row r="62" spans="1:24" ht="32.4" customHeight="1" thickBot="1">
      <c r="A62" s="91"/>
      <c r="B62" s="95"/>
      <c r="C62" s="87"/>
      <c r="D62" s="55" t="str">
        <f>IF(G62=0,"",C58&amp;"-"&amp;G62)</f>
        <v/>
      </c>
      <c r="E62" s="55" t="str">
        <f>IF(G62="","",IF(LEN(LEFT(C58,SEARCH("0",C58,1)-1))&lt;2,RIGHT(LEFT(C58,SEARCH("0",C58,1)-1),1)&amp;INT(RIGHT(C58,4)),RIGHT(LEFT(C58,SEARCH("0",C58,1)-1),1)&amp;INT(RIGHT(C58,4))))</f>
        <v/>
      </c>
      <c r="F62" s="11" t="str">
        <f>IF(G62=0,"",VLOOKUP(D62,[1]Worksheet!$A:$C,3,0))</f>
        <v/>
      </c>
      <c r="G62" s="12"/>
      <c r="H62" s="12"/>
      <c r="I62" s="23"/>
      <c r="J62" s="73" t="str">
        <f t="shared" si="4"/>
        <v/>
      </c>
      <c r="K62" s="71"/>
      <c r="L62" s="45">
        <f t="shared" si="5"/>
        <v>0</v>
      </c>
      <c r="M62" s="29">
        <f t="shared" si="13"/>
        <v>0</v>
      </c>
      <c r="N62" s="98"/>
      <c r="O62" s="36">
        <f t="shared" si="14"/>
        <v>0</v>
      </c>
      <c r="P62" s="101"/>
      <c r="Q62" s="105"/>
      <c r="R62" s="84" t="str">
        <f t="shared" si="3"/>
        <v/>
      </c>
      <c r="S62" t="str">
        <f t="shared" si="15"/>
        <v/>
      </c>
    </row>
    <row r="63" spans="1:24" ht="32.4" customHeight="1" thickBot="1">
      <c r="A63" s="88">
        <f>A58+1</f>
        <v>13</v>
      </c>
      <c r="B63" s="92"/>
      <c r="C63" s="85"/>
      <c r="D63" s="53" t="str">
        <f>IF(G63=0,"",C63&amp;"-"&amp;G63)</f>
        <v/>
      </c>
      <c r="E63" s="53" t="str">
        <f>IF(G63="","",IF(LEN(LEFT(C63,SEARCH("0",C63,1)-1))&lt;2,RIGHT(LEFT(C63,SEARCH("0",C63,1)-1),1)&amp;INT(RIGHT(C63,4)),RIGHT(LEFT(C63,SEARCH("0",C63,1)-1),1)&amp;INT(RIGHT(C63,4))))</f>
        <v/>
      </c>
      <c r="F63" s="2" t="str">
        <f>IF(G63=0,"",VLOOKUP(D63,[1]Worksheet!$A:$C,3,0))</f>
        <v/>
      </c>
      <c r="G63" s="6"/>
      <c r="H63" s="7"/>
      <c r="I63" s="21"/>
      <c r="J63" s="73" t="str">
        <f t="shared" si="4"/>
        <v/>
      </c>
      <c r="K63" s="68"/>
      <c r="L63" s="42">
        <f t="shared" si="5"/>
        <v>0</v>
      </c>
      <c r="M63" s="27">
        <f t="shared" si="13"/>
        <v>0</v>
      </c>
      <c r="N63" s="96">
        <f>SUM(M63:M67)</f>
        <v>0</v>
      </c>
      <c r="O63" s="35">
        <f t="shared" si="14"/>
        <v>0</v>
      </c>
      <c r="P63" s="99">
        <f>SUM(O63:O67)</f>
        <v>0</v>
      </c>
      <c r="Q63" s="103" t="str">
        <f t="shared" ref="Q63" si="21">IF(N63=P63,"",IF(N63&gt;P63,"Loss",IF(N63&lt;P63,"Over")))</f>
        <v/>
      </c>
      <c r="R63" s="84" t="str">
        <f t="shared" si="3"/>
        <v/>
      </c>
      <c r="S63" t="str">
        <f t="shared" si="15"/>
        <v/>
      </c>
    </row>
    <row r="64" spans="1:24" ht="32.4" customHeight="1" thickBot="1">
      <c r="A64" s="89"/>
      <c r="B64" s="93"/>
      <c r="C64" s="86"/>
      <c r="D64" s="54" t="str">
        <f>IF(G64=0,"",C63&amp;"-"&amp;G64)</f>
        <v/>
      </c>
      <c r="E64" s="54" t="str">
        <f>IF(G64="","",IF(LEN(LEFT(C63,SEARCH("0",C63,1)-1))&lt;2,RIGHT(LEFT(C63,SEARCH("0",C63,1)-1),1)&amp;INT(RIGHT(C63,4)),RIGHT(LEFT(C63,SEARCH("0",C63,1)-1),1)&amp;INT(RIGHT(C63,4))))</f>
        <v/>
      </c>
      <c r="F64" s="5" t="str">
        <f>IF(G64=0,"",VLOOKUP(D64,[1]Worksheet!$A:$C,3,0))</f>
        <v/>
      </c>
      <c r="G64" s="9"/>
      <c r="H64" s="10"/>
      <c r="I64" s="21"/>
      <c r="J64" s="73" t="str">
        <f t="shared" si="4"/>
        <v/>
      </c>
      <c r="K64" s="68"/>
      <c r="L64" s="43">
        <f t="shared" si="5"/>
        <v>0</v>
      </c>
      <c r="M64" s="28">
        <f t="shared" si="13"/>
        <v>0</v>
      </c>
      <c r="N64" s="97"/>
      <c r="O64" s="32">
        <f t="shared" si="14"/>
        <v>0</v>
      </c>
      <c r="P64" s="100"/>
      <c r="Q64" s="104"/>
      <c r="R64" s="84" t="str">
        <f t="shared" si="3"/>
        <v/>
      </c>
      <c r="S64" t="str">
        <f t="shared" si="15"/>
        <v/>
      </c>
    </row>
    <row r="65" spans="1:19" ht="32.4" customHeight="1" thickBot="1">
      <c r="A65" s="90"/>
      <c r="B65" s="94"/>
      <c r="C65" s="86"/>
      <c r="D65" s="54" t="str">
        <f>IF(G65=0,"",C63&amp;"-"&amp;G65)</f>
        <v/>
      </c>
      <c r="E65" s="54" t="str">
        <f>IF(G65="","",IF(LEN(LEFT(C63,SEARCH("0",C63,1)-1))&lt;2,RIGHT(LEFT(C63,SEARCH("0",C63,1)-1),1)&amp;INT(RIGHT(C63,4)),RIGHT(LEFT(C63,SEARCH("0",C63,1)-1),1)&amp;INT(RIGHT(C63,4))))</f>
        <v/>
      </c>
      <c r="F65" s="8" t="str">
        <f>IF(G65=0,"",VLOOKUP(D65,[1]Worksheet!$A:$C,3,0))</f>
        <v/>
      </c>
      <c r="G65" s="6"/>
      <c r="H65" s="10"/>
      <c r="I65" s="21"/>
      <c r="J65" s="73" t="str">
        <f t="shared" si="4"/>
        <v/>
      </c>
      <c r="K65" s="68"/>
      <c r="L65" s="44">
        <f t="shared" si="5"/>
        <v>0</v>
      </c>
      <c r="M65" s="28">
        <f t="shared" si="13"/>
        <v>0</v>
      </c>
      <c r="N65" s="97"/>
      <c r="O65" s="32">
        <f t="shared" si="14"/>
        <v>0</v>
      </c>
      <c r="P65" s="100"/>
      <c r="Q65" s="104"/>
      <c r="R65" s="84" t="str">
        <f t="shared" si="3"/>
        <v/>
      </c>
      <c r="S65" t="str">
        <f t="shared" si="15"/>
        <v/>
      </c>
    </row>
    <row r="66" spans="1:19" ht="32.4" customHeight="1">
      <c r="A66" s="90"/>
      <c r="B66" s="94"/>
      <c r="C66" s="86"/>
      <c r="D66" s="54" t="str">
        <f>IF(G66=0,"",C63&amp;"-"&amp;G66)</f>
        <v/>
      </c>
      <c r="E66" s="54" t="str">
        <f>IF(G66="","",IF(LEN(LEFT(C63,SEARCH("0",C63,1)-1))&lt;2,RIGHT(LEFT(C63,SEARCH("0",C63,1)-1),1)&amp;INT(RIGHT(C63,4)),RIGHT(LEFT(C63,SEARCH("0",C63,1)-1),1)&amp;INT(RIGHT(C63,4))))</f>
        <v/>
      </c>
      <c r="F66" s="8" t="str">
        <f>IF(G66=0,"",VLOOKUP(D66,[1]Worksheet!$A:$C,3,0))</f>
        <v/>
      </c>
      <c r="G66" s="9"/>
      <c r="H66" s="10"/>
      <c r="I66" s="21"/>
      <c r="J66" s="73" t="str">
        <f t="shared" si="4"/>
        <v/>
      </c>
      <c r="K66" s="68"/>
      <c r="L66" s="43">
        <f t="shared" si="5"/>
        <v>0</v>
      </c>
      <c r="M66" s="28">
        <f t="shared" si="13"/>
        <v>0</v>
      </c>
      <c r="N66" s="97"/>
      <c r="O66" s="32">
        <f t="shared" si="14"/>
        <v>0</v>
      </c>
      <c r="P66" s="100"/>
      <c r="Q66" s="104"/>
      <c r="R66" s="84" t="str">
        <f t="shared" si="3"/>
        <v/>
      </c>
      <c r="S66" t="str">
        <f t="shared" si="15"/>
        <v/>
      </c>
    </row>
    <row r="67" spans="1:19" ht="32.4" customHeight="1" thickBot="1">
      <c r="A67" s="91"/>
      <c r="B67" s="95"/>
      <c r="C67" s="87"/>
      <c r="D67" s="55" t="str">
        <f>IF(G67=0,"",C63&amp;"-"&amp;G67)</f>
        <v/>
      </c>
      <c r="E67" s="55" t="str">
        <f>IF(G67="","",IF(LEN(LEFT(C63,SEARCH("0",C63,1)-1))&lt;2,RIGHT(LEFT(C63,SEARCH("0",C63,1)-1),1)&amp;INT(RIGHT(C63,4)),RIGHT(LEFT(C63,SEARCH("0",C63,1)-1),1)&amp;INT(RIGHT(C63,4))))</f>
        <v/>
      </c>
      <c r="F67" s="11" t="str">
        <f>IF(G67=0,"",VLOOKUP(D67,[1]Worksheet!$A:$C,3,0))</f>
        <v/>
      </c>
      <c r="G67" s="12"/>
      <c r="H67" s="12"/>
      <c r="I67" s="23"/>
      <c r="J67" s="73" t="str">
        <f t="shared" si="4"/>
        <v/>
      </c>
      <c r="K67" s="71"/>
      <c r="L67" s="45">
        <f t="shared" si="5"/>
        <v>0</v>
      </c>
      <c r="M67" s="29">
        <f t="shared" ref="M67:M98" si="22">H67*L67</f>
        <v>0</v>
      </c>
      <c r="N67" s="98"/>
      <c r="O67" s="36">
        <f t="shared" ref="O67:O98" si="23">I67*L67</f>
        <v>0</v>
      </c>
      <c r="P67" s="101"/>
      <c r="Q67" s="105"/>
      <c r="R67" s="84" t="str">
        <f t="shared" si="3"/>
        <v/>
      </c>
      <c r="S67" t="str">
        <f t="shared" ref="S67:S98" si="24">IF(H67&lt;&gt;I67,"F","")</f>
        <v/>
      </c>
    </row>
    <row r="68" spans="1:19" ht="32.4" customHeight="1">
      <c r="A68" s="88">
        <f>A63+1</f>
        <v>14</v>
      </c>
      <c r="B68" s="92"/>
      <c r="C68" s="85"/>
      <c r="D68" s="53" t="str">
        <f>IF(G68=0,"",C68&amp;"-"&amp;G68)</f>
        <v/>
      </c>
      <c r="E68" s="53" t="str">
        <f>IF(G68="","",IF(LEN(LEFT(C68,SEARCH("0",C68,1)-1))&lt;2,RIGHT(LEFT(C68,SEARCH("0",C68,1)-1),1)&amp;INT(RIGHT(C68,4)),RIGHT(LEFT(C68,SEARCH("0",C68,1)-1),1)&amp;INT(RIGHT(C68,4))))</f>
        <v/>
      </c>
      <c r="F68" s="2" t="str">
        <f>IF(G68=0,"",VLOOKUP(D68,[1]Worksheet!$A:$C,3,0))</f>
        <v/>
      </c>
      <c r="G68" s="6"/>
      <c r="H68" s="7"/>
      <c r="I68" s="21"/>
      <c r="J68" s="73" t="str">
        <f t="shared" si="4"/>
        <v/>
      </c>
      <c r="K68" s="68"/>
      <c r="L68" s="42">
        <f t="shared" si="5"/>
        <v>0</v>
      </c>
      <c r="M68" s="27">
        <f t="shared" si="22"/>
        <v>0</v>
      </c>
      <c r="N68" s="96">
        <f>SUM(M68:M72)</f>
        <v>0</v>
      </c>
      <c r="O68" s="35">
        <f t="shared" si="23"/>
        <v>0</v>
      </c>
      <c r="P68" s="99">
        <f>SUM(O68:O72)</f>
        <v>0</v>
      </c>
      <c r="Q68" s="103" t="str">
        <f t="shared" ref="Q68" si="25">IF(N68=P68,"",IF(N68&gt;P68,"Loss",IF(N68&lt;P68,"Over")))</f>
        <v/>
      </c>
      <c r="R68" s="84" t="str">
        <f t="shared" ref="R68:R131" si="26">LEFT(E68,1)</f>
        <v/>
      </c>
      <c r="S68" t="str">
        <f t="shared" si="24"/>
        <v/>
      </c>
    </row>
    <row r="69" spans="1:19" ht="32.4" customHeight="1">
      <c r="A69" s="89"/>
      <c r="B69" s="93"/>
      <c r="C69" s="86"/>
      <c r="D69" s="54" t="str">
        <f>IF(G69=0,"",C68&amp;"-"&amp;G69)</f>
        <v/>
      </c>
      <c r="E69" s="54" t="str">
        <f>IF(G69="","",IF(LEN(LEFT(C68,SEARCH("0",C68,1)-1))&lt;2,RIGHT(LEFT(C68,SEARCH("0",C68,1)-1),1)&amp;INT(RIGHT(C68,4)),RIGHT(LEFT(C68,SEARCH("0",C68,1)-1),1)&amp;INT(RIGHT(C68,4))))</f>
        <v/>
      </c>
      <c r="F69" s="5" t="str">
        <f>IF(G69=0,"",VLOOKUP(D69,[1]Worksheet!$A:$C,3,0))</f>
        <v/>
      </c>
      <c r="G69" s="9"/>
      <c r="H69" s="10"/>
      <c r="I69" s="22"/>
      <c r="J69" s="73" t="str">
        <f t="shared" ref="J69:J132" si="27">IF(D69&lt;&gt;"",$J$3,"")</f>
        <v/>
      </c>
      <c r="K69" s="69"/>
      <c r="L69" s="43">
        <f t="shared" si="5"/>
        <v>0</v>
      </c>
      <c r="M69" s="28">
        <f t="shared" si="22"/>
        <v>0</v>
      </c>
      <c r="N69" s="97"/>
      <c r="O69" s="32">
        <f t="shared" si="23"/>
        <v>0</v>
      </c>
      <c r="P69" s="100"/>
      <c r="Q69" s="104"/>
      <c r="R69" s="84" t="str">
        <f t="shared" si="26"/>
        <v/>
      </c>
      <c r="S69" t="str">
        <f t="shared" si="24"/>
        <v/>
      </c>
    </row>
    <row r="70" spans="1:19" ht="32.4" customHeight="1">
      <c r="A70" s="90"/>
      <c r="B70" s="94"/>
      <c r="C70" s="86"/>
      <c r="D70" s="54" t="str">
        <f>IF(G70=0,"",C68&amp;"-"&amp;G70)</f>
        <v/>
      </c>
      <c r="E70" s="54" t="str">
        <f>IF(G70="","",IF(LEN(LEFT(C68,SEARCH("0",C68,1)-1))&lt;2,RIGHT(LEFT(C68,SEARCH("0",C68,1)-1),1)&amp;INT(RIGHT(C68,4)),RIGHT(LEFT(C68,SEARCH("0",C68,1)-1),1)&amp;INT(RIGHT(C68,4))))</f>
        <v/>
      </c>
      <c r="F70" s="8" t="str">
        <f>IF(G70=0,"",VLOOKUP(D70,[1]Worksheet!$A:$C,3,0))</f>
        <v/>
      </c>
      <c r="G70" s="9"/>
      <c r="H70" s="10"/>
      <c r="I70" s="22"/>
      <c r="J70" s="73" t="str">
        <f t="shared" si="27"/>
        <v/>
      </c>
      <c r="K70" s="69"/>
      <c r="L70" s="44">
        <f t="shared" ref="L70:L133" si="28">K70*$U$3</f>
        <v>0</v>
      </c>
      <c r="M70" s="28">
        <f t="shared" si="22"/>
        <v>0</v>
      </c>
      <c r="N70" s="97"/>
      <c r="O70" s="32">
        <f t="shared" si="23"/>
        <v>0</v>
      </c>
      <c r="P70" s="100"/>
      <c r="Q70" s="104"/>
      <c r="R70" s="84" t="str">
        <f t="shared" si="26"/>
        <v/>
      </c>
      <c r="S70" t="str">
        <f t="shared" si="24"/>
        <v/>
      </c>
    </row>
    <row r="71" spans="1:19" ht="32.4" customHeight="1">
      <c r="A71" s="90"/>
      <c r="B71" s="94"/>
      <c r="C71" s="86"/>
      <c r="D71" s="54" t="str">
        <f>IF(G71=0,"",C68&amp;"-"&amp;G71)</f>
        <v/>
      </c>
      <c r="E71" s="54" t="str">
        <f>IF(G71="","",IF(LEN(LEFT(C68,SEARCH("0",C68,1)-1))&lt;2,RIGHT(LEFT(C68,SEARCH("0",C68,1)-1),1)&amp;INT(RIGHT(C68,4)),RIGHT(LEFT(C68,SEARCH("0",C68,1)-1),1)&amp;INT(RIGHT(C68,4))))</f>
        <v/>
      </c>
      <c r="F71" s="8" t="str">
        <f>IF(G71=0,"",VLOOKUP(D71,[1]Worksheet!$A:$C,3,0))</f>
        <v/>
      </c>
      <c r="G71" s="10"/>
      <c r="H71" s="10"/>
      <c r="I71" s="22"/>
      <c r="J71" s="73" t="str">
        <f t="shared" si="27"/>
        <v/>
      </c>
      <c r="K71" s="70"/>
      <c r="L71" s="43">
        <f t="shared" si="28"/>
        <v>0</v>
      </c>
      <c r="M71" s="28">
        <f t="shared" si="22"/>
        <v>0</v>
      </c>
      <c r="N71" s="97"/>
      <c r="O71" s="32">
        <f t="shared" si="23"/>
        <v>0</v>
      </c>
      <c r="P71" s="100"/>
      <c r="Q71" s="104"/>
      <c r="R71" s="84" t="str">
        <f t="shared" si="26"/>
        <v/>
      </c>
      <c r="S71" t="str">
        <f t="shared" si="24"/>
        <v/>
      </c>
    </row>
    <row r="72" spans="1:19" ht="32.4" customHeight="1" thickBot="1">
      <c r="A72" s="91"/>
      <c r="B72" s="95"/>
      <c r="C72" s="87"/>
      <c r="D72" s="55" t="str">
        <f>IF(G72=0,"",C68&amp;"-"&amp;G72)</f>
        <v/>
      </c>
      <c r="E72" s="55" t="str">
        <f>IF(G72="","",IF(LEN(LEFT(C68,SEARCH("0",C68,1)-1))&lt;2,RIGHT(LEFT(C68,SEARCH("0",C68,1)-1),1)&amp;INT(RIGHT(C68,4)),RIGHT(LEFT(C68,SEARCH("0",C68,1)-1),1)&amp;INT(RIGHT(C68,4))))</f>
        <v/>
      </c>
      <c r="F72" s="11" t="str">
        <f>IF(G72=0,"",VLOOKUP(D72,[1]Worksheet!$A:$C,3,0))</f>
        <v/>
      </c>
      <c r="G72" s="12"/>
      <c r="H72" s="12"/>
      <c r="I72" s="23"/>
      <c r="J72" s="73" t="str">
        <f t="shared" si="27"/>
        <v/>
      </c>
      <c r="K72" s="71"/>
      <c r="L72" s="45">
        <f t="shared" si="28"/>
        <v>0</v>
      </c>
      <c r="M72" s="29">
        <f t="shared" si="22"/>
        <v>0</v>
      </c>
      <c r="N72" s="98"/>
      <c r="O72" s="36">
        <f t="shared" si="23"/>
        <v>0</v>
      </c>
      <c r="P72" s="101"/>
      <c r="Q72" s="105"/>
      <c r="R72" s="84" t="str">
        <f t="shared" si="26"/>
        <v/>
      </c>
      <c r="S72" t="str">
        <f t="shared" si="24"/>
        <v/>
      </c>
    </row>
    <row r="73" spans="1:19" ht="32.4" customHeight="1" thickBot="1">
      <c r="A73" s="88">
        <f>A68+1</f>
        <v>15</v>
      </c>
      <c r="B73" s="92"/>
      <c r="C73" s="85"/>
      <c r="D73" s="53" t="str">
        <f>IF(G73=0,"",C73&amp;"-"&amp;G73)</f>
        <v/>
      </c>
      <c r="E73" s="53" t="str">
        <f>IF(G73="","",IF(LEN(LEFT(C73,SEARCH("0",C73,1)-1))&lt;2,RIGHT(LEFT(C73,SEARCH("0",C73,1)-1),1)&amp;INT(RIGHT(C73,4)),RIGHT(LEFT(C73,SEARCH("0",C73,1)-1),1)&amp;INT(RIGHT(C73,4))))</f>
        <v/>
      </c>
      <c r="F73" s="2" t="str">
        <f>IF(G73=0,"",VLOOKUP(D73,[1]Worksheet!$A:$C,3,0))</f>
        <v/>
      </c>
      <c r="G73" s="6"/>
      <c r="H73" s="7"/>
      <c r="I73" s="21"/>
      <c r="J73" s="73" t="str">
        <f t="shared" si="27"/>
        <v/>
      </c>
      <c r="K73" s="68"/>
      <c r="L73" s="42">
        <f t="shared" si="28"/>
        <v>0</v>
      </c>
      <c r="M73" s="27">
        <f t="shared" si="22"/>
        <v>0</v>
      </c>
      <c r="N73" s="96">
        <f>SUM(M73:M77)</f>
        <v>0</v>
      </c>
      <c r="O73" s="35">
        <f t="shared" si="23"/>
        <v>0</v>
      </c>
      <c r="P73" s="99">
        <f>SUM(O73:O77)</f>
        <v>0</v>
      </c>
      <c r="Q73" s="103" t="str">
        <f t="shared" ref="Q73" si="29">IF(N73=P73,"",IF(N73&gt;P73,"Loss",IF(N73&lt;P73,"Over")))</f>
        <v/>
      </c>
      <c r="R73" s="84" t="str">
        <f t="shared" si="26"/>
        <v/>
      </c>
      <c r="S73" t="str">
        <f t="shared" si="24"/>
        <v/>
      </c>
    </row>
    <row r="74" spans="1:19" ht="32.4" customHeight="1" thickBot="1">
      <c r="A74" s="89"/>
      <c r="B74" s="93"/>
      <c r="C74" s="86"/>
      <c r="D74" s="54" t="str">
        <f>IF(G74=0,"",C73&amp;"-"&amp;G74)</f>
        <v/>
      </c>
      <c r="E74" s="54" t="str">
        <f>IF(G74="","",IF(LEN(LEFT(C73,SEARCH("0",C73,1)-1))&lt;2,RIGHT(LEFT(C73,SEARCH("0",C73,1)-1),1)&amp;INT(RIGHT(C73,4)),RIGHT(LEFT(C73,SEARCH("0",C73,1)-1),1)&amp;INT(RIGHT(C73,4))))</f>
        <v/>
      </c>
      <c r="F74" s="5" t="str">
        <f>IF(G74=0,"",VLOOKUP(D74,[1]Worksheet!$A:$C,3,0))</f>
        <v/>
      </c>
      <c r="G74" s="9"/>
      <c r="H74" s="10"/>
      <c r="I74" s="22"/>
      <c r="J74" s="73" t="str">
        <f t="shared" si="27"/>
        <v/>
      </c>
      <c r="K74" s="68"/>
      <c r="L74" s="43">
        <f t="shared" si="28"/>
        <v>0</v>
      </c>
      <c r="M74" s="28">
        <f t="shared" si="22"/>
        <v>0</v>
      </c>
      <c r="N74" s="97"/>
      <c r="O74" s="32">
        <f t="shared" si="23"/>
        <v>0</v>
      </c>
      <c r="P74" s="100"/>
      <c r="Q74" s="104"/>
      <c r="R74" s="84" t="str">
        <f t="shared" si="26"/>
        <v/>
      </c>
      <c r="S74" t="str">
        <f t="shared" si="24"/>
        <v/>
      </c>
    </row>
    <row r="75" spans="1:19" ht="32.4" customHeight="1" thickBot="1">
      <c r="A75" s="90"/>
      <c r="B75" s="94"/>
      <c r="C75" s="86"/>
      <c r="D75" s="54" t="str">
        <f>IF(G75=0,"",C73&amp;"-"&amp;G75)</f>
        <v/>
      </c>
      <c r="E75" s="54" t="str">
        <f>IF(G75="","",IF(LEN(LEFT(C73,SEARCH("0",C73,1)-1))&lt;2,RIGHT(LEFT(C73,SEARCH("0",C73,1)-1),1)&amp;INT(RIGHT(C73,4)),RIGHT(LEFT(C73,SEARCH("0",C73,1)-1),1)&amp;INT(RIGHT(C73,4))))</f>
        <v/>
      </c>
      <c r="F75" s="8" t="str">
        <f>IF(G75=0,"",VLOOKUP(D75,[1]Worksheet!$A:$C,3,0))</f>
        <v/>
      </c>
      <c r="G75" s="10"/>
      <c r="H75" s="10"/>
      <c r="I75" s="22"/>
      <c r="J75" s="73" t="str">
        <f t="shared" si="27"/>
        <v/>
      </c>
      <c r="K75" s="68"/>
      <c r="L75" s="44">
        <f t="shared" si="28"/>
        <v>0</v>
      </c>
      <c r="M75" s="28">
        <f t="shared" si="22"/>
        <v>0</v>
      </c>
      <c r="N75" s="97"/>
      <c r="O75" s="32">
        <f t="shared" si="23"/>
        <v>0</v>
      </c>
      <c r="P75" s="100"/>
      <c r="Q75" s="104"/>
      <c r="R75" s="84" t="str">
        <f t="shared" si="26"/>
        <v/>
      </c>
      <c r="S75" t="str">
        <f t="shared" si="24"/>
        <v/>
      </c>
    </row>
    <row r="76" spans="1:19" ht="32.4" customHeight="1">
      <c r="A76" s="90"/>
      <c r="B76" s="94"/>
      <c r="C76" s="86"/>
      <c r="D76" s="54" t="str">
        <f>IF(G76=0,"",C73&amp;"-"&amp;G76)</f>
        <v/>
      </c>
      <c r="E76" s="54" t="str">
        <f>IF(G76="","",IF(LEN(LEFT(C73,SEARCH("0",C73,1)-1))&lt;2,RIGHT(LEFT(C73,SEARCH("0",C73,1)-1),1)&amp;INT(RIGHT(C73,4)),RIGHT(LEFT(C73,SEARCH("0",C73,1)-1),1)&amp;INT(RIGHT(C73,4))))</f>
        <v/>
      </c>
      <c r="F76" s="8" t="str">
        <f>IF(G76=0,"",VLOOKUP(D76,[1]Worksheet!$A:$C,3,0))</f>
        <v/>
      </c>
      <c r="G76" s="10"/>
      <c r="H76" s="10"/>
      <c r="I76" s="22"/>
      <c r="J76" s="73" t="str">
        <f t="shared" si="27"/>
        <v/>
      </c>
      <c r="K76" s="68"/>
      <c r="L76" s="43">
        <f t="shared" si="28"/>
        <v>0</v>
      </c>
      <c r="M76" s="28">
        <f t="shared" si="22"/>
        <v>0</v>
      </c>
      <c r="N76" s="97"/>
      <c r="O76" s="32">
        <f t="shared" si="23"/>
        <v>0</v>
      </c>
      <c r="P76" s="100"/>
      <c r="Q76" s="104"/>
      <c r="R76" s="84" t="str">
        <f t="shared" si="26"/>
        <v/>
      </c>
      <c r="S76" t="str">
        <f t="shared" si="24"/>
        <v/>
      </c>
    </row>
    <row r="77" spans="1:19" ht="32.4" customHeight="1" thickBot="1">
      <c r="A77" s="91"/>
      <c r="B77" s="95"/>
      <c r="C77" s="87"/>
      <c r="D77" s="55" t="str">
        <f>IF(G77=0,"",C73&amp;"-"&amp;G77)</f>
        <v/>
      </c>
      <c r="E77" s="55" t="str">
        <f>IF(G77="","",IF(LEN(LEFT(C73,SEARCH("0",C73,1)-1))&lt;2,RIGHT(LEFT(C73,SEARCH("0",C73,1)-1),1)&amp;INT(RIGHT(C73,4)),RIGHT(LEFT(C73,SEARCH("0",C73,1)-1),1)&amp;INT(RIGHT(C73,4))))</f>
        <v/>
      </c>
      <c r="F77" s="11" t="str">
        <f>IF(G77=0,"",VLOOKUP(D77,[1]Worksheet!$A:$C,3,0))</f>
        <v/>
      </c>
      <c r="G77" s="12"/>
      <c r="H77" s="12"/>
      <c r="I77" s="23"/>
      <c r="J77" s="73" t="str">
        <f t="shared" si="27"/>
        <v/>
      </c>
      <c r="K77" s="71"/>
      <c r="L77" s="45">
        <f t="shared" si="28"/>
        <v>0</v>
      </c>
      <c r="M77" s="29">
        <f t="shared" si="22"/>
        <v>0</v>
      </c>
      <c r="N77" s="98"/>
      <c r="O77" s="36">
        <f t="shared" si="23"/>
        <v>0</v>
      </c>
      <c r="P77" s="101"/>
      <c r="Q77" s="105"/>
      <c r="R77" s="84" t="str">
        <f t="shared" si="26"/>
        <v/>
      </c>
      <c r="S77" t="str">
        <f t="shared" si="24"/>
        <v/>
      </c>
    </row>
    <row r="78" spans="1:19" ht="32.4" customHeight="1">
      <c r="A78" s="88">
        <f>A73+1</f>
        <v>16</v>
      </c>
      <c r="B78" s="102"/>
      <c r="C78" s="85"/>
      <c r="D78" s="53" t="str">
        <f>IF(G78=0,"",C78&amp;"-"&amp;G78)</f>
        <v/>
      </c>
      <c r="E78" s="53" t="str">
        <f>IF(G78="","",IF(LEN(LEFT(C78,SEARCH("0",C78,1)-1))&lt;2,RIGHT(LEFT(C78,SEARCH("0",C78,1)-1),1)&amp;INT(RIGHT(C78,4)),RIGHT(LEFT(C78,SEARCH("0",C78,1)-1),1)&amp;INT(RIGHT(C78,4))))</f>
        <v/>
      </c>
      <c r="F78" s="2" t="str">
        <f>IF(G78=0,"",VLOOKUP(D78,[1]Worksheet!$A:$C,3,0))</f>
        <v/>
      </c>
      <c r="G78" s="13"/>
      <c r="H78" s="14"/>
      <c r="I78" s="24"/>
      <c r="J78" s="73" t="str">
        <f t="shared" si="27"/>
        <v/>
      </c>
      <c r="K78" s="68"/>
      <c r="L78" s="42">
        <f t="shared" si="28"/>
        <v>0</v>
      </c>
      <c r="M78" s="27">
        <f t="shared" si="22"/>
        <v>0</v>
      </c>
      <c r="N78" s="96">
        <f>SUM(M78:M82)</f>
        <v>0</v>
      </c>
      <c r="O78" s="35">
        <f t="shared" si="23"/>
        <v>0</v>
      </c>
      <c r="P78" s="99">
        <f>SUM(O78:O82)</f>
        <v>0</v>
      </c>
      <c r="Q78" s="103" t="str">
        <f t="shared" ref="Q78" si="30">IF(N78=P78,"",IF(N78&gt;P78,"Loss",IF(N78&lt;P78,"Over")))</f>
        <v/>
      </c>
      <c r="R78" s="84" t="str">
        <f t="shared" si="26"/>
        <v/>
      </c>
      <c r="S78" t="str">
        <f t="shared" si="24"/>
        <v/>
      </c>
    </row>
    <row r="79" spans="1:19" ht="32.4" customHeight="1">
      <c r="A79" s="89"/>
      <c r="B79" s="93"/>
      <c r="C79" s="86"/>
      <c r="D79" s="54" t="str">
        <f>IF(G79=0,"",C78&amp;"-"&amp;G79)</f>
        <v/>
      </c>
      <c r="E79" s="54" t="str">
        <f>IF(G79="","",IF(LEN(LEFT(C78,SEARCH("0",C78,1)-1))&lt;2,RIGHT(LEFT(C78,SEARCH("0",C78,1)-1),1)&amp;INT(RIGHT(C78,4)),RIGHT(LEFT(C78,SEARCH("0",C78,1)-1),1)&amp;INT(RIGHT(C78,4))))</f>
        <v/>
      </c>
      <c r="F79" s="5" t="str">
        <f>IF(G79=0,"",VLOOKUP(D79,[1]Worksheet!$A:$C,3,0))</f>
        <v/>
      </c>
      <c r="G79" s="6"/>
      <c r="H79" s="7"/>
      <c r="I79" s="21"/>
      <c r="J79" s="73" t="str">
        <f t="shared" si="27"/>
        <v/>
      </c>
      <c r="K79" s="69"/>
      <c r="L79" s="43">
        <f t="shared" si="28"/>
        <v>0</v>
      </c>
      <c r="M79" s="28">
        <f t="shared" si="22"/>
        <v>0</v>
      </c>
      <c r="N79" s="97"/>
      <c r="O79" s="32">
        <f t="shared" si="23"/>
        <v>0</v>
      </c>
      <c r="P79" s="100"/>
      <c r="Q79" s="104"/>
      <c r="R79" s="84" t="str">
        <f t="shared" si="26"/>
        <v/>
      </c>
      <c r="S79" t="str">
        <f t="shared" si="24"/>
        <v/>
      </c>
    </row>
    <row r="80" spans="1:19" ht="32.4" customHeight="1">
      <c r="A80" s="90"/>
      <c r="B80" s="94"/>
      <c r="C80" s="86"/>
      <c r="D80" s="54" t="str">
        <f>IF(G80=0,"",C78&amp;"-"&amp;G80)</f>
        <v/>
      </c>
      <c r="E80" s="54" t="str">
        <f>IF(G80="","",IF(LEN(LEFT(C78,SEARCH("0",C78,1)-1))&lt;2,RIGHT(LEFT(C78,SEARCH("0",C78,1)-1),1)&amp;INT(RIGHT(C78,4)),RIGHT(LEFT(C78,SEARCH("0",C78,1)-1),1)&amp;INT(RIGHT(C78,4))))</f>
        <v/>
      </c>
      <c r="F80" s="8" t="str">
        <f>IF(G80=0,"",VLOOKUP(D80,[1]Worksheet!$A:$C,3,0))</f>
        <v/>
      </c>
      <c r="G80" s="9"/>
      <c r="H80" s="10"/>
      <c r="I80" s="22"/>
      <c r="J80" s="73" t="str">
        <f t="shared" si="27"/>
        <v/>
      </c>
      <c r="K80" s="69"/>
      <c r="L80" s="44">
        <f t="shared" si="28"/>
        <v>0</v>
      </c>
      <c r="M80" s="28">
        <f t="shared" si="22"/>
        <v>0</v>
      </c>
      <c r="N80" s="97"/>
      <c r="O80" s="32">
        <f t="shared" si="23"/>
        <v>0</v>
      </c>
      <c r="P80" s="100"/>
      <c r="Q80" s="104"/>
      <c r="R80" s="84" t="str">
        <f t="shared" si="26"/>
        <v/>
      </c>
      <c r="S80" t="str">
        <f t="shared" si="24"/>
        <v/>
      </c>
    </row>
    <row r="81" spans="1:24" ht="32.4" customHeight="1">
      <c r="A81" s="90"/>
      <c r="B81" s="94"/>
      <c r="C81" s="86"/>
      <c r="D81" s="54" t="str">
        <f>IF(G81=0,"",C78&amp;"-"&amp;G81)</f>
        <v/>
      </c>
      <c r="E81" s="54" t="str">
        <f>IF(G81="","",IF(LEN(LEFT(C78,SEARCH("0",C78,1)-1))&lt;2,RIGHT(LEFT(C78,SEARCH("0",C78,1)-1),1)&amp;INT(RIGHT(C78,4)),RIGHT(LEFT(C78,SEARCH("0",C78,1)-1),1)&amp;INT(RIGHT(C78,4))))</f>
        <v/>
      </c>
      <c r="F81" s="8" t="str">
        <f>IF(G81=0,"",VLOOKUP(D81,[1]Worksheet!$A:$C,3,0))</f>
        <v/>
      </c>
      <c r="G81" s="10"/>
      <c r="H81" s="10"/>
      <c r="I81" s="22"/>
      <c r="J81" s="73" t="str">
        <f t="shared" si="27"/>
        <v/>
      </c>
      <c r="K81" s="70"/>
      <c r="L81" s="43">
        <f t="shared" si="28"/>
        <v>0</v>
      </c>
      <c r="M81" s="28">
        <f t="shared" si="22"/>
        <v>0</v>
      </c>
      <c r="N81" s="97"/>
      <c r="O81" s="32">
        <f t="shared" si="23"/>
        <v>0</v>
      </c>
      <c r="P81" s="100"/>
      <c r="Q81" s="104"/>
      <c r="R81" s="84" t="str">
        <f t="shared" si="26"/>
        <v/>
      </c>
      <c r="S81" t="str">
        <f t="shared" si="24"/>
        <v/>
      </c>
    </row>
    <row r="82" spans="1:24" ht="32.4" customHeight="1" thickBot="1">
      <c r="A82" s="91"/>
      <c r="B82" s="95"/>
      <c r="C82" s="87"/>
      <c r="D82" s="55" t="str">
        <f>IF(G82=0,"",C78&amp;"-"&amp;G82)</f>
        <v/>
      </c>
      <c r="E82" s="55" t="str">
        <f>IF(G82="","",IF(LEN(LEFT(C78,SEARCH("0",C78,1)-1))&lt;2,RIGHT(LEFT(C78,SEARCH("0",C78,1)-1),1)&amp;INT(RIGHT(C78,4)),RIGHT(LEFT(C78,SEARCH("0",C78,1)-1),1)&amp;INT(RIGHT(C78,4))))</f>
        <v/>
      </c>
      <c r="F82" s="11" t="str">
        <f>IF(G82=0,"",VLOOKUP(D82,[1]Worksheet!$A:$C,3,0))</f>
        <v/>
      </c>
      <c r="G82" s="12"/>
      <c r="H82" s="12"/>
      <c r="I82" s="23"/>
      <c r="J82" s="73" t="str">
        <f t="shared" si="27"/>
        <v/>
      </c>
      <c r="K82" s="71"/>
      <c r="L82" s="45">
        <f t="shared" si="28"/>
        <v>0</v>
      </c>
      <c r="M82" s="29">
        <f t="shared" si="22"/>
        <v>0</v>
      </c>
      <c r="N82" s="98"/>
      <c r="O82" s="36">
        <f t="shared" si="23"/>
        <v>0</v>
      </c>
      <c r="P82" s="101"/>
      <c r="Q82" s="105"/>
      <c r="R82" s="84" t="str">
        <f t="shared" si="26"/>
        <v/>
      </c>
      <c r="S82" t="str">
        <f t="shared" si="24"/>
        <v/>
      </c>
    </row>
    <row r="83" spans="1:24" ht="32.4" customHeight="1">
      <c r="A83" s="88">
        <f>A78+1</f>
        <v>17</v>
      </c>
      <c r="B83" s="92"/>
      <c r="C83" s="85"/>
      <c r="D83" s="53" t="str">
        <f>IF(G83=0,"",C83&amp;"-"&amp;G83)</f>
        <v/>
      </c>
      <c r="E83" s="53" t="str">
        <f>IF(G83="","",IF(LEN(LEFT(C83,SEARCH("0",C83,1)-1))&lt;2,RIGHT(LEFT(C83,SEARCH("0",C83,1)-1),1)&amp;INT(RIGHT(C83,4)),RIGHT(LEFT(C83,SEARCH("0",C83,1)-1),1)&amp;INT(RIGHT(C83,4))))</f>
        <v/>
      </c>
      <c r="F83" s="2" t="str">
        <f>IF(G83=0,"",VLOOKUP(D83,[1]Worksheet!$A:$C,3,0))</f>
        <v/>
      </c>
      <c r="G83" s="13"/>
      <c r="H83" s="14"/>
      <c r="I83" s="24"/>
      <c r="J83" s="73" t="str">
        <f t="shared" si="27"/>
        <v/>
      </c>
      <c r="K83" s="68"/>
      <c r="L83" s="42">
        <f t="shared" si="28"/>
        <v>0</v>
      </c>
      <c r="M83" s="27">
        <f t="shared" si="22"/>
        <v>0</v>
      </c>
      <c r="N83" s="96">
        <f>SUM(M83:M87)</f>
        <v>0</v>
      </c>
      <c r="O83" s="35">
        <f t="shared" si="23"/>
        <v>0</v>
      </c>
      <c r="P83" s="99">
        <f>SUM(O83:O87)</f>
        <v>0</v>
      </c>
      <c r="Q83" s="103" t="str">
        <f t="shared" ref="Q83" si="31">IF(N83=P83,"",IF(N83&gt;P83,"Loss",IF(N83&lt;P83,"Over")))</f>
        <v/>
      </c>
      <c r="R83" s="84" t="str">
        <f t="shared" si="26"/>
        <v/>
      </c>
      <c r="S83" t="str">
        <f t="shared" si="24"/>
        <v/>
      </c>
    </row>
    <row r="84" spans="1:24" ht="32.4" customHeight="1">
      <c r="A84" s="89"/>
      <c r="B84" s="93"/>
      <c r="C84" s="86"/>
      <c r="D84" s="54" t="str">
        <f>IF(G84=0,"",C83&amp;"-"&amp;G84)</f>
        <v/>
      </c>
      <c r="E84" s="54" t="str">
        <f>IF(G84="","",IF(LEN(LEFT(C83,SEARCH("0",C83,1)-1))&lt;2,RIGHT(LEFT(C83,SEARCH("0",C83,1)-1),1)&amp;INT(RIGHT(C83,4)),RIGHT(LEFT(C83,SEARCH("0",C83,1)-1),1)&amp;INT(RIGHT(C83,4))))</f>
        <v/>
      </c>
      <c r="F84" s="5" t="str">
        <f>IF(G84=0,"",VLOOKUP(D84,[1]Worksheet!$A:$C,3,0))</f>
        <v/>
      </c>
      <c r="G84" s="6"/>
      <c r="H84" s="7"/>
      <c r="I84" s="21"/>
      <c r="J84" s="73" t="str">
        <f t="shared" si="27"/>
        <v/>
      </c>
      <c r="K84" s="69"/>
      <c r="L84" s="43">
        <f t="shared" si="28"/>
        <v>0</v>
      </c>
      <c r="M84" s="28">
        <f t="shared" si="22"/>
        <v>0</v>
      </c>
      <c r="N84" s="97"/>
      <c r="O84" s="32">
        <f t="shared" si="23"/>
        <v>0</v>
      </c>
      <c r="P84" s="100"/>
      <c r="Q84" s="104"/>
      <c r="R84" s="84" t="str">
        <f t="shared" si="26"/>
        <v/>
      </c>
      <c r="S84" t="str">
        <f t="shared" si="24"/>
        <v/>
      </c>
    </row>
    <row r="85" spans="1:24" ht="32.4" customHeight="1">
      <c r="A85" s="90"/>
      <c r="B85" s="94"/>
      <c r="C85" s="86"/>
      <c r="D85" s="54" t="str">
        <f>IF(G85=0,"",C83&amp;"-"&amp;G85)</f>
        <v/>
      </c>
      <c r="E85" s="54" t="str">
        <f>IF(G85="","",IF(LEN(LEFT(C83,SEARCH("0",C83,1)-1))&lt;2,RIGHT(LEFT(C83,SEARCH("0",C83,1)-1),1)&amp;INT(RIGHT(C83,4)),RIGHT(LEFT(C83,SEARCH("0",C83,1)-1),1)&amp;INT(RIGHT(C83,4))))</f>
        <v/>
      </c>
      <c r="F85" s="8" t="str">
        <f>IF(G85=0,"",VLOOKUP(D85,[1]Worksheet!$A:$C,3,0))</f>
        <v/>
      </c>
      <c r="G85" s="9"/>
      <c r="H85" s="10"/>
      <c r="I85" s="22"/>
      <c r="J85" s="73" t="str">
        <f t="shared" si="27"/>
        <v/>
      </c>
      <c r="K85" s="69"/>
      <c r="L85" s="44">
        <f t="shared" si="28"/>
        <v>0</v>
      </c>
      <c r="M85" s="28">
        <f t="shared" si="22"/>
        <v>0</v>
      </c>
      <c r="N85" s="97"/>
      <c r="O85" s="32">
        <f t="shared" si="23"/>
        <v>0</v>
      </c>
      <c r="P85" s="100"/>
      <c r="Q85" s="104"/>
      <c r="R85" s="84" t="str">
        <f t="shared" si="26"/>
        <v/>
      </c>
      <c r="S85" t="str">
        <f t="shared" si="24"/>
        <v/>
      </c>
    </row>
    <row r="86" spans="1:24" ht="32.4" customHeight="1">
      <c r="A86" s="90"/>
      <c r="B86" s="94"/>
      <c r="C86" s="86"/>
      <c r="D86" s="54" t="str">
        <f>IF(G86=0,"",C83&amp;"-"&amp;G86)</f>
        <v/>
      </c>
      <c r="E86" s="54" t="str">
        <f>IF(G86="","",IF(LEN(LEFT(C83,SEARCH("0",C83,1)-1))&lt;2,RIGHT(LEFT(C83,SEARCH("0",C83,1)-1),1)&amp;INT(RIGHT(C83,4)),RIGHT(LEFT(C83,SEARCH("0",C83,1)-1),1)&amp;INT(RIGHT(C83,4))))</f>
        <v/>
      </c>
      <c r="F86" s="8" t="str">
        <f>IF(G86=0,"",VLOOKUP(D86,[1]Worksheet!$A:$C,3,0))</f>
        <v/>
      </c>
      <c r="G86" s="10"/>
      <c r="H86" s="10"/>
      <c r="I86" s="22"/>
      <c r="J86" s="73" t="str">
        <f t="shared" si="27"/>
        <v/>
      </c>
      <c r="K86" s="70"/>
      <c r="L86" s="43">
        <f t="shared" si="28"/>
        <v>0</v>
      </c>
      <c r="M86" s="28">
        <f t="shared" si="22"/>
        <v>0</v>
      </c>
      <c r="N86" s="97"/>
      <c r="O86" s="32">
        <f t="shared" si="23"/>
        <v>0</v>
      </c>
      <c r="P86" s="100"/>
      <c r="Q86" s="104"/>
      <c r="R86" s="84" t="str">
        <f t="shared" si="26"/>
        <v/>
      </c>
      <c r="S86" t="str">
        <f t="shared" si="24"/>
        <v/>
      </c>
    </row>
    <row r="87" spans="1:24" ht="32.4" customHeight="1" thickBot="1">
      <c r="A87" s="91"/>
      <c r="B87" s="95"/>
      <c r="C87" s="87"/>
      <c r="D87" s="55" t="str">
        <f>IF(G87=0,"",C83&amp;"-"&amp;G87)</f>
        <v/>
      </c>
      <c r="E87" s="55" t="str">
        <f>IF(G87="","",IF(LEN(LEFT(C83,SEARCH("0",C83,1)-1))&lt;2,RIGHT(LEFT(C83,SEARCH("0",C83,1)-1),1)&amp;INT(RIGHT(C83,4)),RIGHT(LEFT(C83,SEARCH("0",C83,1)-1),1)&amp;INT(RIGHT(C83,4))))</f>
        <v/>
      </c>
      <c r="F87" s="11" t="str">
        <f>IF(G87=0,"",VLOOKUP(D87,[1]Worksheet!$A:$C,3,0))</f>
        <v/>
      </c>
      <c r="G87" s="12"/>
      <c r="H87" s="12"/>
      <c r="I87" s="23"/>
      <c r="J87" s="73" t="str">
        <f t="shared" si="27"/>
        <v/>
      </c>
      <c r="K87" s="71"/>
      <c r="L87" s="45">
        <f t="shared" si="28"/>
        <v>0</v>
      </c>
      <c r="M87" s="29">
        <f t="shared" si="22"/>
        <v>0</v>
      </c>
      <c r="N87" s="98"/>
      <c r="O87" s="36">
        <f t="shared" si="23"/>
        <v>0</v>
      </c>
      <c r="P87" s="101"/>
      <c r="Q87" s="105"/>
      <c r="R87" s="84" t="str">
        <f t="shared" si="26"/>
        <v/>
      </c>
      <c r="S87" t="str">
        <f t="shared" si="24"/>
        <v/>
      </c>
    </row>
    <row r="88" spans="1:24" ht="32.4" customHeight="1">
      <c r="A88" s="88">
        <f>A83+1</f>
        <v>18</v>
      </c>
      <c r="B88" s="92"/>
      <c r="C88" s="85"/>
      <c r="D88" s="53" t="str">
        <f>IF(G88=0,"",C88&amp;"-"&amp;G88)</f>
        <v/>
      </c>
      <c r="E88" s="53" t="str">
        <f>IF(G88="","",IF(LEN(LEFT(C88,SEARCH("0",C88,1)-1))&lt;2,RIGHT(LEFT(C88,SEARCH("0",C88,1)-1),1)&amp;INT(RIGHT(C88,4)),RIGHT(LEFT(C88,SEARCH("0",C88,1)-1),1)&amp;INT(RIGHT(C88,4))))</f>
        <v/>
      </c>
      <c r="F88" s="2" t="str">
        <f>IF(G88=0,"",VLOOKUP(D88,[1]Worksheet!$A:$C,3,0))</f>
        <v/>
      </c>
      <c r="G88" s="13"/>
      <c r="H88" s="14"/>
      <c r="I88" s="24"/>
      <c r="J88" s="73" t="str">
        <f t="shared" si="27"/>
        <v/>
      </c>
      <c r="K88" s="68"/>
      <c r="L88" s="42">
        <f t="shared" si="28"/>
        <v>0</v>
      </c>
      <c r="M88" s="27">
        <f t="shared" si="22"/>
        <v>0</v>
      </c>
      <c r="N88" s="96">
        <f>SUM(M88:M92)</f>
        <v>0</v>
      </c>
      <c r="O88" s="35">
        <f t="shared" si="23"/>
        <v>0</v>
      </c>
      <c r="P88" s="99">
        <f>SUM(O88:O92)</f>
        <v>0</v>
      </c>
      <c r="Q88" s="103" t="str">
        <f t="shared" ref="Q88" si="32">IF(N88=P88,"",IF(N88&gt;P88,"Loss",IF(N88&lt;P88,"Over")))</f>
        <v/>
      </c>
      <c r="R88" s="84" t="str">
        <f t="shared" si="26"/>
        <v/>
      </c>
      <c r="S88" t="str">
        <f t="shared" si="24"/>
        <v/>
      </c>
    </row>
    <row r="89" spans="1:24" ht="32.4" customHeight="1">
      <c r="A89" s="89"/>
      <c r="B89" s="93"/>
      <c r="C89" s="86"/>
      <c r="D89" s="54" t="str">
        <f>IF(G89=0,"",C88&amp;"-"&amp;G89)</f>
        <v/>
      </c>
      <c r="E89" s="54" t="str">
        <f>IF(G89="","",IF(LEN(LEFT(C88,SEARCH("0",C88,1)-1))&lt;2,RIGHT(LEFT(C88,SEARCH("0",C88,1)-1),1)&amp;INT(RIGHT(C88,4)),RIGHT(LEFT(C88,SEARCH("0",C88,1)-1),1)&amp;INT(RIGHT(C88,4))))</f>
        <v/>
      </c>
      <c r="F89" s="5" t="str">
        <f>IF(G89=0,"",VLOOKUP(D89,[1]Worksheet!$A:$C,3,0))</f>
        <v/>
      </c>
      <c r="G89" s="6"/>
      <c r="H89" s="7"/>
      <c r="I89" s="21"/>
      <c r="J89" s="73" t="str">
        <f t="shared" si="27"/>
        <v/>
      </c>
      <c r="K89" s="69"/>
      <c r="L89" s="43">
        <f t="shared" si="28"/>
        <v>0</v>
      </c>
      <c r="M89" s="28">
        <f t="shared" si="22"/>
        <v>0</v>
      </c>
      <c r="N89" s="97"/>
      <c r="O89" s="32">
        <f t="shared" si="23"/>
        <v>0</v>
      </c>
      <c r="P89" s="100"/>
      <c r="Q89" s="104"/>
      <c r="R89" s="84" t="str">
        <f t="shared" si="26"/>
        <v/>
      </c>
      <c r="S89" t="str">
        <f t="shared" si="24"/>
        <v/>
      </c>
    </row>
    <row r="90" spans="1:24" ht="32.4" customHeight="1">
      <c r="A90" s="90"/>
      <c r="B90" s="94"/>
      <c r="C90" s="86"/>
      <c r="D90" s="54" t="str">
        <f>IF(G90=0,"",C88&amp;"-"&amp;G90)</f>
        <v/>
      </c>
      <c r="E90" s="54" t="str">
        <f>IF(G90="","",IF(LEN(LEFT(C88,SEARCH("0",C88,1)-1))&lt;2,RIGHT(LEFT(C88,SEARCH("0",C88,1)-1),1)&amp;INT(RIGHT(C88,4)),RIGHT(LEFT(C88,SEARCH("0",C88,1)-1),1)&amp;INT(RIGHT(C88,4))))</f>
        <v/>
      </c>
      <c r="F90" s="8" t="str">
        <f>IF(G90=0,"",VLOOKUP(D90,[1]Worksheet!$A:$C,3,0))</f>
        <v/>
      </c>
      <c r="G90" s="9"/>
      <c r="H90" s="10"/>
      <c r="I90" s="22"/>
      <c r="J90" s="73" t="str">
        <f t="shared" si="27"/>
        <v/>
      </c>
      <c r="K90" s="69"/>
      <c r="L90" s="44">
        <f t="shared" si="28"/>
        <v>0</v>
      </c>
      <c r="M90" s="28">
        <f t="shared" si="22"/>
        <v>0</v>
      </c>
      <c r="N90" s="97"/>
      <c r="O90" s="32">
        <f t="shared" si="23"/>
        <v>0</v>
      </c>
      <c r="P90" s="100"/>
      <c r="Q90" s="104"/>
      <c r="R90" s="84" t="str">
        <f t="shared" si="26"/>
        <v/>
      </c>
      <c r="S90" t="str">
        <f t="shared" si="24"/>
        <v/>
      </c>
    </row>
    <row r="91" spans="1:24" ht="32.4" customHeight="1">
      <c r="A91" s="90"/>
      <c r="B91" s="94"/>
      <c r="C91" s="86"/>
      <c r="D91" s="54" t="str">
        <f>IF(G91=0,"",C88&amp;"-"&amp;G91)</f>
        <v/>
      </c>
      <c r="E91" s="54" t="str">
        <f>IF(G91="","",IF(LEN(LEFT(C88,SEARCH("0",C88,1)-1))&lt;2,RIGHT(LEFT(C88,SEARCH("0",C88,1)-1),1)&amp;INT(RIGHT(C88,4)),RIGHT(LEFT(C88,SEARCH("0",C88,1)-1),1)&amp;INT(RIGHT(C88,4))))</f>
        <v/>
      </c>
      <c r="F91" s="8" t="str">
        <f>IF(G91=0,"",VLOOKUP(D91,[1]Worksheet!$A:$C,3,0))</f>
        <v/>
      </c>
      <c r="G91" s="10"/>
      <c r="H91" s="10"/>
      <c r="I91" s="22"/>
      <c r="J91" s="73" t="str">
        <f t="shared" si="27"/>
        <v/>
      </c>
      <c r="K91" s="70"/>
      <c r="L91" s="43">
        <f t="shared" si="28"/>
        <v>0</v>
      </c>
      <c r="M91" s="28">
        <f t="shared" si="22"/>
        <v>0</v>
      </c>
      <c r="N91" s="97"/>
      <c r="O91" s="32">
        <f t="shared" si="23"/>
        <v>0</v>
      </c>
      <c r="P91" s="100"/>
      <c r="Q91" s="104"/>
      <c r="R91" s="84" t="str">
        <f t="shared" si="26"/>
        <v/>
      </c>
      <c r="S91" t="str">
        <f t="shared" si="24"/>
        <v/>
      </c>
    </row>
    <row r="92" spans="1:24" ht="32.4" customHeight="1" thickBot="1">
      <c r="A92" s="91"/>
      <c r="B92" s="95"/>
      <c r="C92" s="87"/>
      <c r="D92" s="55" t="str">
        <f>IF(G92=0,"",C88&amp;"-"&amp;G92)</f>
        <v/>
      </c>
      <c r="E92" s="55" t="str">
        <f>IF(G92="","",IF(LEN(LEFT(C88,SEARCH("0",C88,1)-1))&lt;2,RIGHT(LEFT(C88,SEARCH("0",C88,1)-1),1)&amp;INT(RIGHT(C88,4)),RIGHT(LEFT(C88,SEARCH("0",C88,1)-1),1)&amp;INT(RIGHT(C88,4))))</f>
        <v/>
      </c>
      <c r="F92" s="11" t="str">
        <f>IF(G92=0,"",VLOOKUP(D92,[1]Worksheet!$A:$C,3,0))</f>
        <v/>
      </c>
      <c r="G92" s="12"/>
      <c r="H92" s="12"/>
      <c r="I92" s="23"/>
      <c r="J92" s="73" t="str">
        <f t="shared" si="27"/>
        <v/>
      </c>
      <c r="K92" s="71"/>
      <c r="L92" s="45">
        <f t="shared" si="28"/>
        <v>0</v>
      </c>
      <c r="M92" s="29">
        <f t="shared" si="22"/>
        <v>0</v>
      </c>
      <c r="N92" s="98"/>
      <c r="O92" s="36">
        <f t="shared" si="23"/>
        <v>0</v>
      </c>
      <c r="P92" s="101"/>
      <c r="Q92" s="105"/>
      <c r="R92" s="84" t="str">
        <f t="shared" si="26"/>
        <v/>
      </c>
      <c r="S92" t="str">
        <f t="shared" si="24"/>
        <v/>
      </c>
    </row>
    <row r="93" spans="1:24" ht="32.4" customHeight="1">
      <c r="A93" s="88">
        <f>A88+1</f>
        <v>19</v>
      </c>
      <c r="B93" s="92"/>
      <c r="C93" s="85"/>
      <c r="D93" s="53" t="str">
        <f>IF(G93=0,"",C93&amp;"-"&amp;G93)</f>
        <v/>
      </c>
      <c r="E93" s="53" t="str">
        <f>IF(G93="","",IF(LEN(LEFT(C93,SEARCH("0",C93,1)-1))&lt;2,RIGHT(LEFT(C93,SEARCH("0",C93,1)-1),1)&amp;INT(RIGHT(C93,4)),RIGHT(LEFT(C93,SEARCH("0",C93,1)-1),1)&amp;INT(RIGHT(C93,4))))</f>
        <v/>
      </c>
      <c r="F93" s="2" t="str">
        <f>IF(G93=0,"",VLOOKUP(D93,[1]Worksheet!$A:$C,3,0))</f>
        <v/>
      </c>
      <c r="G93" s="13"/>
      <c r="H93" s="14"/>
      <c r="I93" s="24"/>
      <c r="J93" s="73" t="str">
        <f t="shared" si="27"/>
        <v/>
      </c>
      <c r="K93" s="68"/>
      <c r="L93" s="42">
        <f t="shared" si="28"/>
        <v>0</v>
      </c>
      <c r="M93" s="27">
        <f t="shared" si="22"/>
        <v>0</v>
      </c>
      <c r="N93" s="96">
        <f>SUM(M93:M97)</f>
        <v>0</v>
      </c>
      <c r="O93" s="35">
        <f t="shared" si="23"/>
        <v>0</v>
      </c>
      <c r="P93" s="99">
        <f>SUM(O93:O97)</f>
        <v>0</v>
      </c>
      <c r="Q93" s="103" t="str">
        <f t="shared" ref="Q93" si="33">IF(N93=P93,"",IF(N93&gt;P93,"Loss",IF(N93&lt;P93,"Over")))</f>
        <v/>
      </c>
      <c r="R93" s="84" t="str">
        <f t="shared" si="26"/>
        <v/>
      </c>
      <c r="S93" t="str">
        <f t="shared" si="24"/>
        <v/>
      </c>
    </row>
    <row r="94" spans="1:24" ht="32.4" customHeight="1">
      <c r="A94" s="89"/>
      <c r="B94" s="93"/>
      <c r="C94" s="86"/>
      <c r="D94" s="54" t="str">
        <f>IF(G94=0,"",C93&amp;"-"&amp;G94)</f>
        <v/>
      </c>
      <c r="E94" s="54" t="str">
        <f>IF(G94="","",IF(LEN(LEFT(C93,SEARCH("0",C93,1)-1))&lt;2,RIGHT(LEFT(C93,SEARCH("0",C93,1)-1),1)&amp;INT(RIGHT(C93,4)),RIGHT(LEFT(C93,SEARCH("0",C93,1)-1),1)&amp;INT(RIGHT(C93,4))))</f>
        <v/>
      </c>
      <c r="F94" s="5" t="str">
        <f>IF(G94=0,"",VLOOKUP(D94,[1]Worksheet!$A:$C,3,0))</f>
        <v/>
      </c>
      <c r="G94" s="6"/>
      <c r="H94" s="7"/>
      <c r="I94" s="21"/>
      <c r="J94" s="73" t="str">
        <f t="shared" si="27"/>
        <v/>
      </c>
      <c r="K94" s="69"/>
      <c r="L94" s="43">
        <f t="shared" si="28"/>
        <v>0</v>
      </c>
      <c r="M94" s="28">
        <f t="shared" si="22"/>
        <v>0</v>
      </c>
      <c r="N94" s="97"/>
      <c r="O94" s="32">
        <f t="shared" si="23"/>
        <v>0</v>
      </c>
      <c r="P94" s="100"/>
      <c r="Q94" s="104"/>
      <c r="R94" s="84" t="str">
        <f t="shared" si="26"/>
        <v/>
      </c>
      <c r="S94" t="str">
        <f t="shared" si="24"/>
        <v/>
      </c>
    </row>
    <row r="95" spans="1:24" ht="32.4" customHeight="1">
      <c r="A95" s="90"/>
      <c r="B95" s="94"/>
      <c r="C95" s="86"/>
      <c r="D95" s="54" t="str">
        <f>IF(G95=0,"",C93&amp;"-"&amp;G95)</f>
        <v/>
      </c>
      <c r="E95" s="54" t="str">
        <f>IF(G95="","",IF(LEN(LEFT(C93,SEARCH("0",C93,1)-1))&lt;2,RIGHT(LEFT(C93,SEARCH("0",C93,1)-1),1)&amp;INT(RIGHT(C93,4)),RIGHT(LEFT(C93,SEARCH("0",C93,1)-1),1)&amp;INT(RIGHT(C93,4))))</f>
        <v/>
      </c>
      <c r="F95" s="8" t="str">
        <f>IF(G95=0,"",VLOOKUP(D95,[1]Worksheet!$A:$C,3,0))</f>
        <v/>
      </c>
      <c r="G95" s="9"/>
      <c r="H95" s="10"/>
      <c r="I95" s="22"/>
      <c r="J95" s="73" t="str">
        <f t="shared" si="27"/>
        <v/>
      </c>
      <c r="K95" s="69"/>
      <c r="L95" s="44">
        <f t="shared" si="28"/>
        <v>0</v>
      </c>
      <c r="M95" s="28">
        <f t="shared" si="22"/>
        <v>0</v>
      </c>
      <c r="N95" s="97"/>
      <c r="O95" s="32">
        <f t="shared" si="23"/>
        <v>0</v>
      </c>
      <c r="P95" s="100"/>
      <c r="Q95" s="104"/>
      <c r="R95" s="84" t="str">
        <f t="shared" si="26"/>
        <v/>
      </c>
      <c r="S95" t="str">
        <f t="shared" si="24"/>
        <v/>
      </c>
      <c r="V95" s="64"/>
      <c r="W95" s="64"/>
      <c r="X95" s="64"/>
    </row>
    <row r="96" spans="1:24" ht="32.4" customHeight="1">
      <c r="A96" s="90"/>
      <c r="B96" s="94"/>
      <c r="C96" s="86"/>
      <c r="D96" s="54" t="str">
        <f>IF(G96=0,"",C93&amp;"-"&amp;G96)</f>
        <v/>
      </c>
      <c r="E96" s="54" t="str">
        <f>IF(G96="","",IF(LEN(LEFT(C93,SEARCH("0",C93,1)-1))&lt;2,RIGHT(LEFT(C93,SEARCH("0",C93,1)-1),1)&amp;INT(RIGHT(C93,4)),RIGHT(LEFT(C93,SEARCH("0",C93,1)-1),1)&amp;INT(RIGHT(C93,4))))</f>
        <v/>
      </c>
      <c r="F96" s="8" t="str">
        <f>IF(G96=0,"",VLOOKUP(D96,[1]Worksheet!$A:$C,3,0))</f>
        <v/>
      </c>
      <c r="G96" s="10"/>
      <c r="H96" s="10"/>
      <c r="I96" s="22"/>
      <c r="J96" s="73" t="str">
        <f t="shared" si="27"/>
        <v/>
      </c>
      <c r="K96" s="70"/>
      <c r="L96" s="43">
        <f t="shared" si="28"/>
        <v>0</v>
      </c>
      <c r="M96" s="28">
        <f t="shared" si="22"/>
        <v>0</v>
      </c>
      <c r="N96" s="97"/>
      <c r="O96" s="32">
        <f t="shared" si="23"/>
        <v>0</v>
      </c>
      <c r="P96" s="100"/>
      <c r="Q96" s="104"/>
      <c r="R96" s="84" t="str">
        <f t="shared" si="26"/>
        <v/>
      </c>
      <c r="S96" t="str">
        <f t="shared" si="24"/>
        <v/>
      </c>
    </row>
    <row r="97" spans="1:19" ht="32.4" customHeight="1" thickBot="1">
      <c r="A97" s="91"/>
      <c r="B97" s="95"/>
      <c r="C97" s="87"/>
      <c r="D97" s="55" t="str">
        <f>IF(G97=0,"",C93&amp;"-"&amp;G97)</f>
        <v/>
      </c>
      <c r="E97" s="55" t="str">
        <f>IF(G97="","",IF(LEN(LEFT(C93,SEARCH("0",C93,1)-1))&lt;2,RIGHT(LEFT(C93,SEARCH("0",C93,1)-1),1)&amp;INT(RIGHT(C93,4)),RIGHT(LEFT(C93,SEARCH("0",C93,1)-1),1)&amp;INT(RIGHT(C93,4))))</f>
        <v/>
      </c>
      <c r="F97" s="11" t="str">
        <f>IF(G97=0,"",VLOOKUP(D97,[1]Worksheet!$A:$C,3,0))</f>
        <v/>
      </c>
      <c r="G97" s="12"/>
      <c r="H97" s="12"/>
      <c r="I97" s="23"/>
      <c r="J97" s="73" t="str">
        <f t="shared" si="27"/>
        <v/>
      </c>
      <c r="K97" s="71"/>
      <c r="L97" s="45">
        <f t="shared" si="28"/>
        <v>0</v>
      </c>
      <c r="M97" s="29">
        <f t="shared" si="22"/>
        <v>0</v>
      </c>
      <c r="N97" s="98"/>
      <c r="O97" s="36">
        <f t="shared" si="23"/>
        <v>0</v>
      </c>
      <c r="P97" s="101"/>
      <c r="Q97" s="105"/>
      <c r="R97" s="84" t="str">
        <f t="shared" si="26"/>
        <v/>
      </c>
      <c r="S97" t="str">
        <f t="shared" si="24"/>
        <v/>
      </c>
    </row>
    <row r="98" spans="1:19" ht="32.4" customHeight="1">
      <c r="A98" s="88">
        <f>A93+1</f>
        <v>20</v>
      </c>
      <c r="B98" s="102"/>
      <c r="C98" s="85"/>
      <c r="D98" s="53" t="str">
        <f>IF(G98=0,"",C98&amp;"-"&amp;G98)</f>
        <v/>
      </c>
      <c r="E98" s="53" t="str">
        <f>IF(G98="","",IF(LEN(LEFT(C98,SEARCH("0",C98,1)-1))&lt;2,RIGHT(LEFT(C98,SEARCH("0",C98,1)-1),1)&amp;INT(RIGHT(C98,4)),RIGHT(LEFT(C98,SEARCH("0",C98,1)-1),1)&amp;INT(RIGHT(C98,4))))</f>
        <v/>
      </c>
      <c r="F98" s="2" t="str">
        <f>IF(G98=0,"",VLOOKUP(D98,[1]Worksheet!$A:$C,3,0))</f>
        <v/>
      </c>
      <c r="G98" s="13"/>
      <c r="H98" s="14"/>
      <c r="I98" s="24"/>
      <c r="J98" s="73" t="str">
        <f t="shared" si="27"/>
        <v/>
      </c>
      <c r="K98" s="68"/>
      <c r="L98" s="42">
        <f t="shared" si="28"/>
        <v>0</v>
      </c>
      <c r="M98" s="27">
        <f t="shared" si="22"/>
        <v>0</v>
      </c>
      <c r="N98" s="96">
        <f>SUM(M98:M102)</f>
        <v>0</v>
      </c>
      <c r="O98" s="35">
        <f t="shared" si="23"/>
        <v>0</v>
      </c>
      <c r="P98" s="99">
        <f>SUM(O98:O102)</f>
        <v>0</v>
      </c>
      <c r="Q98" s="103" t="str">
        <f t="shared" ref="Q98" si="34">IF(N98=P98,"",IF(N98&gt;P98,"Loss",IF(N98&lt;P98,"Over")))</f>
        <v/>
      </c>
      <c r="R98" s="84" t="str">
        <f t="shared" si="26"/>
        <v/>
      </c>
      <c r="S98" t="str">
        <f t="shared" si="24"/>
        <v/>
      </c>
    </row>
    <row r="99" spans="1:19" ht="32.4" customHeight="1">
      <c r="A99" s="89"/>
      <c r="B99" s="93"/>
      <c r="C99" s="86"/>
      <c r="D99" s="54" t="str">
        <f>IF(G99=0,"",C98&amp;"-"&amp;G99)</f>
        <v/>
      </c>
      <c r="E99" s="54" t="str">
        <f>IF(G99="","",IF(LEN(LEFT(C98,SEARCH("0",C98,1)-1))&lt;2,RIGHT(LEFT(C98,SEARCH("0",C98,1)-1),1)&amp;INT(RIGHT(C98,4)),RIGHT(LEFT(C98,SEARCH("0",C98,1)-1),1)&amp;INT(RIGHT(C98,4))))</f>
        <v/>
      </c>
      <c r="F99" s="5" t="str">
        <f>IF(G99=0,"",VLOOKUP(D99,[1]Worksheet!$A:$C,3,0))</f>
        <v/>
      </c>
      <c r="G99" s="6"/>
      <c r="H99" s="7"/>
      <c r="I99" s="21"/>
      <c r="J99" s="73" t="str">
        <f t="shared" si="27"/>
        <v/>
      </c>
      <c r="K99" s="69"/>
      <c r="L99" s="43">
        <f t="shared" si="28"/>
        <v>0</v>
      </c>
      <c r="M99" s="28">
        <f t="shared" ref="M99:M130" si="35">H99*L99</f>
        <v>0</v>
      </c>
      <c r="N99" s="97"/>
      <c r="O99" s="32">
        <f t="shared" ref="O99:O130" si="36">I99*L99</f>
        <v>0</v>
      </c>
      <c r="P99" s="100"/>
      <c r="Q99" s="104"/>
      <c r="R99" s="84" t="str">
        <f t="shared" si="26"/>
        <v/>
      </c>
      <c r="S99" t="str">
        <f t="shared" ref="S99:S130" si="37">IF(H99&lt;&gt;I99,"F","")</f>
        <v/>
      </c>
    </row>
    <row r="100" spans="1:19" ht="32.4" customHeight="1">
      <c r="A100" s="90"/>
      <c r="B100" s="94"/>
      <c r="C100" s="86"/>
      <c r="D100" s="54" t="str">
        <f>IF(G100=0,"",C98&amp;"-"&amp;G100)</f>
        <v/>
      </c>
      <c r="E100" s="54" t="str">
        <f>IF(G100="","",IF(LEN(LEFT(C98,SEARCH("0",C98,1)-1))&lt;2,RIGHT(LEFT(C98,SEARCH("0",C98,1)-1),1)&amp;INT(RIGHT(C98,4)),RIGHT(LEFT(C98,SEARCH("0",C98,1)-1),1)&amp;INT(RIGHT(C98,4))))</f>
        <v/>
      </c>
      <c r="F100" s="8" t="str">
        <f>IF(G100=0,"",VLOOKUP(D100,[1]Worksheet!$A:$C,3,0))</f>
        <v/>
      </c>
      <c r="G100" s="9"/>
      <c r="H100" s="10"/>
      <c r="I100" s="22"/>
      <c r="J100" s="73" t="str">
        <f t="shared" si="27"/>
        <v/>
      </c>
      <c r="K100" s="69"/>
      <c r="L100" s="44">
        <f t="shared" si="28"/>
        <v>0</v>
      </c>
      <c r="M100" s="28">
        <f t="shared" si="35"/>
        <v>0</v>
      </c>
      <c r="N100" s="97"/>
      <c r="O100" s="32">
        <f t="shared" si="36"/>
        <v>0</v>
      </c>
      <c r="P100" s="100"/>
      <c r="Q100" s="104"/>
      <c r="R100" s="84" t="str">
        <f t="shared" si="26"/>
        <v/>
      </c>
      <c r="S100" t="str">
        <f t="shared" si="37"/>
        <v/>
      </c>
    </row>
    <row r="101" spans="1:19" ht="32.4" customHeight="1">
      <c r="A101" s="90"/>
      <c r="B101" s="94"/>
      <c r="C101" s="86"/>
      <c r="D101" s="54" t="str">
        <f>IF(G101=0,"",C98&amp;"-"&amp;G101)</f>
        <v/>
      </c>
      <c r="E101" s="54" t="str">
        <f>IF(G101="","",IF(LEN(LEFT(C98,SEARCH("0",C98,1)-1))&lt;2,RIGHT(LEFT(C98,SEARCH("0",C98,1)-1),1)&amp;INT(RIGHT(C98,4)),RIGHT(LEFT(C98,SEARCH("0",C98,1)-1),1)&amp;INT(RIGHT(C98,4))))</f>
        <v/>
      </c>
      <c r="F101" s="8" t="str">
        <f>IF(G101=0,"",VLOOKUP(D101,[1]Worksheet!$A:$C,3,0))</f>
        <v/>
      </c>
      <c r="G101" s="10"/>
      <c r="H101" s="10"/>
      <c r="I101" s="22"/>
      <c r="J101" s="73" t="str">
        <f t="shared" si="27"/>
        <v/>
      </c>
      <c r="K101" s="70"/>
      <c r="L101" s="43">
        <f t="shared" si="28"/>
        <v>0</v>
      </c>
      <c r="M101" s="28">
        <f t="shared" si="35"/>
        <v>0</v>
      </c>
      <c r="N101" s="97"/>
      <c r="O101" s="32">
        <f t="shared" si="36"/>
        <v>0</v>
      </c>
      <c r="P101" s="100"/>
      <c r="Q101" s="104"/>
      <c r="R101" s="84" t="str">
        <f t="shared" si="26"/>
        <v/>
      </c>
      <c r="S101" t="str">
        <f t="shared" si="37"/>
        <v/>
      </c>
    </row>
    <row r="102" spans="1:19" ht="32.4" customHeight="1" thickBot="1">
      <c r="A102" s="91"/>
      <c r="B102" s="95"/>
      <c r="C102" s="87"/>
      <c r="D102" s="55" t="str">
        <f>IF(G102=0,"",C98&amp;"-"&amp;G102)</f>
        <v/>
      </c>
      <c r="E102" s="55" t="str">
        <f>IF(G102="","",IF(LEN(LEFT(C98,SEARCH("0",C98,1)-1))&lt;2,RIGHT(LEFT(C98,SEARCH("0",C98,1)-1),1)&amp;INT(RIGHT(C98,4)),RIGHT(LEFT(C98,SEARCH("0",C98,1)-1),1)&amp;INT(RIGHT(C98,4))))</f>
        <v/>
      </c>
      <c r="F102" s="11" t="str">
        <f>IF(G102=0,"",VLOOKUP(D102,[1]Worksheet!$A:$C,3,0))</f>
        <v/>
      </c>
      <c r="G102" s="12"/>
      <c r="H102" s="12"/>
      <c r="I102" s="23"/>
      <c r="J102" s="73" t="str">
        <f t="shared" si="27"/>
        <v/>
      </c>
      <c r="K102" s="71"/>
      <c r="L102" s="45">
        <f t="shared" si="28"/>
        <v>0</v>
      </c>
      <c r="M102" s="29">
        <f t="shared" si="35"/>
        <v>0</v>
      </c>
      <c r="N102" s="98"/>
      <c r="O102" s="36">
        <f t="shared" si="36"/>
        <v>0</v>
      </c>
      <c r="P102" s="101"/>
      <c r="Q102" s="105"/>
      <c r="R102" s="84" t="str">
        <f t="shared" si="26"/>
        <v/>
      </c>
      <c r="S102" t="str">
        <f t="shared" si="37"/>
        <v/>
      </c>
    </row>
    <row r="103" spans="1:19" ht="32.4" customHeight="1">
      <c r="A103" s="88">
        <f>A98+1</f>
        <v>21</v>
      </c>
      <c r="B103" s="92"/>
      <c r="C103" s="85"/>
      <c r="D103" s="53" t="str">
        <f>IF(G103=0,"",C103&amp;"-"&amp;G103)</f>
        <v/>
      </c>
      <c r="E103" s="53" t="str">
        <f>IF(G103="","",IF(LEN(LEFT(C103,SEARCH("0",C103,1)-1))&lt;2,RIGHT(LEFT(C103,SEARCH("0",C103,1)-1),1)&amp;INT(RIGHT(C103,4)),RIGHT(LEFT(C103,SEARCH("0",C103,1)-1),1)&amp;INT(RIGHT(C103,4))))</f>
        <v/>
      </c>
      <c r="F103" s="2" t="str">
        <f>IF(G103=0,"",VLOOKUP(D103,[1]Worksheet!$A:$C,3,0))</f>
        <v/>
      </c>
      <c r="G103" s="13"/>
      <c r="H103" s="14"/>
      <c r="I103" s="24"/>
      <c r="J103" s="73" t="str">
        <f t="shared" si="27"/>
        <v/>
      </c>
      <c r="K103" s="68"/>
      <c r="L103" s="42">
        <f t="shared" si="28"/>
        <v>0</v>
      </c>
      <c r="M103" s="27">
        <f t="shared" si="35"/>
        <v>0</v>
      </c>
      <c r="N103" s="96">
        <f>SUM(M103:M107)</f>
        <v>0</v>
      </c>
      <c r="O103" s="35">
        <f t="shared" si="36"/>
        <v>0</v>
      </c>
      <c r="P103" s="99">
        <f>SUM(O103:O107)</f>
        <v>0</v>
      </c>
      <c r="Q103" s="103" t="str">
        <f t="shared" ref="Q103" si="38">IF(N103=P103,"",IF(N103&gt;P103,"Loss",IF(N103&lt;P103,"Over")))</f>
        <v/>
      </c>
      <c r="R103" s="84" t="str">
        <f t="shared" si="26"/>
        <v/>
      </c>
      <c r="S103" t="str">
        <f t="shared" si="37"/>
        <v/>
      </c>
    </row>
    <row r="104" spans="1:19" ht="32.4" customHeight="1">
      <c r="A104" s="89"/>
      <c r="B104" s="93"/>
      <c r="C104" s="86"/>
      <c r="D104" s="54" t="str">
        <f>IF(G104=0,"",C103&amp;"-"&amp;G104)</f>
        <v/>
      </c>
      <c r="E104" s="54" t="str">
        <f>IF(G104="","",IF(LEN(LEFT(C103,SEARCH("0",C103,1)-1))&lt;2,RIGHT(LEFT(C103,SEARCH("0",C103,1)-1),1)&amp;INT(RIGHT(C103,4)),RIGHT(LEFT(C103,SEARCH("0",C103,1)-1),1)&amp;INT(RIGHT(C103,4))))</f>
        <v/>
      </c>
      <c r="F104" s="5" t="str">
        <f>IF(G104=0,"",VLOOKUP(D104,[1]Worksheet!$A:$C,3,0))</f>
        <v/>
      </c>
      <c r="G104" s="6"/>
      <c r="H104" s="7"/>
      <c r="I104" s="21"/>
      <c r="J104" s="73" t="str">
        <f t="shared" si="27"/>
        <v/>
      </c>
      <c r="K104" s="69"/>
      <c r="L104" s="43">
        <f t="shared" si="28"/>
        <v>0</v>
      </c>
      <c r="M104" s="28">
        <f t="shared" si="35"/>
        <v>0</v>
      </c>
      <c r="N104" s="97"/>
      <c r="O104" s="32">
        <f t="shared" si="36"/>
        <v>0</v>
      </c>
      <c r="P104" s="100"/>
      <c r="Q104" s="104"/>
      <c r="R104" s="84" t="str">
        <f t="shared" si="26"/>
        <v/>
      </c>
      <c r="S104" t="str">
        <f t="shared" si="37"/>
        <v/>
      </c>
    </row>
    <row r="105" spans="1:19" ht="32.4" customHeight="1">
      <c r="A105" s="90"/>
      <c r="B105" s="94"/>
      <c r="C105" s="86"/>
      <c r="D105" s="54" t="str">
        <f>IF(G105=0,"",C103&amp;"-"&amp;G105)</f>
        <v/>
      </c>
      <c r="E105" s="54" t="str">
        <f>IF(G105="","",IF(LEN(LEFT(C103,SEARCH("0",C103,1)-1))&lt;2,RIGHT(LEFT(C103,SEARCH("0",C103,1)-1),1)&amp;INT(RIGHT(C103,4)),RIGHT(LEFT(C103,SEARCH("0",C103,1)-1),1)&amp;INT(RIGHT(C103,4))))</f>
        <v/>
      </c>
      <c r="F105" s="8" t="str">
        <f>IF(G105=0,"",VLOOKUP(D105,[1]Worksheet!$A:$C,3,0))</f>
        <v/>
      </c>
      <c r="G105" s="9"/>
      <c r="H105" s="10"/>
      <c r="I105" s="22"/>
      <c r="J105" s="73" t="str">
        <f t="shared" si="27"/>
        <v/>
      </c>
      <c r="K105" s="69"/>
      <c r="L105" s="44">
        <f t="shared" si="28"/>
        <v>0</v>
      </c>
      <c r="M105" s="28">
        <f t="shared" si="35"/>
        <v>0</v>
      </c>
      <c r="N105" s="97"/>
      <c r="O105" s="32">
        <f t="shared" si="36"/>
        <v>0</v>
      </c>
      <c r="P105" s="100"/>
      <c r="Q105" s="104"/>
      <c r="R105" s="84" t="str">
        <f t="shared" si="26"/>
        <v/>
      </c>
      <c r="S105" t="str">
        <f t="shared" si="37"/>
        <v/>
      </c>
    </row>
    <row r="106" spans="1:19" ht="32.4" customHeight="1">
      <c r="A106" s="90"/>
      <c r="B106" s="94"/>
      <c r="C106" s="86"/>
      <c r="D106" s="54" t="str">
        <f>IF(G106=0,"",C103&amp;"-"&amp;G106)</f>
        <v/>
      </c>
      <c r="E106" s="54" t="str">
        <f>IF(G106="","",IF(LEN(LEFT(C103,SEARCH("0",C103,1)-1))&lt;2,RIGHT(LEFT(C103,SEARCH("0",C103,1)-1),1)&amp;INT(RIGHT(C103,4)),RIGHT(LEFT(C103,SEARCH("0",C103,1)-1),1)&amp;INT(RIGHT(C103,4))))</f>
        <v/>
      </c>
      <c r="F106" s="8" t="str">
        <f>IF(G106=0,"",VLOOKUP(D106,[1]Worksheet!$A:$C,3,0))</f>
        <v/>
      </c>
      <c r="G106" s="10"/>
      <c r="H106" s="10"/>
      <c r="I106" s="22"/>
      <c r="J106" s="73" t="str">
        <f t="shared" si="27"/>
        <v/>
      </c>
      <c r="K106" s="70"/>
      <c r="L106" s="43">
        <f t="shared" si="28"/>
        <v>0</v>
      </c>
      <c r="M106" s="28">
        <f t="shared" si="35"/>
        <v>0</v>
      </c>
      <c r="N106" s="97"/>
      <c r="O106" s="32">
        <f t="shared" si="36"/>
        <v>0</v>
      </c>
      <c r="P106" s="100"/>
      <c r="Q106" s="104"/>
      <c r="R106" s="84" t="str">
        <f t="shared" si="26"/>
        <v/>
      </c>
      <c r="S106" t="str">
        <f t="shared" si="37"/>
        <v/>
      </c>
    </row>
    <row r="107" spans="1:19" ht="32.4" customHeight="1" thickBot="1">
      <c r="A107" s="91"/>
      <c r="B107" s="95"/>
      <c r="C107" s="87"/>
      <c r="D107" s="55" t="str">
        <f>IF(G107=0,"",C103&amp;"-"&amp;G107)</f>
        <v/>
      </c>
      <c r="E107" s="55" t="str">
        <f>IF(G107="","",IF(LEN(LEFT(C103,SEARCH("0",C103,1)-1))&lt;2,RIGHT(LEFT(C103,SEARCH("0",C103,1)-1),1)&amp;INT(RIGHT(C103,4)),RIGHT(LEFT(C103,SEARCH("0",C103,1)-1),1)&amp;INT(RIGHT(C103,4))))</f>
        <v/>
      </c>
      <c r="F107" s="11" t="str">
        <f>IF(G107=0,"",VLOOKUP(D107,[1]Worksheet!$A:$C,3,0))</f>
        <v/>
      </c>
      <c r="G107" s="12"/>
      <c r="H107" s="12"/>
      <c r="I107" s="23"/>
      <c r="J107" s="73" t="str">
        <f t="shared" si="27"/>
        <v/>
      </c>
      <c r="K107" s="71"/>
      <c r="L107" s="45">
        <f t="shared" si="28"/>
        <v>0</v>
      </c>
      <c r="M107" s="29">
        <f t="shared" si="35"/>
        <v>0</v>
      </c>
      <c r="N107" s="98"/>
      <c r="O107" s="36">
        <f t="shared" si="36"/>
        <v>0</v>
      </c>
      <c r="P107" s="101"/>
      <c r="Q107" s="105"/>
      <c r="R107" s="84" t="str">
        <f t="shared" si="26"/>
        <v/>
      </c>
      <c r="S107" t="str">
        <f t="shared" si="37"/>
        <v/>
      </c>
    </row>
    <row r="108" spans="1:19" ht="32.4" customHeight="1">
      <c r="A108" s="88">
        <f>A103+1</f>
        <v>22</v>
      </c>
      <c r="B108" s="92"/>
      <c r="C108" s="85"/>
      <c r="D108" s="53" t="str">
        <f>IF(G108=0,"",C108&amp;"-"&amp;G108)</f>
        <v/>
      </c>
      <c r="E108" s="53" t="str">
        <f>IF(G108="","",IF(LEN(LEFT(C108,SEARCH("0",C108,1)-1))&lt;2,RIGHT(LEFT(C108,SEARCH("0",C108,1)-1),1)&amp;INT(RIGHT(C108,4)),RIGHT(LEFT(C108,SEARCH("0",C108,1)-1),1)&amp;INT(RIGHT(C108,4))))</f>
        <v/>
      </c>
      <c r="F108" s="2" t="str">
        <f>IF(G108=0,"",VLOOKUP(D108,[1]Worksheet!$A:$C,3,0))</f>
        <v/>
      </c>
      <c r="G108" s="13"/>
      <c r="H108" s="14"/>
      <c r="I108" s="24"/>
      <c r="J108" s="73" t="str">
        <f t="shared" si="27"/>
        <v/>
      </c>
      <c r="K108" s="68"/>
      <c r="L108" s="42">
        <f t="shared" si="28"/>
        <v>0</v>
      </c>
      <c r="M108" s="27">
        <f t="shared" si="35"/>
        <v>0</v>
      </c>
      <c r="N108" s="96">
        <f>SUM(M108:M112)</f>
        <v>0</v>
      </c>
      <c r="O108" s="35">
        <f t="shared" si="36"/>
        <v>0</v>
      </c>
      <c r="P108" s="99">
        <f>SUM(O108:O112)</f>
        <v>0</v>
      </c>
      <c r="Q108" s="103" t="str">
        <f t="shared" ref="Q108" si="39">IF(N108=P108,"",IF(N108&gt;P108,"Loss",IF(N108&lt;P108,"Over")))</f>
        <v/>
      </c>
      <c r="R108" s="84" t="str">
        <f t="shared" si="26"/>
        <v/>
      </c>
      <c r="S108" t="str">
        <f t="shared" si="37"/>
        <v/>
      </c>
    </row>
    <row r="109" spans="1:19" ht="32.4" customHeight="1">
      <c r="A109" s="89"/>
      <c r="B109" s="93"/>
      <c r="C109" s="86"/>
      <c r="D109" s="54" t="str">
        <f>IF(G109=0,"",C108&amp;"-"&amp;G109)</f>
        <v/>
      </c>
      <c r="E109" s="54" t="str">
        <f>IF(G109="","",IF(LEN(LEFT(C108,SEARCH("0",C108,1)-1))&lt;2,RIGHT(LEFT(C108,SEARCH("0",C108,1)-1),1)&amp;INT(RIGHT(C108,4)),RIGHT(LEFT(C108,SEARCH("0",C108,1)-1),1)&amp;INT(RIGHT(C108,4))))</f>
        <v/>
      </c>
      <c r="F109" s="5" t="str">
        <f>IF(G109=0,"",VLOOKUP(D109,[1]Worksheet!$A:$C,3,0))</f>
        <v/>
      </c>
      <c r="G109" s="6"/>
      <c r="H109" s="7"/>
      <c r="I109" s="21"/>
      <c r="J109" s="73" t="str">
        <f t="shared" si="27"/>
        <v/>
      </c>
      <c r="K109" s="69"/>
      <c r="L109" s="43">
        <f t="shared" si="28"/>
        <v>0</v>
      </c>
      <c r="M109" s="28">
        <f t="shared" si="35"/>
        <v>0</v>
      </c>
      <c r="N109" s="97"/>
      <c r="O109" s="32">
        <f t="shared" si="36"/>
        <v>0</v>
      </c>
      <c r="P109" s="100"/>
      <c r="Q109" s="104"/>
      <c r="R109" s="84" t="str">
        <f t="shared" si="26"/>
        <v/>
      </c>
      <c r="S109" t="str">
        <f t="shared" si="37"/>
        <v/>
      </c>
    </row>
    <row r="110" spans="1:19" ht="32.4" customHeight="1">
      <c r="A110" s="90"/>
      <c r="B110" s="94"/>
      <c r="C110" s="86"/>
      <c r="D110" s="54" t="str">
        <f>IF(G110=0,"",C108&amp;"-"&amp;G110)</f>
        <v/>
      </c>
      <c r="E110" s="54" t="str">
        <f>IF(G110="","",IF(LEN(LEFT(C108,SEARCH("0",C108,1)-1))&lt;2,RIGHT(LEFT(C108,SEARCH("0",C108,1)-1),1)&amp;INT(RIGHT(C108,4)),RIGHT(LEFT(C108,SEARCH("0",C108,1)-1),1)&amp;INT(RIGHT(C108,4))))</f>
        <v/>
      </c>
      <c r="F110" s="8" t="str">
        <f>IF(G110=0,"",VLOOKUP(D110,[1]Worksheet!$A:$C,3,0))</f>
        <v/>
      </c>
      <c r="G110" s="9"/>
      <c r="H110" s="10"/>
      <c r="I110" s="22"/>
      <c r="J110" s="73" t="str">
        <f t="shared" si="27"/>
        <v/>
      </c>
      <c r="K110" s="69"/>
      <c r="L110" s="44">
        <f t="shared" si="28"/>
        <v>0</v>
      </c>
      <c r="M110" s="28">
        <f t="shared" si="35"/>
        <v>0</v>
      </c>
      <c r="N110" s="97"/>
      <c r="O110" s="32">
        <f t="shared" si="36"/>
        <v>0</v>
      </c>
      <c r="P110" s="100"/>
      <c r="Q110" s="104"/>
      <c r="R110" s="84" t="str">
        <f t="shared" si="26"/>
        <v/>
      </c>
      <c r="S110" t="str">
        <f t="shared" si="37"/>
        <v/>
      </c>
    </row>
    <row r="111" spans="1:19" ht="32.4" customHeight="1">
      <c r="A111" s="90"/>
      <c r="B111" s="94"/>
      <c r="C111" s="86"/>
      <c r="D111" s="54" t="str">
        <f>IF(G111=0,"",C108&amp;"-"&amp;G111)</f>
        <v/>
      </c>
      <c r="E111" s="54" t="str">
        <f>IF(G111="","",IF(LEN(LEFT(C108,SEARCH("0",C108,1)-1))&lt;2,RIGHT(LEFT(C108,SEARCH("0",C108,1)-1),1)&amp;INT(RIGHT(C108,4)),RIGHT(LEFT(C108,SEARCH("0",C108,1)-1),1)&amp;INT(RIGHT(C108,4))))</f>
        <v/>
      </c>
      <c r="F111" s="8" t="str">
        <f>IF(G111=0,"",VLOOKUP(D111,[1]Worksheet!$A:$C,3,0))</f>
        <v/>
      </c>
      <c r="G111" s="10"/>
      <c r="H111" s="10"/>
      <c r="I111" s="22"/>
      <c r="J111" s="73" t="str">
        <f t="shared" si="27"/>
        <v/>
      </c>
      <c r="K111" s="70"/>
      <c r="L111" s="43">
        <f t="shared" si="28"/>
        <v>0</v>
      </c>
      <c r="M111" s="28">
        <f t="shared" si="35"/>
        <v>0</v>
      </c>
      <c r="N111" s="97"/>
      <c r="O111" s="32">
        <f t="shared" si="36"/>
        <v>0</v>
      </c>
      <c r="P111" s="100"/>
      <c r="Q111" s="104"/>
      <c r="R111" s="84" t="str">
        <f t="shared" si="26"/>
        <v/>
      </c>
      <c r="S111" t="str">
        <f t="shared" si="37"/>
        <v/>
      </c>
    </row>
    <row r="112" spans="1:19" ht="32.4" customHeight="1" thickBot="1">
      <c r="A112" s="91"/>
      <c r="B112" s="95"/>
      <c r="C112" s="87"/>
      <c r="D112" s="55" t="str">
        <f>IF(G112=0,"",C108&amp;"-"&amp;G112)</f>
        <v/>
      </c>
      <c r="E112" s="55" t="str">
        <f>IF(G112="","",IF(LEN(LEFT(C108,SEARCH("0",C108,1)-1))&lt;2,RIGHT(LEFT(C108,SEARCH("0",C108,1)-1),1)&amp;INT(RIGHT(C108,4)),RIGHT(LEFT(C108,SEARCH("0",C108,1)-1),1)&amp;INT(RIGHT(C108,4))))</f>
        <v/>
      </c>
      <c r="F112" s="11" t="str">
        <f>IF(G112=0,"",VLOOKUP(D112,[1]Worksheet!$A:$C,3,0))</f>
        <v/>
      </c>
      <c r="G112" s="12"/>
      <c r="H112" s="12"/>
      <c r="I112" s="23"/>
      <c r="J112" s="73" t="str">
        <f t="shared" si="27"/>
        <v/>
      </c>
      <c r="K112" s="71"/>
      <c r="L112" s="45">
        <f t="shared" si="28"/>
        <v>0</v>
      </c>
      <c r="M112" s="29">
        <f t="shared" si="35"/>
        <v>0</v>
      </c>
      <c r="N112" s="98"/>
      <c r="O112" s="36">
        <f t="shared" si="36"/>
        <v>0</v>
      </c>
      <c r="P112" s="101"/>
      <c r="Q112" s="105"/>
      <c r="R112" s="84" t="str">
        <f t="shared" si="26"/>
        <v/>
      </c>
      <c r="S112" t="str">
        <f t="shared" si="37"/>
        <v/>
      </c>
    </row>
    <row r="113" spans="1:19" ht="32.4" customHeight="1">
      <c r="A113" s="88">
        <f>A108+1</f>
        <v>23</v>
      </c>
      <c r="B113" s="92"/>
      <c r="C113" s="85"/>
      <c r="D113" s="53" t="str">
        <f>IF(G113=0,"",C113&amp;"-"&amp;G113)</f>
        <v/>
      </c>
      <c r="E113" s="53" t="str">
        <f>IF(G113="","",IF(LEN(LEFT(C113,SEARCH("0",C113,1)-1))&lt;2,RIGHT(LEFT(C113,SEARCH("0",C113,1)-1),1)&amp;INT(RIGHT(C113,4)),RIGHT(LEFT(C113,SEARCH("0",C113,1)-1),1)&amp;INT(RIGHT(C113,4))))</f>
        <v/>
      </c>
      <c r="F113" s="2" t="str">
        <f>IF(G113=0,"",VLOOKUP(D113,[1]Worksheet!$A:$C,3,0))</f>
        <v/>
      </c>
      <c r="G113" s="13"/>
      <c r="H113" s="14"/>
      <c r="I113" s="24"/>
      <c r="J113" s="73" t="str">
        <f t="shared" si="27"/>
        <v/>
      </c>
      <c r="K113" s="68"/>
      <c r="L113" s="42">
        <f t="shared" si="28"/>
        <v>0</v>
      </c>
      <c r="M113" s="27">
        <f t="shared" si="35"/>
        <v>0</v>
      </c>
      <c r="N113" s="96">
        <f>SUM(M113:M117)</f>
        <v>0</v>
      </c>
      <c r="O113" s="35">
        <f t="shared" si="36"/>
        <v>0</v>
      </c>
      <c r="P113" s="99">
        <f>SUM(O113:O117)</f>
        <v>0</v>
      </c>
      <c r="Q113" s="103" t="str">
        <f t="shared" ref="Q113" si="40">IF(N113=P113,"",IF(N113&gt;P113,"Loss",IF(N113&lt;P113,"Over")))</f>
        <v/>
      </c>
      <c r="R113" s="84" t="str">
        <f t="shared" si="26"/>
        <v/>
      </c>
      <c r="S113" t="str">
        <f t="shared" si="37"/>
        <v/>
      </c>
    </row>
    <row r="114" spans="1:19" ht="32.4" customHeight="1">
      <c r="A114" s="89"/>
      <c r="B114" s="93"/>
      <c r="C114" s="86"/>
      <c r="D114" s="54" t="str">
        <f>IF(G114=0,"",C113&amp;"-"&amp;G114)</f>
        <v/>
      </c>
      <c r="E114" s="54" t="str">
        <f>IF(G114="","",IF(LEN(LEFT(C113,SEARCH("0",C113,1)-1))&lt;2,RIGHT(LEFT(C113,SEARCH("0",C113,1)-1),1)&amp;INT(RIGHT(C113,4)),RIGHT(LEFT(C113,SEARCH("0",C113,1)-1),1)&amp;INT(RIGHT(C113,4))))</f>
        <v/>
      </c>
      <c r="F114" s="5" t="str">
        <f>IF(G114=0,"",VLOOKUP(D114,[1]Worksheet!$A:$C,3,0))</f>
        <v/>
      </c>
      <c r="G114" s="6"/>
      <c r="H114" s="7"/>
      <c r="I114" s="21"/>
      <c r="J114" s="73" t="str">
        <f t="shared" si="27"/>
        <v/>
      </c>
      <c r="K114" s="69"/>
      <c r="L114" s="43">
        <f t="shared" si="28"/>
        <v>0</v>
      </c>
      <c r="M114" s="28">
        <f t="shared" si="35"/>
        <v>0</v>
      </c>
      <c r="N114" s="97"/>
      <c r="O114" s="32">
        <f t="shared" si="36"/>
        <v>0</v>
      </c>
      <c r="P114" s="100"/>
      <c r="Q114" s="104"/>
      <c r="R114" s="84" t="str">
        <f t="shared" si="26"/>
        <v/>
      </c>
      <c r="S114" t="str">
        <f t="shared" si="37"/>
        <v/>
      </c>
    </row>
    <row r="115" spans="1:19" ht="32.4" customHeight="1">
      <c r="A115" s="90"/>
      <c r="B115" s="94"/>
      <c r="C115" s="86"/>
      <c r="D115" s="54" t="str">
        <f>IF(G115=0,"",C113&amp;"-"&amp;G115)</f>
        <v/>
      </c>
      <c r="E115" s="54" t="str">
        <f>IF(G115="","",IF(LEN(LEFT(C113,SEARCH("0",C113,1)-1))&lt;2,RIGHT(LEFT(C113,SEARCH("0",C113,1)-1),1)&amp;INT(RIGHT(C113,4)),RIGHT(LEFT(C113,SEARCH("0",C113,1)-1),1)&amp;INT(RIGHT(C113,4))))</f>
        <v/>
      </c>
      <c r="F115" s="8" t="str">
        <f>IF(G115=0,"",VLOOKUP(D115,[1]Worksheet!$A:$C,3,0))</f>
        <v/>
      </c>
      <c r="G115" s="9"/>
      <c r="H115" s="10"/>
      <c r="I115" s="22"/>
      <c r="J115" s="73" t="str">
        <f t="shared" si="27"/>
        <v/>
      </c>
      <c r="K115" s="69"/>
      <c r="L115" s="44">
        <f t="shared" si="28"/>
        <v>0</v>
      </c>
      <c r="M115" s="28">
        <f t="shared" si="35"/>
        <v>0</v>
      </c>
      <c r="N115" s="97"/>
      <c r="O115" s="32">
        <f t="shared" si="36"/>
        <v>0</v>
      </c>
      <c r="P115" s="100"/>
      <c r="Q115" s="104"/>
      <c r="R115" s="84" t="str">
        <f t="shared" si="26"/>
        <v/>
      </c>
      <c r="S115" t="str">
        <f t="shared" si="37"/>
        <v/>
      </c>
    </row>
    <row r="116" spans="1:19" ht="32.4" customHeight="1">
      <c r="A116" s="90"/>
      <c r="B116" s="94"/>
      <c r="C116" s="86"/>
      <c r="D116" s="54" t="str">
        <f>IF(G116=0,"",C113&amp;"-"&amp;G116)</f>
        <v/>
      </c>
      <c r="E116" s="54" t="str">
        <f>IF(G116="","",IF(LEN(LEFT(C113,SEARCH("0",C113,1)-1))&lt;2,RIGHT(LEFT(C113,SEARCH("0",C113,1)-1),1)&amp;INT(RIGHT(C113,4)),RIGHT(LEFT(C113,SEARCH("0",C113,1)-1),1)&amp;INT(RIGHT(C113,4))))</f>
        <v/>
      </c>
      <c r="F116" s="8" t="str">
        <f>IF(G116=0,"",VLOOKUP(D116,[1]Worksheet!$A:$C,3,0))</f>
        <v/>
      </c>
      <c r="G116" s="10"/>
      <c r="H116" s="10"/>
      <c r="I116" s="22"/>
      <c r="J116" s="73" t="str">
        <f t="shared" si="27"/>
        <v/>
      </c>
      <c r="K116" s="70"/>
      <c r="L116" s="43">
        <f t="shared" si="28"/>
        <v>0</v>
      </c>
      <c r="M116" s="28">
        <f t="shared" si="35"/>
        <v>0</v>
      </c>
      <c r="N116" s="97"/>
      <c r="O116" s="32">
        <f t="shared" si="36"/>
        <v>0</v>
      </c>
      <c r="P116" s="100"/>
      <c r="Q116" s="104"/>
      <c r="R116" s="84" t="str">
        <f t="shared" si="26"/>
        <v/>
      </c>
      <c r="S116" t="str">
        <f t="shared" si="37"/>
        <v/>
      </c>
    </row>
    <row r="117" spans="1:19" ht="32.4" customHeight="1" thickBot="1">
      <c r="A117" s="91"/>
      <c r="B117" s="95"/>
      <c r="C117" s="87"/>
      <c r="D117" s="55" t="str">
        <f>IF(G117=0,"",C113&amp;"-"&amp;G117)</f>
        <v/>
      </c>
      <c r="E117" s="55" t="str">
        <f>IF(G117="","",IF(LEN(LEFT(C113,SEARCH("0",C113,1)-1))&lt;2,RIGHT(LEFT(C113,SEARCH("0",C113,1)-1),1)&amp;INT(RIGHT(C113,4)),RIGHT(LEFT(C113,SEARCH("0",C113,1)-1),1)&amp;INT(RIGHT(C113,4))))</f>
        <v/>
      </c>
      <c r="F117" s="11" t="str">
        <f>IF(G117=0,"",VLOOKUP(D117,[1]Worksheet!$A:$C,3,0))</f>
        <v/>
      </c>
      <c r="G117" s="12"/>
      <c r="H117" s="12"/>
      <c r="I117" s="23"/>
      <c r="J117" s="73" t="str">
        <f t="shared" si="27"/>
        <v/>
      </c>
      <c r="K117" s="71"/>
      <c r="L117" s="45">
        <f t="shared" si="28"/>
        <v>0</v>
      </c>
      <c r="M117" s="29">
        <f t="shared" si="35"/>
        <v>0</v>
      </c>
      <c r="N117" s="98"/>
      <c r="O117" s="36">
        <f t="shared" si="36"/>
        <v>0</v>
      </c>
      <c r="P117" s="101"/>
      <c r="Q117" s="105"/>
      <c r="R117" s="84" t="str">
        <f t="shared" si="26"/>
        <v/>
      </c>
      <c r="S117" t="str">
        <f t="shared" si="37"/>
        <v/>
      </c>
    </row>
    <row r="118" spans="1:19" ht="32.4" customHeight="1">
      <c r="A118" s="88">
        <f>A113+1</f>
        <v>24</v>
      </c>
      <c r="B118" s="92"/>
      <c r="C118" s="85"/>
      <c r="D118" s="53" t="str">
        <f>IF(G118=0,"",C118&amp;"-"&amp;G118)</f>
        <v/>
      </c>
      <c r="E118" s="53" t="str">
        <f>IF(G118="","",IF(LEN(LEFT(C118,SEARCH("0",C118,1)-1))&lt;2,RIGHT(LEFT(C118,SEARCH("0",C118,1)-1),1)&amp;INT(RIGHT(C118,4)),RIGHT(LEFT(C118,SEARCH("0",C118,1)-1),1)&amp;INT(RIGHT(C118,4))))</f>
        <v/>
      </c>
      <c r="F118" s="2" t="str">
        <f>IF(G118=0,"",VLOOKUP(D118,[1]Worksheet!$A:$C,3,0))</f>
        <v/>
      </c>
      <c r="G118" s="13"/>
      <c r="H118" s="14"/>
      <c r="I118" s="24"/>
      <c r="J118" s="73" t="str">
        <f t="shared" si="27"/>
        <v/>
      </c>
      <c r="K118" s="68"/>
      <c r="L118" s="42">
        <f t="shared" si="28"/>
        <v>0</v>
      </c>
      <c r="M118" s="27">
        <f t="shared" si="35"/>
        <v>0</v>
      </c>
      <c r="N118" s="96">
        <f>SUM(M118:M122)</f>
        <v>0</v>
      </c>
      <c r="O118" s="35">
        <f t="shared" si="36"/>
        <v>0</v>
      </c>
      <c r="P118" s="99">
        <f>SUM(O118:O122)</f>
        <v>0</v>
      </c>
      <c r="Q118" s="103" t="str">
        <f t="shared" ref="Q118" si="41">IF(N118=P118,"",IF(N118&gt;P118,"Loss",IF(N118&lt;P118,"Over")))</f>
        <v/>
      </c>
      <c r="R118" s="84" t="str">
        <f t="shared" si="26"/>
        <v/>
      </c>
      <c r="S118" t="str">
        <f t="shared" si="37"/>
        <v/>
      </c>
    </row>
    <row r="119" spans="1:19" ht="32.4" customHeight="1">
      <c r="A119" s="89"/>
      <c r="B119" s="93"/>
      <c r="C119" s="86"/>
      <c r="D119" s="54" t="str">
        <f>IF(G119=0,"",C118&amp;"-"&amp;G119)</f>
        <v/>
      </c>
      <c r="E119" s="54" t="str">
        <f>IF(G119="","",IF(LEN(LEFT(C118,SEARCH("0",C118,1)-1))&lt;2,RIGHT(LEFT(C118,SEARCH("0",C118,1)-1),1)&amp;INT(RIGHT(C118,4)),RIGHT(LEFT(C118,SEARCH("0",C118,1)-1),1)&amp;INT(RIGHT(C118,4))))</f>
        <v/>
      </c>
      <c r="F119" s="5" t="str">
        <f>IF(G119=0,"",VLOOKUP(D119,[1]Worksheet!$A:$C,3,0))</f>
        <v/>
      </c>
      <c r="G119" s="6"/>
      <c r="H119" s="7"/>
      <c r="I119" s="21"/>
      <c r="J119" s="73" t="str">
        <f t="shared" si="27"/>
        <v/>
      </c>
      <c r="K119" s="69"/>
      <c r="L119" s="43">
        <f t="shared" si="28"/>
        <v>0</v>
      </c>
      <c r="M119" s="28">
        <f t="shared" si="35"/>
        <v>0</v>
      </c>
      <c r="N119" s="97"/>
      <c r="O119" s="32">
        <f t="shared" si="36"/>
        <v>0</v>
      </c>
      <c r="P119" s="100"/>
      <c r="Q119" s="104"/>
      <c r="R119" s="84" t="str">
        <f t="shared" si="26"/>
        <v/>
      </c>
      <c r="S119" t="str">
        <f t="shared" si="37"/>
        <v/>
      </c>
    </row>
    <row r="120" spans="1:19" ht="32.4" customHeight="1">
      <c r="A120" s="90"/>
      <c r="B120" s="94"/>
      <c r="C120" s="86"/>
      <c r="D120" s="54" t="str">
        <f>IF(G120=0,"",C118&amp;"-"&amp;G120)</f>
        <v/>
      </c>
      <c r="E120" s="54" t="str">
        <f>IF(G120="","",IF(LEN(LEFT(C118,SEARCH("0",C118,1)-1))&lt;2,RIGHT(LEFT(C118,SEARCH("0",C118,1)-1),1)&amp;INT(RIGHT(C118,4)),RIGHT(LEFT(C118,SEARCH("0",C118,1)-1),1)&amp;INT(RIGHT(C118,4))))</f>
        <v/>
      </c>
      <c r="F120" s="8" t="str">
        <f>IF(G120=0,"",VLOOKUP(D120,[1]Worksheet!$A:$C,3,0))</f>
        <v/>
      </c>
      <c r="G120" s="9"/>
      <c r="H120" s="10"/>
      <c r="I120" s="22"/>
      <c r="J120" s="73" t="str">
        <f t="shared" si="27"/>
        <v/>
      </c>
      <c r="K120" s="69"/>
      <c r="L120" s="44">
        <f t="shared" si="28"/>
        <v>0</v>
      </c>
      <c r="M120" s="28">
        <f t="shared" si="35"/>
        <v>0</v>
      </c>
      <c r="N120" s="97"/>
      <c r="O120" s="32">
        <f t="shared" si="36"/>
        <v>0</v>
      </c>
      <c r="P120" s="100"/>
      <c r="Q120" s="104"/>
      <c r="R120" s="84" t="str">
        <f t="shared" si="26"/>
        <v/>
      </c>
      <c r="S120" t="str">
        <f t="shared" si="37"/>
        <v/>
      </c>
    </row>
    <row r="121" spans="1:19" ht="32.4" customHeight="1">
      <c r="A121" s="90"/>
      <c r="B121" s="94"/>
      <c r="C121" s="86"/>
      <c r="D121" s="54" t="str">
        <f>IF(G121=0,"",C118&amp;"-"&amp;G121)</f>
        <v/>
      </c>
      <c r="E121" s="54" t="str">
        <f>IF(G121="","",IF(LEN(LEFT(C118,SEARCH("0",C118,1)-1))&lt;2,RIGHT(LEFT(C118,SEARCH("0",C118,1)-1),1)&amp;INT(RIGHT(C118,4)),RIGHT(LEFT(C118,SEARCH("0",C118,1)-1),1)&amp;INT(RIGHT(C118,4))))</f>
        <v/>
      </c>
      <c r="F121" s="8" t="str">
        <f>IF(G121=0,"",VLOOKUP(D121,[1]Worksheet!$A:$C,3,0))</f>
        <v/>
      </c>
      <c r="G121" s="10"/>
      <c r="H121" s="10"/>
      <c r="I121" s="22"/>
      <c r="J121" s="73" t="str">
        <f t="shared" si="27"/>
        <v/>
      </c>
      <c r="K121" s="70"/>
      <c r="L121" s="43">
        <f t="shared" si="28"/>
        <v>0</v>
      </c>
      <c r="M121" s="28">
        <f t="shared" si="35"/>
        <v>0</v>
      </c>
      <c r="N121" s="97"/>
      <c r="O121" s="32">
        <f t="shared" si="36"/>
        <v>0</v>
      </c>
      <c r="P121" s="100"/>
      <c r="Q121" s="104"/>
      <c r="R121" s="84" t="str">
        <f t="shared" si="26"/>
        <v/>
      </c>
      <c r="S121" t="str">
        <f t="shared" si="37"/>
        <v/>
      </c>
    </row>
    <row r="122" spans="1:19" ht="32.4" customHeight="1" thickBot="1">
      <c r="A122" s="91"/>
      <c r="B122" s="95"/>
      <c r="C122" s="87"/>
      <c r="D122" s="55" t="str">
        <f>IF(G122=0,"",C118&amp;"-"&amp;G122)</f>
        <v/>
      </c>
      <c r="E122" s="55" t="str">
        <f>IF(G122="","",IF(LEN(LEFT(C118,SEARCH("0",C118,1)-1))&lt;2,RIGHT(LEFT(C118,SEARCH("0",C118,1)-1),1)&amp;INT(RIGHT(C118,4)),RIGHT(LEFT(C118,SEARCH("0",C118,1)-1),1)&amp;INT(RIGHT(C118,4))))</f>
        <v/>
      </c>
      <c r="F122" s="11" t="str">
        <f>IF(G122=0,"",VLOOKUP(D122,[1]Worksheet!$A:$C,3,0))</f>
        <v/>
      </c>
      <c r="G122" s="12"/>
      <c r="H122" s="12"/>
      <c r="I122" s="23"/>
      <c r="J122" s="73" t="str">
        <f t="shared" si="27"/>
        <v/>
      </c>
      <c r="K122" s="71"/>
      <c r="L122" s="45">
        <f t="shared" si="28"/>
        <v>0</v>
      </c>
      <c r="M122" s="29">
        <f t="shared" si="35"/>
        <v>0</v>
      </c>
      <c r="N122" s="98"/>
      <c r="O122" s="36">
        <f t="shared" si="36"/>
        <v>0</v>
      </c>
      <c r="P122" s="101"/>
      <c r="Q122" s="105"/>
      <c r="R122" s="84" t="str">
        <f t="shared" si="26"/>
        <v/>
      </c>
      <c r="S122" t="str">
        <f t="shared" si="37"/>
        <v/>
      </c>
    </row>
    <row r="123" spans="1:19" ht="32.4" customHeight="1">
      <c r="A123" s="88">
        <f>A118+1</f>
        <v>25</v>
      </c>
      <c r="B123" s="102"/>
      <c r="C123" s="85"/>
      <c r="D123" s="53" t="str">
        <f>IF(G123=0,"",C123&amp;"-"&amp;G123)</f>
        <v/>
      </c>
      <c r="E123" s="53" t="str">
        <f>IF(G123="","",IF(LEN(LEFT(C123,SEARCH("0",C123,1)-1))&lt;2,RIGHT(LEFT(C123,SEARCH("0",C123,1)-1),1)&amp;INT(RIGHT(C123,4)),RIGHT(LEFT(C123,SEARCH("0",C123,1)-1),1)&amp;INT(RIGHT(C123,4))))</f>
        <v/>
      </c>
      <c r="F123" s="2" t="str">
        <f>IF(G123=0,"",VLOOKUP(D123,[1]Worksheet!$A:$C,3,0))</f>
        <v/>
      </c>
      <c r="G123" s="13"/>
      <c r="H123" s="14"/>
      <c r="I123" s="24"/>
      <c r="J123" s="73" t="str">
        <f t="shared" si="27"/>
        <v/>
      </c>
      <c r="K123" s="68"/>
      <c r="L123" s="42">
        <f t="shared" si="28"/>
        <v>0</v>
      </c>
      <c r="M123" s="27">
        <f t="shared" si="35"/>
        <v>0</v>
      </c>
      <c r="N123" s="96">
        <f>SUM(M123:M127)</f>
        <v>0</v>
      </c>
      <c r="O123" s="35">
        <f t="shared" si="36"/>
        <v>0</v>
      </c>
      <c r="P123" s="99">
        <f>SUM(O123:O127)</f>
        <v>0</v>
      </c>
      <c r="Q123" s="103" t="str">
        <f t="shared" ref="Q123" si="42">IF(N123=P123,"",IF(N123&gt;P123,"Loss",IF(N123&lt;P123,"Over")))</f>
        <v/>
      </c>
      <c r="R123" s="84" t="str">
        <f t="shared" si="26"/>
        <v/>
      </c>
      <c r="S123" t="str">
        <f t="shared" si="37"/>
        <v/>
      </c>
    </row>
    <row r="124" spans="1:19" ht="32.4" customHeight="1">
      <c r="A124" s="89"/>
      <c r="B124" s="93"/>
      <c r="C124" s="86"/>
      <c r="D124" s="54" t="str">
        <f>IF(G124=0,"",C123&amp;"-"&amp;G124)</f>
        <v/>
      </c>
      <c r="E124" s="54" t="str">
        <f>IF(G124="","",IF(LEN(LEFT(C123,SEARCH("0",C123,1)-1))&lt;2,RIGHT(LEFT(C123,SEARCH("0",C123,1)-1),1)&amp;INT(RIGHT(C123,4)),RIGHT(LEFT(C123,SEARCH("0",C123,1)-1),1)&amp;INT(RIGHT(C123,4))))</f>
        <v/>
      </c>
      <c r="F124" s="5" t="str">
        <f>IF(G124=0,"",VLOOKUP(D124,[1]Worksheet!$A:$C,3,0))</f>
        <v/>
      </c>
      <c r="G124" s="6"/>
      <c r="H124" s="7"/>
      <c r="I124" s="21"/>
      <c r="J124" s="73" t="str">
        <f t="shared" si="27"/>
        <v/>
      </c>
      <c r="K124" s="69"/>
      <c r="L124" s="43">
        <f t="shared" si="28"/>
        <v>0</v>
      </c>
      <c r="M124" s="28">
        <f t="shared" si="35"/>
        <v>0</v>
      </c>
      <c r="N124" s="97"/>
      <c r="O124" s="32">
        <f t="shared" si="36"/>
        <v>0</v>
      </c>
      <c r="P124" s="100"/>
      <c r="Q124" s="104"/>
      <c r="R124" s="84" t="str">
        <f t="shared" si="26"/>
        <v/>
      </c>
      <c r="S124" t="str">
        <f t="shared" si="37"/>
        <v/>
      </c>
    </row>
    <row r="125" spans="1:19" ht="32.4" customHeight="1">
      <c r="A125" s="90"/>
      <c r="B125" s="94"/>
      <c r="C125" s="86"/>
      <c r="D125" s="54" t="str">
        <f>IF(G125=0,"",C123&amp;"-"&amp;G125)</f>
        <v/>
      </c>
      <c r="E125" s="54" t="str">
        <f>IF(G125="","",IF(LEN(LEFT(C123,SEARCH("0",C123,1)-1))&lt;2,RIGHT(LEFT(C123,SEARCH("0",C123,1)-1),1)&amp;INT(RIGHT(C123,4)),RIGHT(LEFT(C123,SEARCH("0",C123,1)-1),1)&amp;INT(RIGHT(C123,4))))</f>
        <v/>
      </c>
      <c r="F125" s="8" t="str">
        <f>IF(G125=0,"",VLOOKUP(D125,[1]Worksheet!$A:$C,3,0))</f>
        <v/>
      </c>
      <c r="G125" s="9"/>
      <c r="H125" s="10"/>
      <c r="I125" s="22"/>
      <c r="J125" s="73" t="str">
        <f t="shared" si="27"/>
        <v/>
      </c>
      <c r="K125" s="69"/>
      <c r="L125" s="44">
        <f t="shared" si="28"/>
        <v>0</v>
      </c>
      <c r="M125" s="28">
        <f t="shared" si="35"/>
        <v>0</v>
      </c>
      <c r="N125" s="97"/>
      <c r="O125" s="32">
        <f t="shared" si="36"/>
        <v>0</v>
      </c>
      <c r="P125" s="100"/>
      <c r="Q125" s="104"/>
      <c r="R125" s="84" t="str">
        <f t="shared" si="26"/>
        <v/>
      </c>
      <c r="S125" t="str">
        <f t="shared" si="37"/>
        <v/>
      </c>
    </row>
    <row r="126" spans="1:19" ht="32.4" customHeight="1">
      <c r="A126" s="90"/>
      <c r="B126" s="94"/>
      <c r="C126" s="86"/>
      <c r="D126" s="54" t="str">
        <f>IF(G126=0,"",C123&amp;"-"&amp;G126)</f>
        <v/>
      </c>
      <c r="E126" s="54" t="str">
        <f>IF(G126="","",IF(LEN(LEFT(C123,SEARCH("0",C123,1)-1))&lt;2,RIGHT(LEFT(C123,SEARCH("0",C123,1)-1),1)&amp;INT(RIGHT(C123,4)),RIGHT(LEFT(C123,SEARCH("0",C123,1)-1),1)&amp;INT(RIGHT(C123,4))))</f>
        <v/>
      </c>
      <c r="F126" s="8" t="str">
        <f>IF(G126=0,"",VLOOKUP(D126,[1]Worksheet!$A:$C,3,0))</f>
        <v/>
      </c>
      <c r="G126" s="10"/>
      <c r="H126" s="10"/>
      <c r="I126" s="22"/>
      <c r="J126" s="73" t="str">
        <f t="shared" si="27"/>
        <v/>
      </c>
      <c r="K126" s="70"/>
      <c r="L126" s="43">
        <f t="shared" si="28"/>
        <v>0</v>
      </c>
      <c r="M126" s="28">
        <f t="shared" si="35"/>
        <v>0</v>
      </c>
      <c r="N126" s="97"/>
      <c r="O126" s="32">
        <f t="shared" si="36"/>
        <v>0</v>
      </c>
      <c r="P126" s="100"/>
      <c r="Q126" s="104"/>
      <c r="R126" s="84" t="str">
        <f t="shared" si="26"/>
        <v/>
      </c>
      <c r="S126" t="str">
        <f t="shared" si="37"/>
        <v/>
      </c>
    </row>
    <row r="127" spans="1:19" ht="32.4" customHeight="1" thickBot="1">
      <c r="A127" s="91"/>
      <c r="B127" s="95"/>
      <c r="C127" s="87"/>
      <c r="D127" s="55" t="str">
        <f>IF(G127=0,"",C123&amp;"-"&amp;G127)</f>
        <v/>
      </c>
      <c r="E127" s="55" t="str">
        <f>IF(G127="","",IF(LEN(LEFT(C123,SEARCH("0",C123,1)-1))&lt;2,RIGHT(LEFT(C123,SEARCH("0",C123,1)-1),1)&amp;INT(RIGHT(C123,4)),RIGHT(LEFT(C123,SEARCH("0",C123,1)-1),1)&amp;INT(RIGHT(C123,4))))</f>
        <v/>
      </c>
      <c r="F127" s="11" t="str">
        <f>IF(G127=0,"",VLOOKUP(D127,[1]Worksheet!$A:$C,3,0))</f>
        <v/>
      </c>
      <c r="G127" s="12"/>
      <c r="H127" s="12"/>
      <c r="I127" s="23"/>
      <c r="J127" s="73" t="str">
        <f t="shared" si="27"/>
        <v/>
      </c>
      <c r="K127" s="71"/>
      <c r="L127" s="45">
        <f t="shared" si="28"/>
        <v>0</v>
      </c>
      <c r="M127" s="29">
        <f t="shared" si="35"/>
        <v>0</v>
      </c>
      <c r="N127" s="98"/>
      <c r="O127" s="36">
        <f t="shared" si="36"/>
        <v>0</v>
      </c>
      <c r="P127" s="101"/>
      <c r="Q127" s="105"/>
      <c r="R127" s="84" t="str">
        <f t="shared" si="26"/>
        <v/>
      </c>
      <c r="S127" t="str">
        <f t="shared" si="37"/>
        <v/>
      </c>
    </row>
    <row r="128" spans="1:19" ht="32.4" customHeight="1">
      <c r="A128" s="88">
        <f>A123+1</f>
        <v>26</v>
      </c>
      <c r="B128" s="92"/>
      <c r="C128" s="85"/>
      <c r="D128" s="53" t="str">
        <f>IF(G128=0,"",C128&amp;"-"&amp;G128)</f>
        <v/>
      </c>
      <c r="E128" s="53" t="str">
        <f>IF(G128="","",IF(LEN(LEFT(C128,SEARCH("0",C128,1)-1))&lt;2,RIGHT(LEFT(C128,SEARCH("0",C128,1)-1),1)&amp;INT(RIGHT(C128,4)),RIGHT(LEFT(C128,SEARCH("0",C128,1)-1),1)&amp;INT(RIGHT(C128,4))))</f>
        <v/>
      </c>
      <c r="F128" s="2" t="str">
        <f>IF(G128=0,"",VLOOKUP(D128,[1]Worksheet!$A:$C,3,0))</f>
        <v/>
      </c>
      <c r="G128" s="13"/>
      <c r="H128" s="14"/>
      <c r="I128" s="24"/>
      <c r="J128" s="73" t="str">
        <f t="shared" si="27"/>
        <v/>
      </c>
      <c r="K128" s="68"/>
      <c r="L128" s="42">
        <f t="shared" si="28"/>
        <v>0</v>
      </c>
      <c r="M128" s="27">
        <f t="shared" si="35"/>
        <v>0</v>
      </c>
      <c r="N128" s="96">
        <f>SUM(M128:M132)</f>
        <v>0</v>
      </c>
      <c r="O128" s="35">
        <f t="shared" si="36"/>
        <v>0</v>
      </c>
      <c r="P128" s="99">
        <f>SUM(O128:O132)</f>
        <v>0</v>
      </c>
      <c r="Q128" s="103" t="str">
        <f t="shared" ref="Q128" si="43">IF(N128=P128,"",IF(N128&gt;P128,"Loss",IF(N128&lt;P128,"Over")))</f>
        <v/>
      </c>
      <c r="R128" s="84" t="str">
        <f t="shared" si="26"/>
        <v/>
      </c>
      <c r="S128" t="str">
        <f t="shared" si="37"/>
        <v/>
      </c>
    </row>
    <row r="129" spans="1:24" ht="32.4" customHeight="1">
      <c r="A129" s="89"/>
      <c r="B129" s="93"/>
      <c r="C129" s="86"/>
      <c r="D129" s="54" t="str">
        <f>IF(G129=0,"",C128&amp;"-"&amp;G129)</f>
        <v/>
      </c>
      <c r="E129" s="54" t="str">
        <f>IF(G129="","",IF(LEN(LEFT(C128,SEARCH("0",C128,1)-1))&lt;2,RIGHT(LEFT(C128,SEARCH("0",C128,1)-1),1)&amp;INT(RIGHT(C128,4)),RIGHT(LEFT(C128,SEARCH("0",C128,1)-1),1)&amp;INT(RIGHT(C128,4))))</f>
        <v/>
      </c>
      <c r="F129" s="5" t="str">
        <f>IF(G129=0,"",VLOOKUP(D129,[1]Worksheet!$A:$C,3,0))</f>
        <v/>
      </c>
      <c r="G129" s="6"/>
      <c r="H129" s="7"/>
      <c r="I129" s="21"/>
      <c r="J129" s="73" t="str">
        <f t="shared" si="27"/>
        <v/>
      </c>
      <c r="K129" s="69"/>
      <c r="L129" s="43">
        <f t="shared" si="28"/>
        <v>0</v>
      </c>
      <c r="M129" s="28">
        <f t="shared" si="35"/>
        <v>0</v>
      </c>
      <c r="N129" s="97"/>
      <c r="O129" s="32">
        <f t="shared" si="36"/>
        <v>0</v>
      </c>
      <c r="P129" s="100"/>
      <c r="Q129" s="104"/>
      <c r="R129" s="84" t="str">
        <f t="shared" si="26"/>
        <v/>
      </c>
      <c r="S129" t="str">
        <f t="shared" si="37"/>
        <v/>
      </c>
    </row>
    <row r="130" spans="1:24" ht="32.4" customHeight="1">
      <c r="A130" s="90"/>
      <c r="B130" s="94"/>
      <c r="C130" s="86"/>
      <c r="D130" s="54" t="str">
        <f>IF(G130=0,"",C128&amp;"-"&amp;G130)</f>
        <v/>
      </c>
      <c r="E130" s="54" t="str">
        <f>IF(G130="","",IF(LEN(LEFT(C128,SEARCH("0",C128,1)-1))&lt;2,RIGHT(LEFT(C128,SEARCH("0",C128,1)-1),1)&amp;INT(RIGHT(C128,4)),RIGHT(LEFT(C128,SEARCH("0",C128,1)-1),1)&amp;INT(RIGHT(C128,4))))</f>
        <v/>
      </c>
      <c r="F130" s="8" t="str">
        <f>IF(G130=0,"",VLOOKUP(D130,[1]Worksheet!$A:$C,3,0))</f>
        <v/>
      </c>
      <c r="G130" s="9"/>
      <c r="H130" s="10"/>
      <c r="I130" s="22"/>
      <c r="J130" s="73" t="str">
        <f t="shared" si="27"/>
        <v/>
      </c>
      <c r="K130" s="69"/>
      <c r="L130" s="44">
        <f t="shared" si="28"/>
        <v>0</v>
      </c>
      <c r="M130" s="28">
        <f t="shared" si="35"/>
        <v>0</v>
      </c>
      <c r="N130" s="97"/>
      <c r="O130" s="32">
        <f t="shared" si="36"/>
        <v>0</v>
      </c>
      <c r="P130" s="100"/>
      <c r="Q130" s="104"/>
      <c r="R130" s="84" t="str">
        <f t="shared" si="26"/>
        <v/>
      </c>
      <c r="S130" t="str">
        <f t="shared" si="37"/>
        <v/>
      </c>
      <c r="V130" s="64"/>
      <c r="W130" s="64"/>
      <c r="X130" s="64"/>
    </row>
    <row r="131" spans="1:24" ht="32.4" customHeight="1">
      <c r="A131" s="90"/>
      <c r="B131" s="94"/>
      <c r="C131" s="86"/>
      <c r="D131" s="54" t="str">
        <f>IF(G131=0,"",C128&amp;"-"&amp;G131)</f>
        <v/>
      </c>
      <c r="E131" s="54" t="str">
        <f>IF(G131="","",IF(LEN(LEFT(C128,SEARCH("0",C128,1)-1))&lt;2,RIGHT(LEFT(C128,SEARCH("0",C128,1)-1),1)&amp;INT(RIGHT(C128,4)),RIGHT(LEFT(C128,SEARCH("0",C128,1)-1),1)&amp;INT(RIGHT(C128,4))))</f>
        <v/>
      </c>
      <c r="F131" s="8" t="str">
        <f>IF(G131=0,"",VLOOKUP(D131,[1]Worksheet!$A:$C,3,0))</f>
        <v/>
      </c>
      <c r="G131" s="10"/>
      <c r="H131" s="10"/>
      <c r="I131" s="22"/>
      <c r="J131" s="73" t="str">
        <f t="shared" si="27"/>
        <v/>
      </c>
      <c r="K131" s="70"/>
      <c r="L131" s="43">
        <f t="shared" si="28"/>
        <v>0</v>
      </c>
      <c r="M131" s="28">
        <f t="shared" ref="M131:M162" si="44">H131*L131</f>
        <v>0</v>
      </c>
      <c r="N131" s="97"/>
      <c r="O131" s="32">
        <f t="shared" ref="O131:O162" si="45">I131*L131</f>
        <v>0</v>
      </c>
      <c r="P131" s="100"/>
      <c r="Q131" s="104"/>
      <c r="R131" s="84" t="str">
        <f t="shared" si="26"/>
        <v/>
      </c>
      <c r="S131" t="str">
        <f t="shared" ref="S131:S162" si="46">IF(H131&lt;&gt;I131,"F","")</f>
        <v/>
      </c>
    </row>
    <row r="132" spans="1:24" ht="32.4" customHeight="1" thickBot="1">
      <c r="A132" s="91"/>
      <c r="B132" s="95"/>
      <c r="C132" s="87"/>
      <c r="D132" s="55" t="str">
        <f>IF(G132=0,"",C128&amp;"-"&amp;G132)</f>
        <v/>
      </c>
      <c r="E132" s="55" t="str">
        <f>IF(G132="","",IF(LEN(LEFT(C128,SEARCH("0",C128,1)-1))&lt;2,RIGHT(LEFT(C128,SEARCH("0",C128,1)-1),1)&amp;INT(RIGHT(C128,4)),RIGHT(LEFT(C128,SEARCH("0",C128,1)-1),1)&amp;INT(RIGHT(C128,4))))</f>
        <v/>
      </c>
      <c r="F132" s="11" t="str">
        <f>IF(G132=0,"",VLOOKUP(D132,[1]Worksheet!$A:$C,3,0))</f>
        <v/>
      </c>
      <c r="G132" s="12"/>
      <c r="H132" s="12"/>
      <c r="I132" s="23"/>
      <c r="J132" s="73" t="str">
        <f t="shared" si="27"/>
        <v/>
      </c>
      <c r="K132" s="71"/>
      <c r="L132" s="45">
        <f t="shared" si="28"/>
        <v>0</v>
      </c>
      <c r="M132" s="29">
        <f t="shared" si="44"/>
        <v>0</v>
      </c>
      <c r="N132" s="98"/>
      <c r="O132" s="36">
        <f t="shared" si="45"/>
        <v>0</v>
      </c>
      <c r="P132" s="101"/>
      <c r="Q132" s="105"/>
      <c r="R132" s="84" t="str">
        <f t="shared" ref="R132:R187" si="47">LEFT(E132,1)</f>
        <v/>
      </c>
      <c r="S132" t="str">
        <f t="shared" si="46"/>
        <v/>
      </c>
    </row>
    <row r="133" spans="1:24" ht="32.4" customHeight="1" thickBot="1">
      <c r="A133" s="88">
        <f>A128+1</f>
        <v>27</v>
      </c>
      <c r="B133" s="92"/>
      <c r="C133" s="85"/>
      <c r="D133" s="53" t="str">
        <f>IF(G133=0,"",C133&amp;"-"&amp;G133)</f>
        <v/>
      </c>
      <c r="E133" s="53" t="str">
        <f>IF(G133="","",IF(LEN(LEFT(C133,SEARCH("0",C133,1)-1))&lt;2,RIGHT(LEFT(C133,SEARCH("0",C133,1)-1),1)&amp;INT(RIGHT(C133,4)),RIGHT(LEFT(C133,SEARCH("0",C133,1)-1),1)&amp;INT(RIGHT(C133,4))))</f>
        <v/>
      </c>
      <c r="F133" s="2" t="str">
        <f>IF(G133=0,"",VLOOKUP(D133,[1]Worksheet!$A:$C,3,0))</f>
        <v/>
      </c>
      <c r="G133" s="13"/>
      <c r="H133" s="14"/>
      <c r="I133" s="24"/>
      <c r="J133" s="73" t="str">
        <f t="shared" ref="J133:J187" si="48">IF(D133&lt;&gt;"",$J$3,"")</f>
        <v/>
      </c>
      <c r="K133" s="68"/>
      <c r="L133" s="42">
        <f t="shared" si="28"/>
        <v>0</v>
      </c>
      <c r="M133" s="27">
        <f t="shared" si="44"/>
        <v>0</v>
      </c>
      <c r="N133" s="96">
        <f>SUM(M133:M137)</f>
        <v>0</v>
      </c>
      <c r="O133" s="35">
        <f t="shared" si="45"/>
        <v>0</v>
      </c>
      <c r="P133" s="99">
        <f>SUM(O133:O137)</f>
        <v>0</v>
      </c>
      <c r="Q133" s="103" t="str">
        <f t="shared" ref="Q133" si="49">IF(N133=P133,"",IF(N133&gt;P133,"Loss",IF(N133&lt;P133,"Over")))</f>
        <v/>
      </c>
      <c r="R133" s="84" t="str">
        <f t="shared" si="47"/>
        <v/>
      </c>
      <c r="S133" t="str">
        <f t="shared" si="46"/>
        <v/>
      </c>
    </row>
    <row r="134" spans="1:24" ht="32.4" customHeight="1">
      <c r="A134" s="89"/>
      <c r="B134" s="93"/>
      <c r="C134" s="86"/>
      <c r="D134" s="54" t="str">
        <f>IF(G134=0,"",C133&amp;"-"&amp;G134)</f>
        <v/>
      </c>
      <c r="E134" s="54" t="str">
        <f>IF(G134="","",IF(LEN(LEFT(C133,SEARCH("0",C133,1)-1))&lt;2,RIGHT(LEFT(C133,SEARCH("0",C133,1)-1),1)&amp;INT(RIGHT(C133,4)),RIGHT(LEFT(C133,SEARCH("0",C133,1)-1),1)&amp;INT(RIGHT(C133,4))))</f>
        <v/>
      </c>
      <c r="F134" s="5" t="str">
        <f>IF(G134=0,"",VLOOKUP(D134,[1]Worksheet!$A:$C,3,0))</f>
        <v/>
      </c>
      <c r="G134" s="6"/>
      <c r="H134" s="7"/>
      <c r="I134" s="21"/>
      <c r="J134" s="73" t="str">
        <f t="shared" si="48"/>
        <v/>
      </c>
      <c r="K134" s="68"/>
      <c r="L134" s="43">
        <f t="shared" ref="L134:L187" si="50">K134*$U$3</f>
        <v>0</v>
      </c>
      <c r="M134" s="28">
        <f t="shared" si="44"/>
        <v>0</v>
      </c>
      <c r="N134" s="97"/>
      <c r="O134" s="32">
        <f t="shared" si="45"/>
        <v>0</v>
      </c>
      <c r="P134" s="100"/>
      <c r="Q134" s="104"/>
      <c r="R134" s="84" t="str">
        <f t="shared" si="47"/>
        <v/>
      </c>
      <c r="S134" t="str">
        <f t="shared" si="46"/>
        <v/>
      </c>
    </row>
    <row r="135" spans="1:24" ht="32.4" customHeight="1">
      <c r="A135" s="90"/>
      <c r="B135" s="94"/>
      <c r="C135" s="86"/>
      <c r="D135" s="54" t="str">
        <f>IF(G135=0,"",C133&amp;"-"&amp;G135)</f>
        <v/>
      </c>
      <c r="E135" s="54" t="str">
        <f>IF(G135="","",IF(LEN(LEFT(C133,SEARCH("0",C133,1)-1))&lt;2,RIGHT(LEFT(C133,SEARCH("0",C133,1)-1),1)&amp;INT(RIGHT(C133,4)),RIGHT(LEFT(C133,SEARCH("0",C133,1)-1),1)&amp;INT(RIGHT(C133,4))))</f>
        <v/>
      </c>
      <c r="F135" s="8" t="str">
        <f>IF(G135=0,"",VLOOKUP(D135,[1]Worksheet!$A:$C,3,0))</f>
        <v/>
      </c>
      <c r="G135" s="9"/>
      <c r="H135" s="10"/>
      <c r="I135" s="22"/>
      <c r="J135" s="73" t="str">
        <f t="shared" si="48"/>
        <v/>
      </c>
      <c r="K135" s="69"/>
      <c r="L135" s="44">
        <f t="shared" si="50"/>
        <v>0</v>
      </c>
      <c r="M135" s="28">
        <f t="shared" si="44"/>
        <v>0</v>
      </c>
      <c r="N135" s="97"/>
      <c r="O135" s="32">
        <f t="shared" si="45"/>
        <v>0</v>
      </c>
      <c r="P135" s="100"/>
      <c r="Q135" s="104"/>
      <c r="R135" s="84" t="str">
        <f t="shared" si="47"/>
        <v/>
      </c>
      <c r="S135" t="str">
        <f t="shared" si="46"/>
        <v/>
      </c>
    </row>
    <row r="136" spans="1:24" ht="32.4" customHeight="1">
      <c r="A136" s="90"/>
      <c r="B136" s="94"/>
      <c r="C136" s="86"/>
      <c r="D136" s="54" t="str">
        <f>IF(G136=0,"",C133&amp;"-"&amp;G136)</f>
        <v/>
      </c>
      <c r="E136" s="54" t="str">
        <f>IF(G136="","",IF(LEN(LEFT(C133,SEARCH("0",C133,1)-1))&lt;2,RIGHT(LEFT(C133,SEARCH("0",C133,1)-1),1)&amp;INT(RIGHT(C133,4)),RIGHT(LEFT(C133,SEARCH("0",C133,1)-1),1)&amp;INT(RIGHT(C133,4))))</f>
        <v/>
      </c>
      <c r="F136" s="8" t="str">
        <f>IF(G136=0,"",VLOOKUP(D136,[1]Worksheet!$A:$C,3,0))</f>
        <v/>
      </c>
      <c r="G136" s="10"/>
      <c r="H136" s="10"/>
      <c r="I136" s="22"/>
      <c r="J136" s="73" t="str">
        <f t="shared" si="48"/>
        <v/>
      </c>
      <c r="K136" s="70"/>
      <c r="L136" s="43">
        <f t="shared" si="50"/>
        <v>0</v>
      </c>
      <c r="M136" s="28">
        <f t="shared" si="44"/>
        <v>0</v>
      </c>
      <c r="N136" s="97"/>
      <c r="O136" s="32">
        <f t="shared" si="45"/>
        <v>0</v>
      </c>
      <c r="P136" s="100"/>
      <c r="Q136" s="104"/>
      <c r="R136" s="84" t="str">
        <f t="shared" si="47"/>
        <v/>
      </c>
      <c r="S136" t="str">
        <f t="shared" si="46"/>
        <v/>
      </c>
    </row>
    <row r="137" spans="1:24" ht="32.4" customHeight="1" thickBot="1">
      <c r="A137" s="91"/>
      <c r="B137" s="95"/>
      <c r="C137" s="87"/>
      <c r="D137" s="55" t="str">
        <f>IF(G137=0,"",C133&amp;"-"&amp;G137)</f>
        <v/>
      </c>
      <c r="E137" s="55" t="str">
        <f>IF(G137="","",IF(LEN(LEFT(C133,SEARCH("0",C133,1)-1))&lt;2,RIGHT(LEFT(C133,SEARCH("0",C133,1)-1),1)&amp;INT(RIGHT(C133,4)),RIGHT(LEFT(C133,SEARCH("0",C133,1)-1),1)&amp;INT(RIGHT(C133,4))))</f>
        <v/>
      </c>
      <c r="F137" s="11" t="str">
        <f>IF(G137=0,"",VLOOKUP(D137,[1]Worksheet!$A:$C,3,0))</f>
        <v/>
      </c>
      <c r="G137" s="12"/>
      <c r="H137" s="12"/>
      <c r="I137" s="23"/>
      <c r="J137" s="73" t="str">
        <f t="shared" si="48"/>
        <v/>
      </c>
      <c r="K137" s="71"/>
      <c r="L137" s="45">
        <f t="shared" si="50"/>
        <v>0</v>
      </c>
      <c r="M137" s="29">
        <f t="shared" si="44"/>
        <v>0</v>
      </c>
      <c r="N137" s="98"/>
      <c r="O137" s="36">
        <f t="shared" si="45"/>
        <v>0</v>
      </c>
      <c r="P137" s="101"/>
      <c r="Q137" s="105"/>
      <c r="R137" s="84" t="str">
        <f t="shared" si="47"/>
        <v/>
      </c>
      <c r="S137" t="str">
        <f t="shared" si="46"/>
        <v/>
      </c>
    </row>
    <row r="138" spans="1:24" ht="32.4" customHeight="1">
      <c r="A138" s="88">
        <f>A133+1</f>
        <v>28</v>
      </c>
      <c r="B138" s="92"/>
      <c r="C138" s="85"/>
      <c r="D138" s="53" t="str">
        <f>IF(G138=0,"",C138&amp;"-"&amp;G138)</f>
        <v/>
      </c>
      <c r="E138" s="53" t="str">
        <f>IF(G138="","",IF(LEN(LEFT(C138,SEARCH("0",C138,1)-1))&lt;2,RIGHT(LEFT(C138,SEARCH("0",C138,1)-1),1)&amp;INT(RIGHT(C138,4)),RIGHT(LEFT(C138,SEARCH("0",C138,1)-1),1)&amp;INT(RIGHT(C138,4))))</f>
        <v/>
      </c>
      <c r="F138" s="2" t="str">
        <f>IF(G138=0,"",VLOOKUP(D138,[1]Worksheet!$A:$C,3,0))</f>
        <v/>
      </c>
      <c r="G138" s="13"/>
      <c r="H138" s="14"/>
      <c r="I138" s="24"/>
      <c r="J138" s="73" t="str">
        <f t="shared" si="48"/>
        <v/>
      </c>
      <c r="K138" s="68"/>
      <c r="L138" s="42">
        <f t="shared" si="50"/>
        <v>0</v>
      </c>
      <c r="M138" s="27">
        <f t="shared" si="44"/>
        <v>0</v>
      </c>
      <c r="N138" s="96">
        <f>SUM(M138:M142)</f>
        <v>0</v>
      </c>
      <c r="O138" s="35">
        <f t="shared" si="45"/>
        <v>0</v>
      </c>
      <c r="P138" s="99">
        <f>SUM(O138:O142)</f>
        <v>0</v>
      </c>
      <c r="Q138" s="103" t="str">
        <f t="shared" ref="Q138" si="51">IF(N138=P138,"",IF(N138&gt;P138,"Loss",IF(N138&lt;P138,"Over")))</f>
        <v/>
      </c>
      <c r="R138" s="84" t="str">
        <f t="shared" si="47"/>
        <v/>
      </c>
      <c r="S138" t="str">
        <f t="shared" si="46"/>
        <v/>
      </c>
    </row>
    <row r="139" spans="1:24" ht="32.4" customHeight="1">
      <c r="A139" s="89"/>
      <c r="B139" s="93"/>
      <c r="C139" s="86"/>
      <c r="D139" s="54" t="str">
        <f>IF(G139=0,"",C138&amp;"-"&amp;G139)</f>
        <v/>
      </c>
      <c r="E139" s="54" t="str">
        <f>IF(G139="","",IF(LEN(LEFT(C138,SEARCH("0",C138,1)-1))&lt;2,RIGHT(LEFT(C138,SEARCH("0",C138,1)-1),1)&amp;INT(RIGHT(C138,4)),RIGHT(LEFT(C138,SEARCH("0",C138,1)-1),1)&amp;INT(RIGHT(C138,4))))</f>
        <v/>
      </c>
      <c r="F139" s="5" t="str">
        <f>IF(G139=0,"",VLOOKUP(D139,[1]Worksheet!$A:$C,3,0))</f>
        <v/>
      </c>
      <c r="G139" s="6"/>
      <c r="H139" s="7"/>
      <c r="I139" s="21"/>
      <c r="J139" s="73" t="str">
        <f t="shared" si="48"/>
        <v/>
      </c>
      <c r="K139" s="69"/>
      <c r="L139" s="43">
        <f t="shared" si="50"/>
        <v>0</v>
      </c>
      <c r="M139" s="28">
        <f t="shared" si="44"/>
        <v>0</v>
      </c>
      <c r="N139" s="97"/>
      <c r="O139" s="32">
        <f t="shared" si="45"/>
        <v>0</v>
      </c>
      <c r="P139" s="100"/>
      <c r="Q139" s="104"/>
      <c r="R139" s="84" t="str">
        <f t="shared" si="47"/>
        <v/>
      </c>
      <c r="S139" t="str">
        <f t="shared" si="46"/>
        <v/>
      </c>
    </row>
    <row r="140" spans="1:24" ht="32.4" customHeight="1">
      <c r="A140" s="90"/>
      <c r="B140" s="94"/>
      <c r="C140" s="86"/>
      <c r="D140" s="54" t="str">
        <f>IF(G140=0,"",C138&amp;"-"&amp;G140)</f>
        <v/>
      </c>
      <c r="E140" s="54" t="str">
        <f>IF(G140="","",IF(LEN(LEFT(C138,SEARCH("0",C138,1)-1))&lt;2,RIGHT(LEFT(C138,SEARCH("0",C138,1)-1),1)&amp;INT(RIGHT(C138,4)),RIGHT(LEFT(C138,SEARCH("0",C138,1)-1),1)&amp;INT(RIGHT(C138,4))))</f>
        <v/>
      </c>
      <c r="F140" s="8" t="str">
        <f>IF(G140=0,"",VLOOKUP(D140,[1]Worksheet!$A:$C,3,0))</f>
        <v/>
      </c>
      <c r="G140" s="9"/>
      <c r="H140" s="10"/>
      <c r="I140" s="22"/>
      <c r="J140" s="73" t="str">
        <f t="shared" si="48"/>
        <v/>
      </c>
      <c r="K140" s="69"/>
      <c r="L140" s="44">
        <f t="shared" si="50"/>
        <v>0</v>
      </c>
      <c r="M140" s="28">
        <f t="shared" si="44"/>
        <v>0</v>
      </c>
      <c r="N140" s="97"/>
      <c r="O140" s="32">
        <f t="shared" si="45"/>
        <v>0</v>
      </c>
      <c r="P140" s="100"/>
      <c r="Q140" s="104"/>
      <c r="R140" s="84" t="str">
        <f t="shared" si="47"/>
        <v/>
      </c>
      <c r="S140" t="str">
        <f t="shared" si="46"/>
        <v/>
      </c>
    </row>
    <row r="141" spans="1:24" ht="32.4" customHeight="1">
      <c r="A141" s="90"/>
      <c r="B141" s="94"/>
      <c r="C141" s="86"/>
      <c r="D141" s="54" t="str">
        <f>IF(G141=0,"",C138&amp;"-"&amp;G141)</f>
        <v/>
      </c>
      <c r="E141" s="54" t="str">
        <f>IF(G141="","",IF(LEN(LEFT(C138,SEARCH("0",C138,1)-1))&lt;2,RIGHT(LEFT(C138,SEARCH("0",C138,1)-1),1)&amp;INT(RIGHT(C138,4)),RIGHT(LEFT(C138,SEARCH("0",C138,1)-1),1)&amp;INT(RIGHT(C138,4))))</f>
        <v/>
      </c>
      <c r="F141" s="8" t="str">
        <f>IF(G141=0,"",VLOOKUP(D141,[1]Worksheet!$A:$C,3,0))</f>
        <v/>
      </c>
      <c r="G141" s="10"/>
      <c r="H141" s="10"/>
      <c r="I141" s="22"/>
      <c r="J141" s="73" t="str">
        <f t="shared" si="48"/>
        <v/>
      </c>
      <c r="K141" s="70"/>
      <c r="L141" s="43">
        <f t="shared" si="50"/>
        <v>0</v>
      </c>
      <c r="M141" s="28">
        <f t="shared" si="44"/>
        <v>0</v>
      </c>
      <c r="N141" s="97"/>
      <c r="O141" s="32">
        <f t="shared" si="45"/>
        <v>0</v>
      </c>
      <c r="P141" s="100"/>
      <c r="Q141" s="104"/>
      <c r="R141" s="84" t="str">
        <f t="shared" si="47"/>
        <v/>
      </c>
      <c r="S141" t="str">
        <f t="shared" si="46"/>
        <v/>
      </c>
    </row>
    <row r="142" spans="1:24" ht="32.4" customHeight="1" thickBot="1">
      <c r="A142" s="91"/>
      <c r="B142" s="95"/>
      <c r="C142" s="87"/>
      <c r="D142" s="55" t="str">
        <f>IF(G142=0,"",C138&amp;"-"&amp;G142)</f>
        <v/>
      </c>
      <c r="E142" s="55" t="str">
        <f>IF(G142="","",IF(LEN(LEFT(C138,SEARCH("0",C138,1)-1))&lt;2,RIGHT(LEFT(C138,SEARCH("0",C138,1)-1),1)&amp;INT(RIGHT(C138,4)),RIGHT(LEFT(C138,SEARCH("0",C138,1)-1),1)&amp;INT(RIGHT(C138,4))))</f>
        <v/>
      </c>
      <c r="F142" s="11" t="str">
        <f>IF(G142=0,"",VLOOKUP(D142,[1]Worksheet!$A:$C,3,0))</f>
        <v/>
      </c>
      <c r="G142" s="12"/>
      <c r="H142" s="12"/>
      <c r="I142" s="23"/>
      <c r="J142" s="73" t="str">
        <f t="shared" si="48"/>
        <v/>
      </c>
      <c r="K142" s="71"/>
      <c r="L142" s="45">
        <f t="shared" si="50"/>
        <v>0</v>
      </c>
      <c r="M142" s="29">
        <f t="shared" si="44"/>
        <v>0</v>
      </c>
      <c r="N142" s="98"/>
      <c r="O142" s="36">
        <f t="shared" si="45"/>
        <v>0</v>
      </c>
      <c r="P142" s="101"/>
      <c r="Q142" s="105"/>
      <c r="R142" s="84" t="str">
        <f t="shared" si="47"/>
        <v/>
      </c>
      <c r="S142" t="str">
        <f t="shared" si="46"/>
        <v/>
      </c>
    </row>
    <row r="143" spans="1:24" ht="32.4" customHeight="1">
      <c r="A143" s="88">
        <f>A138+1</f>
        <v>29</v>
      </c>
      <c r="B143" s="102"/>
      <c r="C143" s="85"/>
      <c r="D143" s="53" t="str">
        <f>IF(G143=0,"",C143&amp;"-"&amp;G143)</f>
        <v/>
      </c>
      <c r="E143" s="53" t="str">
        <f>IF(G143="","",IF(LEN(LEFT(C143,SEARCH("0",C143,1)-1))&lt;2,RIGHT(LEFT(C143,SEARCH("0",C143,1)-1),1)&amp;INT(RIGHT(C143,4)),RIGHT(LEFT(C143,SEARCH("0",C143,1)-1),1)&amp;INT(RIGHT(C143,4))))</f>
        <v/>
      </c>
      <c r="F143" s="2" t="str">
        <f>IF(G143=0,"",VLOOKUP(D143,[1]Worksheet!$A:$C,3,0))</f>
        <v/>
      </c>
      <c r="G143" s="13"/>
      <c r="H143" s="14"/>
      <c r="I143" s="24"/>
      <c r="J143" s="73" t="str">
        <f t="shared" si="48"/>
        <v/>
      </c>
      <c r="K143" s="68"/>
      <c r="L143" s="42">
        <f t="shared" si="50"/>
        <v>0</v>
      </c>
      <c r="M143" s="27">
        <f t="shared" si="44"/>
        <v>0</v>
      </c>
      <c r="N143" s="96">
        <f>SUM(M143:M147)</f>
        <v>0</v>
      </c>
      <c r="O143" s="35">
        <f t="shared" si="45"/>
        <v>0</v>
      </c>
      <c r="P143" s="99">
        <f>SUM(O143:O147)</f>
        <v>0</v>
      </c>
      <c r="Q143" s="103" t="str">
        <f t="shared" ref="Q143" si="52">IF(N143=P143,"",IF(N143&gt;P143,"Loss",IF(N143&lt;P143,"Over")))</f>
        <v/>
      </c>
      <c r="R143" s="84" t="str">
        <f t="shared" si="47"/>
        <v/>
      </c>
      <c r="S143" t="str">
        <f t="shared" si="46"/>
        <v/>
      </c>
    </row>
    <row r="144" spans="1:24" ht="32.4" customHeight="1">
      <c r="A144" s="89"/>
      <c r="B144" s="93"/>
      <c r="C144" s="86"/>
      <c r="D144" s="54" t="str">
        <f>IF(G144=0,"",C143&amp;"-"&amp;G144)</f>
        <v/>
      </c>
      <c r="E144" s="54" t="str">
        <f>IF(G144="","",IF(LEN(LEFT(C143,SEARCH("0",C143,1)-1))&lt;2,RIGHT(LEFT(C143,SEARCH("0",C143,1)-1),1)&amp;INT(RIGHT(C143,4)),RIGHT(LEFT(C143,SEARCH("0",C143,1)-1),1)&amp;INT(RIGHT(C143,4))))</f>
        <v/>
      </c>
      <c r="F144" s="5" t="str">
        <f>IF(G144=0,"",VLOOKUP(D144,[1]Worksheet!$A:$C,3,0))</f>
        <v/>
      </c>
      <c r="G144" s="6"/>
      <c r="H144" s="7"/>
      <c r="I144" s="21"/>
      <c r="J144" s="73" t="str">
        <f t="shared" si="48"/>
        <v/>
      </c>
      <c r="K144" s="69"/>
      <c r="L144" s="43">
        <f t="shared" si="50"/>
        <v>0</v>
      </c>
      <c r="M144" s="28">
        <f t="shared" si="44"/>
        <v>0</v>
      </c>
      <c r="N144" s="97"/>
      <c r="O144" s="32">
        <f t="shared" si="45"/>
        <v>0</v>
      </c>
      <c r="P144" s="100"/>
      <c r="Q144" s="104"/>
      <c r="R144" s="84" t="str">
        <f t="shared" si="47"/>
        <v/>
      </c>
      <c r="S144" t="str">
        <f t="shared" si="46"/>
        <v/>
      </c>
    </row>
    <row r="145" spans="1:19" ht="32.4" customHeight="1">
      <c r="A145" s="90"/>
      <c r="B145" s="94"/>
      <c r="C145" s="86"/>
      <c r="D145" s="54" t="str">
        <f>IF(G145=0,"",C143&amp;"-"&amp;G145)</f>
        <v/>
      </c>
      <c r="E145" s="54" t="str">
        <f>IF(G145="","",IF(LEN(LEFT(C143,SEARCH("0",C143,1)-1))&lt;2,RIGHT(LEFT(C143,SEARCH("0",C143,1)-1),1)&amp;INT(RIGHT(C143,4)),RIGHT(LEFT(C143,SEARCH("0",C143,1)-1),1)&amp;INT(RIGHT(C143,4))))</f>
        <v/>
      </c>
      <c r="F145" s="8" t="str">
        <f>IF(G145=0,"",VLOOKUP(D145,[1]Worksheet!$A:$C,3,0))</f>
        <v/>
      </c>
      <c r="G145" s="9"/>
      <c r="H145" s="10"/>
      <c r="I145" s="22"/>
      <c r="J145" s="73" t="str">
        <f t="shared" si="48"/>
        <v/>
      </c>
      <c r="K145" s="69"/>
      <c r="L145" s="44">
        <f t="shared" si="50"/>
        <v>0</v>
      </c>
      <c r="M145" s="28">
        <f t="shared" si="44"/>
        <v>0</v>
      </c>
      <c r="N145" s="97"/>
      <c r="O145" s="32">
        <f t="shared" si="45"/>
        <v>0</v>
      </c>
      <c r="P145" s="100"/>
      <c r="Q145" s="104"/>
      <c r="R145" s="84" t="str">
        <f t="shared" si="47"/>
        <v/>
      </c>
      <c r="S145" t="str">
        <f t="shared" si="46"/>
        <v/>
      </c>
    </row>
    <row r="146" spans="1:19" ht="32.4" customHeight="1">
      <c r="A146" s="90"/>
      <c r="B146" s="94"/>
      <c r="C146" s="86"/>
      <c r="D146" s="54" t="str">
        <f>IF(G146=0,"",C143&amp;"-"&amp;G146)</f>
        <v/>
      </c>
      <c r="E146" s="54" t="str">
        <f>IF(G146="","",IF(LEN(LEFT(C143,SEARCH("0",C143,1)-1))&lt;2,RIGHT(LEFT(C143,SEARCH("0",C143,1)-1),1)&amp;INT(RIGHT(C143,4)),RIGHT(LEFT(C143,SEARCH("0",C143,1)-1),1)&amp;INT(RIGHT(C143,4))))</f>
        <v/>
      </c>
      <c r="F146" s="8" t="str">
        <f>IF(G146=0,"",VLOOKUP(D146,[1]Worksheet!$A:$C,3,0))</f>
        <v/>
      </c>
      <c r="G146" s="10"/>
      <c r="H146" s="10"/>
      <c r="I146" s="22"/>
      <c r="J146" s="73" t="str">
        <f t="shared" si="48"/>
        <v/>
      </c>
      <c r="K146" s="70"/>
      <c r="L146" s="43">
        <f t="shared" si="50"/>
        <v>0</v>
      </c>
      <c r="M146" s="28">
        <f t="shared" si="44"/>
        <v>0</v>
      </c>
      <c r="N146" s="97"/>
      <c r="O146" s="32">
        <f t="shared" si="45"/>
        <v>0</v>
      </c>
      <c r="P146" s="100"/>
      <c r="Q146" s="104"/>
      <c r="R146" s="84" t="str">
        <f t="shared" si="47"/>
        <v/>
      </c>
      <c r="S146" t="str">
        <f t="shared" si="46"/>
        <v/>
      </c>
    </row>
    <row r="147" spans="1:19" ht="32.4" customHeight="1" thickBot="1">
      <c r="A147" s="91"/>
      <c r="B147" s="95"/>
      <c r="C147" s="87"/>
      <c r="D147" s="55" t="str">
        <f>IF(G147=0,"",C143&amp;"-"&amp;G147)</f>
        <v/>
      </c>
      <c r="E147" s="55" t="str">
        <f>IF(G147="","",IF(LEN(LEFT(C143,SEARCH("0",C143,1)-1))&lt;2,RIGHT(LEFT(C143,SEARCH("0",C143,1)-1),1)&amp;INT(RIGHT(C143,4)),RIGHT(LEFT(C143,SEARCH("0",C143,1)-1),1)&amp;INT(RIGHT(C143,4))))</f>
        <v/>
      </c>
      <c r="F147" s="11" t="str">
        <f>IF(G147=0,"",VLOOKUP(D147,[1]Worksheet!$A:$C,3,0))</f>
        <v/>
      </c>
      <c r="G147" s="12"/>
      <c r="H147" s="12"/>
      <c r="I147" s="23"/>
      <c r="J147" s="73" t="str">
        <f t="shared" si="48"/>
        <v/>
      </c>
      <c r="K147" s="71"/>
      <c r="L147" s="45">
        <f t="shared" si="50"/>
        <v>0</v>
      </c>
      <c r="M147" s="29">
        <f t="shared" si="44"/>
        <v>0</v>
      </c>
      <c r="N147" s="98"/>
      <c r="O147" s="36">
        <f t="shared" si="45"/>
        <v>0</v>
      </c>
      <c r="P147" s="101"/>
      <c r="Q147" s="105"/>
      <c r="R147" s="84" t="str">
        <f t="shared" si="47"/>
        <v/>
      </c>
      <c r="S147" t="str">
        <f t="shared" si="46"/>
        <v/>
      </c>
    </row>
    <row r="148" spans="1:19" ht="32.4" customHeight="1">
      <c r="A148" s="88">
        <f>A143+1</f>
        <v>30</v>
      </c>
      <c r="B148" s="92"/>
      <c r="C148" s="85"/>
      <c r="D148" s="53" t="str">
        <f>IF(G148=0,"",C148&amp;"-"&amp;G148)</f>
        <v/>
      </c>
      <c r="E148" s="53" t="str">
        <f>IF(G148="","",IF(LEN(LEFT(C148,SEARCH("0",C148,1)-1))&lt;2,RIGHT(LEFT(C148,SEARCH("0",C148,1)-1),1)&amp;INT(RIGHT(C148,4)),RIGHT(LEFT(C148,SEARCH("0",C148,1)-1),1)&amp;INT(RIGHT(C148,4))))</f>
        <v/>
      </c>
      <c r="F148" s="2" t="str">
        <f>IF(G148=0,"",VLOOKUP(D148,[1]Worksheet!$A:$C,3,0))</f>
        <v/>
      </c>
      <c r="G148" s="13"/>
      <c r="H148" s="14"/>
      <c r="I148" s="24"/>
      <c r="J148" s="73" t="str">
        <f t="shared" si="48"/>
        <v/>
      </c>
      <c r="K148" s="68"/>
      <c r="L148" s="42">
        <f t="shared" si="50"/>
        <v>0</v>
      </c>
      <c r="M148" s="27">
        <f t="shared" si="44"/>
        <v>0</v>
      </c>
      <c r="N148" s="96">
        <f>SUM(M148:M152)</f>
        <v>0</v>
      </c>
      <c r="O148" s="35">
        <f t="shared" si="45"/>
        <v>0</v>
      </c>
      <c r="P148" s="99">
        <f>SUM(O148:O152)</f>
        <v>0</v>
      </c>
      <c r="Q148" s="103" t="str">
        <f t="shared" ref="Q148" si="53">IF(N148=P148,"",IF(N148&gt;P148,"Loss",IF(N148&lt;P148,"Over")))</f>
        <v/>
      </c>
      <c r="R148" s="84" t="str">
        <f t="shared" si="47"/>
        <v/>
      </c>
      <c r="S148" t="str">
        <f t="shared" si="46"/>
        <v/>
      </c>
    </row>
    <row r="149" spans="1:19" ht="32.4" customHeight="1">
      <c r="A149" s="89"/>
      <c r="B149" s="93"/>
      <c r="C149" s="86"/>
      <c r="D149" s="54" t="str">
        <f>IF(G149=0,"",C148&amp;"-"&amp;G149)</f>
        <v/>
      </c>
      <c r="E149" s="54" t="str">
        <f>IF(G149="","",IF(LEN(LEFT(C148,SEARCH("0",C148,1)-1))&lt;2,RIGHT(LEFT(C148,SEARCH("0",C148,1)-1),1)&amp;INT(RIGHT(C148,4)),RIGHT(LEFT(C148,SEARCH("0",C148,1)-1),1)&amp;INT(RIGHT(C148,4))))</f>
        <v/>
      </c>
      <c r="F149" s="5" t="str">
        <f>IF(G149=0,"",VLOOKUP(D149,[1]Worksheet!$A:$C,3,0))</f>
        <v/>
      </c>
      <c r="G149" s="6"/>
      <c r="H149" s="7"/>
      <c r="I149" s="21"/>
      <c r="J149" s="73" t="str">
        <f t="shared" si="48"/>
        <v/>
      </c>
      <c r="K149" s="69"/>
      <c r="L149" s="43">
        <f t="shared" si="50"/>
        <v>0</v>
      </c>
      <c r="M149" s="28">
        <f t="shared" si="44"/>
        <v>0</v>
      </c>
      <c r="N149" s="97"/>
      <c r="O149" s="32">
        <f t="shared" si="45"/>
        <v>0</v>
      </c>
      <c r="P149" s="100"/>
      <c r="Q149" s="104"/>
      <c r="R149" s="84" t="str">
        <f t="shared" si="47"/>
        <v/>
      </c>
      <c r="S149" t="str">
        <f t="shared" si="46"/>
        <v/>
      </c>
    </row>
    <row r="150" spans="1:19" ht="32.4" customHeight="1">
      <c r="A150" s="90"/>
      <c r="B150" s="94"/>
      <c r="C150" s="86"/>
      <c r="D150" s="54" t="str">
        <f>IF(G150=0,"",C148&amp;"-"&amp;G150)</f>
        <v/>
      </c>
      <c r="E150" s="54" t="str">
        <f>IF(G150="","",IF(LEN(LEFT(C148,SEARCH("0",C148,1)-1))&lt;2,RIGHT(LEFT(C148,SEARCH("0",C148,1)-1),1)&amp;INT(RIGHT(C148,4)),RIGHT(LEFT(C148,SEARCH("0",C148,1)-1),1)&amp;INT(RIGHT(C148,4))))</f>
        <v/>
      </c>
      <c r="F150" s="8" t="str">
        <f>IF(G150=0,"",VLOOKUP(D150,[1]Worksheet!$A:$C,3,0))</f>
        <v/>
      </c>
      <c r="G150" s="9"/>
      <c r="H150" s="10"/>
      <c r="I150" s="22"/>
      <c r="J150" s="73" t="str">
        <f t="shared" si="48"/>
        <v/>
      </c>
      <c r="K150" s="69"/>
      <c r="L150" s="44">
        <f t="shared" si="50"/>
        <v>0</v>
      </c>
      <c r="M150" s="28">
        <f t="shared" si="44"/>
        <v>0</v>
      </c>
      <c r="N150" s="97"/>
      <c r="O150" s="32">
        <f t="shared" si="45"/>
        <v>0</v>
      </c>
      <c r="P150" s="100"/>
      <c r="Q150" s="104"/>
      <c r="R150" s="84" t="str">
        <f t="shared" si="47"/>
        <v/>
      </c>
      <c r="S150" t="str">
        <f t="shared" si="46"/>
        <v/>
      </c>
    </row>
    <row r="151" spans="1:19" ht="32.4" customHeight="1">
      <c r="A151" s="90"/>
      <c r="B151" s="94"/>
      <c r="C151" s="86"/>
      <c r="D151" s="54" t="str">
        <f>IF(G151=0,"",C148&amp;"-"&amp;G151)</f>
        <v/>
      </c>
      <c r="E151" s="54" t="str">
        <f>IF(G151="","",IF(LEN(LEFT(C148,SEARCH("0",C148,1)-1))&lt;2,RIGHT(LEFT(C148,SEARCH("0",C148,1)-1),1)&amp;INT(RIGHT(C148,4)),RIGHT(LEFT(C148,SEARCH("0",C148,1)-1),1)&amp;INT(RIGHT(C148,4))))</f>
        <v/>
      </c>
      <c r="F151" s="8" t="str">
        <f>IF(G151=0,"",VLOOKUP(D151,[1]Worksheet!$A:$C,3,0))</f>
        <v/>
      </c>
      <c r="G151" s="10"/>
      <c r="H151" s="10"/>
      <c r="I151" s="22"/>
      <c r="J151" s="73" t="str">
        <f t="shared" si="48"/>
        <v/>
      </c>
      <c r="K151" s="70"/>
      <c r="L151" s="43">
        <f t="shared" si="50"/>
        <v>0</v>
      </c>
      <c r="M151" s="28">
        <f t="shared" si="44"/>
        <v>0</v>
      </c>
      <c r="N151" s="97"/>
      <c r="O151" s="32">
        <f t="shared" si="45"/>
        <v>0</v>
      </c>
      <c r="P151" s="100"/>
      <c r="Q151" s="104"/>
      <c r="R151" s="84" t="str">
        <f t="shared" si="47"/>
        <v/>
      </c>
      <c r="S151" t="str">
        <f t="shared" si="46"/>
        <v/>
      </c>
    </row>
    <row r="152" spans="1:19" ht="32.4" customHeight="1" thickBot="1">
      <c r="A152" s="91"/>
      <c r="B152" s="95"/>
      <c r="C152" s="87"/>
      <c r="D152" s="55" t="str">
        <f>IF(G152=0,"",C148&amp;"-"&amp;G152)</f>
        <v/>
      </c>
      <c r="E152" s="55" t="str">
        <f>IF(G152="","",IF(LEN(LEFT(C148,SEARCH("0",C148,1)-1))&lt;2,RIGHT(LEFT(C148,SEARCH("0",C148,1)-1),1)&amp;INT(RIGHT(C148,4)),RIGHT(LEFT(C148,SEARCH("0",C148,1)-1),1)&amp;INT(RIGHT(C148,4))))</f>
        <v/>
      </c>
      <c r="F152" s="11" t="str">
        <f>IF(G152=0,"",VLOOKUP(D152,[1]Worksheet!$A:$C,3,0))</f>
        <v/>
      </c>
      <c r="G152" s="12"/>
      <c r="H152" s="12"/>
      <c r="I152" s="23"/>
      <c r="J152" s="73" t="str">
        <f t="shared" si="48"/>
        <v/>
      </c>
      <c r="K152" s="71"/>
      <c r="L152" s="45">
        <f t="shared" si="50"/>
        <v>0</v>
      </c>
      <c r="M152" s="29">
        <f t="shared" si="44"/>
        <v>0</v>
      </c>
      <c r="N152" s="98"/>
      <c r="O152" s="36">
        <f t="shared" si="45"/>
        <v>0</v>
      </c>
      <c r="P152" s="101"/>
      <c r="Q152" s="105"/>
      <c r="R152" s="84" t="str">
        <f t="shared" si="47"/>
        <v/>
      </c>
      <c r="S152" t="str">
        <f t="shared" si="46"/>
        <v/>
      </c>
    </row>
    <row r="153" spans="1:19" ht="32.4" customHeight="1">
      <c r="A153" s="88">
        <f>A148+1</f>
        <v>31</v>
      </c>
      <c r="B153" s="92"/>
      <c r="C153" s="85"/>
      <c r="D153" s="53" t="str">
        <f>IF(G153=0,"",C153&amp;"-"&amp;G153)</f>
        <v/>
      </c>
      <c r="E153" s="53" t="str">
        <f>IF(G153="","",IF(LEN(LEFT(C153,SEARCH("0",C153,1)-1))&lt;2,RIGHT(LEFT(C153,SEARCH("0",C153,1)-1),1)&amp;INT(RIGHT(C153,4)),RIGHT(LEFT(C153,SEARCH("0",C153,1)-1),1)&amp;INT(RIGHT(C153,4))))</f>
        <v/>
      </c>
      <c r="F153" s="2" t="str">
        <f>IF(G153=0,"",VLOOKUP(D153,[1]Worksheet!$A:$C,3,0))</f>
        <v/>
      </c>
      <c r="G153" s="13"/>
      <c r="H153" s="14"/>
      <c r="I153" s="24"/>
      <c r="J153" s="73" t="str">
        <f t="shared" si="48"/>
        <v/>
      </c>
      <c r="K153" s="68"/>
      <c r="L153" s="42">
        <f t="shared" si="50"/>
        <v>0</v>
      </c>
      <c r="M153" s="27">
        <f t="shared" si="44"/>
        <v>0</v>
      </c>
      <c r="N153" s="96">
        <f>SUM(M153:M157)</f>
        <v>0</v>
      </c>
      <c r="O153" s="35">
        <f t="shared" si="45"/>
        <v>0</v>
      </c>
      <c r="P153" s="99">
        <f>SUM(O153:O157)</f>
        <v>0</v>
      </c>
      <c r="Q153" s="103" t="str">
        <f t="shared" ref="Q153" si="54">IF(N153=P153,"",IF(N153&gt;P153,"Loss",IF(N153&lt;P153,"Over")))</f>
        <v/>
      </c>
      <c r="R153" s="84" t="str">
        <f t="shared" si="47"/>
        <v/>
      </c>
      <c r="S153" t="str">
        <f t="shared" si="46"/>
        <v/>
      </c>
    </row>
    <row r="154" spans="1:19" ht="32.4" customHeight="1">
      <c r="A154" s="89"/>
      <c r="B154" s="93"/>
      <c r="C154" s="86"/>
      <c r="D154" s="54" t="str">
        <f>IF(G154=0,"",C153&amp;"-"&amp;G154)</f>
        <v/>
      </c>
      <c r="E154" s="54" t="str">
        <f>IF(G154="","",IF(LEN(LEFT(C153,SEARCH("0",C153,1)-1))&lt;2,RIGHT(LEFT(C153,SEARCH("0",C153,1)-1),1)&amp;INT(RIGHT(C153,4)),RIGHT(LEFT(C153,SEARCH("0",C153,1)-1),1)&amp;INT(RIGHT(C153,4))))</f>
        <v/>
      </c>
      <c r="F154" s="5" t="str">
        <f>IF(G154=0,"",VLOOKUP(D154,[1]Worksheet!$A:$C,3,0))</f>
        <v/>
      </c>
      <c r="G154" s="6"/>
      <c r="H154" s="7"/>
      <c r="I154" s="21"/>
      <c r="J154" s="73" t="str">
        <f t="shared" si="48"/>
        <v/>
      </c>
      <c r="K154" s="69"/>
      <c r="L154" s="43">
        <f t="shared" si="50"/>
        <v>0</v>
      </c>
      <c r="M154" s="28">
        <f t="shared" si="44"/>
        <v>0</v>
      </c>
      <c r="N154" s="97"/>
      <c r="O154" s="32">
        <f t="shared" si="45"/>
        <v>0</v>
      </c>
      <c r="P154" s="100"/>
      <c r="Q154" s="104"/>
      <c r="R154" s="84" t="str">
        <f t="shared" si="47"/>
        <v/>
      </c>
      <c r="S154" t="str">
        <f t="shared" si="46"/>
        <v/>
      </c>
    </row>
    <row r="155" spans="1:19" ht="32.4" customHeight="1">
      <c r="A155" s="90"/>
      <c r="B155" s="94"/>
      <c r="C155" s="86"/>
      <c r="D155" s="54" t="str">
        <f>IF(G155=0,"",C153&amp;"-"&amp;G155)</f>
        <v/>
      </c>
      <c r="E155" s="54" t="str">
        <f>IF(G155="","",IF(LEN(LEFT(C153,SEARCH("0",C153,1)-1))&lt;2,RIGHT(LEFT(C153,SEARCH("0",C153,1)-1),1)&amp;INT(RIGHT(C153,4)),RIGHT(LEFT(C153,SEARCH("0",C153,1)-1),1)&amp;INT(RIGHT(C153,4))))</f>
        <v/>
      </c>
      <c r="F155" s="8" t="str">
        <f>IF(G155=0,"",VLOOKUP(D155,[1]Worksheet!$A:$C,3,0))</f>
        <v/>
      </c>
      <c r="G155" s="9"/>
      <c r="H155" s="10"/>
      <c r="I155" s="22"/>
      <c r="J155" s="73" t="str">
        <f t="shared" si="48"/>
        <v/>
      </c>
      <c r="K155" s="69"/>
      <c r="L155" s="44">
        <f t="shared" si="50"/>
        <v>0</v>
      </c>
      <c r="M155" s="28">
        <f t="shared" si="44"/>
        <v>0</v>
      </c>
      <c r="N155" s="97"/>
      <c r="O155" s="32">
        <f t="shared" si="45"/>
        <v>0</v>
      </c>
      <c r="P155" s="100"/>
      <c r="Q155" s="104"/>
      <c r="R155" s="84" t="str">
        <f t="shared" si="47"/>
        <v/>
      </c>
      <c r="S155" t="str">
        <f t="shared" si="46"/>
        <v/>
      </c>
    </row>
    <row r="156" spans="1:19" ht="32.4" customHeight="1">
      <c r="A156" s="90"/>
      <c r="B156" s="94"/>
      <c r="C156" s="86"/>
      <c r="D156" s="54" t="str">
        <f>IF(G156=0,"",C153&amp;"-"&amp;G156)</f>
        <v/>
      </c>
      <c r="E156" s="54" t="str">
        <f>IF(G156="","",IF(LEN(LEFT(C153,SEARCH("0",C153,1)-1))&lt;2,RIGHT(LEFT(C153,SEARCH("0",C153,1)-1),1)&amp;INT(RIGHT(C153,4)),RIGHT(LEFT(C153,SEARCH("0",C153,1)-1),1)&amp;INT(RIGHT(C153,4))))</f>
        <v/>
      </c>
      <c r="F156" s="8" t="str">
        <f>IF(G156=0,"",VLOOKUP(D156,[1]Worksheet!$A:$C,3,0))</f>
        <v/>
      </c>
      <c r="G156" s="10"/>
      <c r="H156" s="10"/>
      <c r="I156" s="22"/>
      <c r="J156" s="73" t="str">
        <f t="shared" si="48"/>
        <v/>
      </c>
      <c r="K156" s="70"/>
      <c r="L156" s="43">
        <f t="shared" si="50"/>
        <v>0</v>
      </c>
      <c r="M156" s="28">
        <f t="shared" si="44"/>
        <v>0</v>
      </c>
      <c r="N156" s="97"/>
      <c r="O156" s="32">
        <f t="shared" si="45"/>
        <v>0</v>
      </c>
      <c r="P156" s="100"/>
      <c r="Q156" s="104"/>
      <c r="R156" s="84" t="str">
        <f t="shared" si="47"/>
        <v/>
      </c>
      <c r="S156" t="str">
        <f t="shared" si="46"/>
        <v/>
      </c>
    </row>
    <row r="157" spans="1:19" ht="32.4" customHeight="1" thickBot="1">
      <c r="A157" s="91"/>
      <c r="B157" s="95"/>
      <c r="C157" s="87"/>
      <c r="D157" s="55" t="str">
        <f>IF(G157=0,"",C153&amp;"-"&amp;G157)</f>
        <v/>
      </c>
      <c r="E157" s="55" t="str">
        <f>IF(G157="","",IF(LEN(LEFT(C153,SEARCH("0",C153,1)-1))&lt;2,RIGHT(LEFT(C153,SEARCH("0",C153,1)-1),1)&amp;INT(RIGHT(C153,4)),RIGHT(LEFT(C153,SEARCH("0",C153,1)-1),1)&amp;INT(RIGHT(C153,4))))</f>
        <v/>
      </c>
      <c r="F157" s="11" t="str">
        <f>IF(G157=0,"",VLOOKUP(D157,[1]Worksheet!$A:$C,3,0))</f>
        <v/>
      </c>
      <c r="G157" s="12"/>
      <c r="H157" s="12"/>
      <c r="I157" s="23"/>
      <c r="J157" s="73" t="str">
        <f t="shared" si="48"/>
        <v/>
      </c>
      <c r="K157" s="71"/>
      <c r="L157" s="45">
        <f t="shared" si="50"/>
        <v>0</v>
      </c>
      <c r="M157" s="29">
        <f t="shared" si="44"/>
        <v>0</v>
      </c>
      <c r="N157" s="98"/>
      <c r="O157" s="36">
        <f t="shared" si="45"/>
        <v>0</v>
      </c>
      <c r="P157" s="101"/>
      <c r="Q157" s="105"/>
      <c r="R157" s="84" t="str">
        <f t="shared" si="47"/>
        <v/>
      </c>
      <c r="S157" t="str">
        <f t="shared" si="46"/>
        <v/>
      </c>
    </row>
    <row r="158" spans="1:19" ht="32.4" customHeight="1">
      <c r="A158" s="88">
        <f>A153+1</f>
        <v>32</v>
      </c>
      <c r="B158" s="92"/>
      <c r="C158" s="85"/>
      <c r="D158" s="53" t="str">
        <f>IF(G158=0,"",C158&amp;"-"&amp;G158)</f>
        <v/>
      </c>
      <c r="E158" s="53" t="str">
        <f>IF(G158="","",IF(LEN(LEFT(C158,SEARCH("0",C158,1)-1))&lt;2,RIGHT(LEFT(C158,SEARCH("0",C158,1)-1),1)&amp;INT(RIGHT(C158,4)),RIGHT(LEFT(C158,SEARCH("0",C158,1)-1),1)&amp;INT(RIGHT(C158,4))))</f>
        <v/>
      </c>
      <c r="F158" s="2" t="str">
        <f>IF(G158=0,"",VLOOKUP(D158,[1]Worksheet!$A:$C,3,0))</f>
        <v/>
      </c>
      <c r="G158" s="13"/>
      <c r="H158" s="14"/>
      <c r="I158" s="24"/>
      <c r="J158" s="73" t="str">
        <f t="shared" si="48"/>
        <v/>
      </c>
      <c r="K158" s="68"/>
      <c r="L158" s="42">
        <f t="shared" si="50"/>
        <v>0</v>
      </c>
      <c r="M158" s="27">
        <f t="shared" si="44"/>
        <v>0</v>
      </c>
      <c r="N158" s="96">
        <f>SUM(M158:M162)</f>
        <v>0</v>
      </c>
      <c r="O158" s="35">
        <f t="shared" si="45"/>
        <v>0</v>
      </c>
      <c r="P158" s="99">
        <f>SUM(O158:O162)</f>
        <v>0</v>
      </c>
      <c r="Q158" s="103" t="str">
        <f t="shared" ref="Q158" si="55">IF(N158=P158,"",IF(N158&gt;P158,"Loss",IF(N158&lt;P158,"Over")))</f>
        <v/>
      </c>
      <c r="R158" s="84" t="str">
        <f t="shared" si="47"/>
        <v/>
      </c>
      <c r="S158" t="str">
        <f t="shared" si="46"/>
        <v/>
      </c>
    </row>
    <row r="159" spans="1:19" ht="32.4" customHeight="1">
      <c r="A159" s="89"/>
      <c r="B159" s="93"/>
      <c r="C159" s="86"/>
      <c r="D159" s="54" t="str">
        <f>IF(G159=0,"",C158&amp;"-"&amp;G159)</f>
        <v/>
      </c>
      <c r="E159" s="54" t="str">
        <f>IF(G159="","",IF(LEN(LEFT(C158,SEARCH("0",C158,1)-1))&lt;2,RIGHT(LEFT(C158,SEARCH("0",C158,1)-1),1)&amp;INT(RIGHT(C158,4)),RIGHT(LEFT(C158,SEARCH("0",C158,1)-1),1)&amp;INT(RIGHT(C158,4))))</f>
        <v/>
      </c>
      <c r="F159" s="5" t="str">
        <f>IF(G159=0,"",VLOOKUP(D159,[1]Worksheet!$A:$C,3,0))</f>
        <v/>
      </c>
      <c r="G159" s="6"/>
      <c r="H159" s="7"/>
      <c r="I159" s="21"/>
      <c r="J159" s="73" t="str">
        <f t="shared" si="48"/>
        <v/>
      </c>
      <c r="K159" s="69"/>
      <c r="L159" s="43">
        <f t="shared" si="50"/>
        <v>0</v>
      </c>
      <c r="M159" s="28">
        <f t="shared" si="44"/>
        <v>0</v>
      </c>
      <c r="N159" s="97"/>
      <c r="O159" s="32">
        <f t="shared" si="45"/>
        <v>0</v>
      </c>
      <c r="P159" s="100"/>
      <c r="Q159" s="104"/>
      <c r="R159" s="84" t="str">
        <f t="shared" si="47"/>
        <v/>
      </c>
      <c r="S159" t="str">
        <f t="shared" si="46"/>
        <v/>
      </c>
    </row>
    <row r="160" spans="1:19" ht="32.4" customHeight="1">
      <c r="A160" s="90"/>
      <c r="B160" s="94"/>
      <c r="C160" s="86"/>
      <c r="D160" s="54" t="str">
        <f>IF(G160=0,"",C158&amp;"-"&amp;G160)</f>
        <v/>
      </c>
      <c r="E160" s="54" t="str">
        <f>IF(G160="","",IF(LEN(LEFT(C158,SEARCH("0",C158,1)-1))&lt;2,RIGHT(LEFT(C158,SEARCH("0",C158,1)-1),1)&amp;INT(RIGHT(C158,4)),RIGHT(LEFT(C158,SEARCH("0",C158,1)-1),1)&amp;INT(RIGHT(C158,4))))</f>
        <v/>
      </c>
      <c r="F160" s="8" t="str">
        <f>IF(G160=0,"",VLOOKUP(D160,[1]Worksheet!$A:$C,3,0))</f>
        <v/>
      </c>
      <c r="G160" s="9"/>
      <c r="H160" s="10"/>
      <c r="I160" s="22"/>
      <c r="J160" s="73" t="str">
        <f t="shared" si="48"/>
        <v/>
      </c>
      <c r="K160" s="69"/>
      <c r="L160" s="44">
        <f t="shared" si="50"/>
        <v>0</v>
      </c>
      <c r="M160" s="28">
        <f t="shared" si="44"/>
        <v>0</v>
      </c>
      <c r="N160" s="97"/>
      <c r="O160" s="32">
        <f t="shared" si="45"/>
        <v>0</v>
      </c>
      <c r="P160" s="100"/>
      <c r="Q160" s="104"/>
      <c r="R160" s="84" t="str">
        <f t="shared" si="47"/>
        <v/>
      </c>
      <c r="S160" t="str">
        <f t="shared" si="46"/>
        <v/>
      </c>
    </row>
    <row r="161" spans="1:19" ht="32.4" customHeight="1">
      <c r="A161" s="90"/>
      <c r="B161" s="94"/>
      <c r="C161" s="86"/>
      <c r="D161" s="54" t="str">
        <f>IF(G161=0,"",C158&amp;"-"&amp;G161)</f>
        <v/>
      </c>
      <c r="E161" s="54" t="str">
        <f>IF(G161="","",IF(LEN(LEFT(C158,SEARCH("0",C158,1)-1))&lt;2,RIGHT(LEFT(C158,SEARCH("0",C158,1)-1),1)&amp;INT(RIGHT(C158,4)),RIGHT(LEFT(C158,SEARCH("0",C158,1)-1),1)&amp;INT(RIGHT(C158,4))))</f>
        <v/>
      </c>
      <c r="F161" s="8" t="str">
        <f>IF(G161=0,"",VLOOKUP(D161,[1]Worksheet!$A:$C,3,0))</f>
        <v/>
      </c>
      <c r="G161" s="10"/>
      <c r="H161" s="10"/>
      <c r="I161" s="22"/>
      <c r="J161" s="73" t="str">
        <f t="shared" si="48"/>
        <v/>
      </c>
      <c r="K161" s="70"/>
      <c r="L161" s="43">
        <f t="shared" si="50"/>
        <v>0</v>
      </c>
      <c r="M161" s="28">
        <f t="shared" si="44"/>
        <v>0</v>
      </c>
      <c r="N161" s="97"/>
      <c r="O161" s="32">
        <f t="shared" si="45"/>
        <v>0</v>
      </c>
      <c r="P161" s="100"/>
      <c r="Q161" s="104"/>
      <c r="R161" s="84" t="str">
        <f t="shared" si="47"/>
        <v/>
      </c>
      <c r="S161" t="str">
        <f t="shared" si="46"/>
        <v/>
      </c>
    </row>
    <row r="162" spans="1:19" ht="32.4" customHeight="1" thickBot="1">
      <c r="A162" s="91"/>
      <c r="B162" s="95"/>
      <c r="C162" s="87"/>
      <c r="D162" s="55" t="str">
        <f>IF(G162=0,"",C158&amp;"-"&amp;G162)</f>
        <v/>
      </c>
      <c r="E162" s="55" t="str">
        <f>IF(G162="","",IF(LEN(LEFT(C158,SEARCH("0",C158,1)-1))&lt;2,RIGHT(LEFT(C158,SEARCH("0",C158,1)-1),1)&amp;INT(RIGHT(C158,4)),RIGHT(LEFT(C158,SEARCH("0",C158,1)-1),1)&amp;INT(RIGHT(C158,4))))</f>
        <v/>
      </c>
      <c r="F162" s="11" t="str">
        <f>IF(G162=0,"",VLOOKUP(D162,[1]Worksheet!$A:$C,3,0))</f>
        <v/>
      </c>
      <c r="G162" s="12"/>
      <c r="H162" s="12"/>
      <c r="I162" s="23"/>
      <c r="J162" s="73" t="str">
        <f t="shared" si="48"/>
        <v/>
      </c>
      <c r="K162" s="71"/>
      <c r="L162" s="45">
        <f t="shared" si="50"/>
        <v>0</v>
      </c>
      <c r="M162" s="29">
        <f t="shared" si="44"/>
        <v>0</v>
      </c>
      <c r="N162" s="98"/>
      <c r="O162" s="36">
        <f t="shared" si="45"/>
        <v>0</v>
      </c>
      <c r="P162" s="101"/>
      <c r="Q162" s="105"/>
      <c r="R162" s="84" t="str">
        <f t="shared" si="47"/>
        <v/>
      </c>
      <c r="S162" t="str">
        <f t="shared" si="46"/>
        <v/>
      </c>
    </row>
    <row r="163" spans="1:19" ht="32.4" customHeight="1">
      <c r="A163" s="88">
        <f>A158+1</f>
        <v>33</v>
      </c>
      <c r="B163" s="92"/>
      <c r="C163" s="85"/>
      <c r="D163" s="53" t="str">
        <f>IF(G163=0,"",C163&amp;"-"&amp;G163)</f>
        <v/>
      </c>
      <c r="E163" s="53" t="str">
        <f>IF(G163="","",IF(LEN(LEFT(C163,SEARCH("0",C163,1)-1))&lt;2,RIGHT(LEFT(C163,SEARCH("0",C163,1)-1),1)&amp;INT(RIGHT(C163,4)),RIGHT(LEFT(C163,SEARCH("0",C163,1)-1),1)&amp;INT(RIGHT(C163,4))))</f>
        <v/>
      </c>
      <c r="F163" s="2" t="str">
        <f>IF(G163=0,"",VLOOKUP(D163,[1]Worksheet!$A:$C,3,0))</f>
        <v/>
      </c>
      <c r="G163" s="13"/>
      <c r="H163" s="14"/>
      <c r="I163" s="24"/>
      <c r="J163" s="73" t="str">
        <f t="shared" si="48"/>
        <v/>
      </c>
      <c r="K163" s="68"/>
      <c r="L163" s="42">
        <f t="shared" si="50"/>
        <v>0</v>
      </c>
      <c r="M163" s="27">
        <f t="shared" ref="M163:M187" si="56">H163*L163</f>
        <v>0</v>
      </c>
      <c r="N163" s="96">
        <f>SUM(M163:M167)</f>
        <v>0</v>
      </c>
      <c r="O163" s="35">
        <f t="shared" ref="O163:O187" si="57">I163*L163</f>
        <v>0</v>
      </c>
      <c r="P163" s="99">
        <f>SUM(O163:O167)</f>
        <v>0</v>
      </c>
      <c r="Q163" s="103" t="str">
        <f t="shared" ref="Q163" si="58">IF(N163=P163,"",IF(N163&gt;P163,"Loss",IF(N163&lt;P163,"Over")))</f>
        <v/>
      </c>
      <c r="R163" s="84" t="str">
        <f t="shared" si="47"/>
        <v/>
      </c>
      <c r="S163" t="str">
        <f t="shared" ref="S163:S187" si="59">IF(H163&lt;&gt;I163,"F","")</f>
        <v/>
      </c>
    </row>
    <row r="164" spans="1:19" ht="32.4" customHeight="1">
      <c r="A164" s="89"/>
      <c r="B164" s="93"/>
      <c r="C164" s="86"/>
      <c r="D164" s="54" t="str">
        <f>IF(G164=0,"",C163&amp;"-"&amp;G164)</f>
        <v/>
      </c>
      <c r="E164" s="54" t="str">
        <f>IF(G164="","",IF(LEN(LEFT(C163,SEARCH("0",C163,1)-1))&lt;2,RIGHT(LEFT(C163,SEARCH("0",C163,1)-1),1)&amp;INT(RIGHT(C163,4)),RIGHT(LEFT(C163,SEARCH("0",C163,1)-1),1)&amp;INT(RIGHT(C163,4))))</f>
        <v/>
      </c>
      <c r="F164" s="5" t="str">
        <f>IF(G164=0,"",VLOOKUP(D164,[1]Worksheet!$A:$C,3,0))</f>
        <v/>
      </c>
      <c r="G164" s="6"/>
      <c r="H164" s="7"/>
      <c r="I164" s="21"/>
      <c r="J164" s="73" t="str">
        <f t="shared" si="48"/>
        <v/>
      </c>
      <c r="K164" s="69"/>
      <c r="L164" s="43">
        <f t="shared" si="50"/>
        <v>0</v>
      </c>
      <c r="M164" s="28">
        <f t="shared" si="56"/>
        <v>0</v>
      </c>
      <c r="N164" s="97"/>
      <c r="O164" s="32">
        <f t="shared" si="57"/>
        <v>0</v>
      </c>
      <c r="P164" s="100"/>
      <c r="Q164" s="104"/>
      <c r="R164" s="84" t="str">
        <f t="shared" si="47"/>
        <v/>
      </c>
      <c r="S164" t="str">
        <f t="shared" si="59"/>
        <v/>
      </c>
    </row>
    <row r="165" spans="1:19" ht="32.4" customHeight="1">
      <c r="A165" s="90"/>
      <c r="B165" s="94"/>
      <c r="C165" s="86"/>
      <c r="D165" s="54" t="str">
        <f>IF(G165=0,"",C163&amp;"-"&amp;G165)</f>
        <v/>
      </c>
      <c r="E165" s="54" t="str">
        <f>IF(G165="","",IF(LEN(LEFT(C163,SEARCH("0",C163,1)-1))&lt;2,RIGHT(LEFT(C163,SEARCH("0",C163,1)-1),1)&amp;INT(RIGHT(C163,4)),RIGHT(LEFT(C163,SEARCH("0",C163,1)-1),1)&amp;INT(RIGHT(C163,4))))</f>
        <v/>
      </c>
      <c r="F165" s="8" t="str">
        <f>IF(G165=0,"",VLOOKUP(D165,[1]Worksheet!$A:$C,3,0))</f>
        <v/>
      </c>
      <c r="G165" s="9"/>
      <c r="H165" s="10"/>
      <c r="I165" s="22"/>
      <c r="J165" s="73" t="str">
        <f t="shared" si="48"/>
        <v/>
      </c>
      <c r="K165" s="69"/>
      <c r="L165" s="44">
        <f t="shared" si="50"/>
        <v>0</v>
      </c>
      <c r="M165" s="28">
        <f t="shared" si="56"/>
        <v>0</v>
      </c>
      <c r="N165" s="97"/>
      <c r="O165" s="32">
        <f t="shared" si="57"/>
        <v>0</v>
      </c>
      <c r="P165" s="100"/>
      <c r="Q165" s="104"/>
      <c r="R165" s="84" t="str">
        <f t="shared" si="47"/>
        <v/>
      </c>
      <c r="S165" t="str">
        <f t="shared" si="59"/>
        <v/>
      </c>
    </row>
    <row r="166" spans="1:19" ht="32.4" customHeight="1">
      <c r="A166" s="90"/>
      <c r="B166" s="94"/>
      <c r="C166" s="86"/>
      <c r="D166" s="54" t="str">
        <f>IF(G166=0,"",C163&amp;"-"&amp;G166)</f>
        <v/>
      </c>
      <c r="E166" s="54" t="str">
        <f>IF(G166="","",IF(LEN(LEFT(C163,SEARCH("0",C163,1)-1))&lt;2,RIGHT(LEFT(C163,SEARCH("0",C163,1)-1),1)&amp;INT(RIGHT(C163,4)),RIGHT(LEFT(C163,SEARCH("0",C163,1)-1),1)&amp;INT(RIGHT(C163,4))))</f>
        <v/>
      </c>
      <c r="F166" s="8" t="str">
        <f>IF(G166=0,"",VLOOKUP(D166,[1]Worksheet!$A:$C,3,0))</f>
        <v/>
      </c>
      <c r="G166" s="10"/>
      <c r="H166" s="10"/>
      <c r="I166" s="22"/>
      <c r="J166" s="73" t="str">
        <f t="shared" si="48"/>
        <v/>
      </c>
      <c r="K166" s="70"/>
      <c r="L166" s="43">
        <f t="shared" si="50"/>
        <v>0</v>
      </c>
      <c r="M166" s="28">
        <f t="shared" si="56"/>
        <v>0</v>
      </c>
      <c r="N166" s="97"/>
      <c r="O166" s="32">
        <f t="shared" si="57"/>
        <v>0</v>
      </c>
      <c r="P166" s="100"/>
      <c r="Q166" s="104"/>
      <c r="R166" s="84" t="str">
        <f t="shared" si="47"/>
        <v/>
      </c>
      <c r="S166" t="str">
        <f t="shared" si="59"/>
        <v/>
      </c>
    </row>
    <row r="167" spans="1:19" ht="32.4" customHeight="1" thickBot="1">
      <c r="A167" s="91"/>
      <c r="B167" s="95"/>
      <c r="C167" s="87"/>
      <c r="D167" s="55" t="str">
        <f>IF(G167=0,"",C163&amp;"-"&amp;G167)</f>
        <v/>
      </c>
      <c r="E167" s="55" t="str">
        <f>IF(G167="","",IF(LEN(LEFT(C163,SEARCH("0",C163,1)-1))&lt;2,RIGHT(LEFT(C163,SEARCH("0",C163,1)-1),1)&amp;INT(RIGHT(C163,4)),RIGHT(LEFT(C163,SEARCH("0",C163,1)-1),1)&amp;INT(RIGHT(C163,4))))</f>
        <v/>
      </c>
      <c r="F167" s="11" t="str">
        <f>IF(G167=0,"",VLOOKUP(D167,[1]Worksheet!$A:$C,3,0))</f>
        <v/>
      </c>
      <c r="G167" s="12"/>
      <c r="H167" s="12"/>
      <c r="I167" s="23"/>
      <c r="J167" s="73" t="str">
        <f t="shared" si="48"/>
        <v/>
      </c>
      <c r="K167" s="71"/>
      <c r="L167" s="45">
        <f t="shared" si="50"/>
        <v>0</v>
      </c>
      <c r="M167" s="29">
        <f t="shared" si="56"/>
        <v>0</v>
      </c>
      <c r="N167" s="98"/>
      <c r="O167" s="36">
        <f t="shared" si="57"/>
        <v>0</v>
      </c>
      <c r="P167" s="101"/>
      <c r="Q167" s="105"/>
      <c r="R167" s="84" t="str">
        <f t="shared" si="47"/>
        <v/>
      </c>
      <c r="S167" t="str">
        <f t="shared" si="59"/>
        <v/>
      </c>
    </row>
    <row r="168" spans="1:19" ht="32.4" customHeight="1">
      <c r="A168" s="88">
        <f>A163+1</f>
        <v>34</v>
      </c>
      <c r="B168" s="102"/>
      <c r="C168" s="85"/>
      <c r="D168" s="53" t="str">
        <f>IF(G168=0,"",C168&amp;"-"&amp;G168)</f>
        <v/>
      </c>
      <c r="E168" s="53" t="str">
        <f>IF(G168="","",IF(LEN(LEFT(C168,SEARCH("0",C168,1)-1))&lt;2,RIGHT(LEFT(C168,SEARCH("0",C168,1)-1),1)&amp;INT(RIGHT(C168,4)),RIGHT(LEFT(C168,SEARCH("0",C168,1)-1),1)&amp;INT(RIGHT(C168,4))))</f>
        <v/>
      </c>
      <c r="F168" s="2" t="str">
        <f>IF(G168=0,"",VLOOKUP(D168,[1]Worksheet!$A:$C,3,0))</f>
        <v/>
      </c>
      <c r="G168" s="13"/>
      <c r="H168" s="14"/>
      <c r="I168" s="24"/>
      <c r="J168" s="73" t="str">
        <f t="shared" si="48"/>
        <v/>
      </c>
      <c r="K168" s="68"/>
      <c r="L168" s="42">
        <f t="shared" si="50"/>
        <v>0</v>
      </c>
      <c r="M168" s="27">
        <f t="shared" si="56"/>
        <v>0</v>
      </c>
      <c r="N168" s="96">
        <f>SUM(M168:M172)</f>
        <v>0</v>
      </c>
      <c r="O168" s="35">
        <f t="shared" si="57"/>
        <v>0</v>
      </c>
      <c r="P168" s="99">
        <f>SUM(O168:O172)</f>
        <v>0</v>
      </c>
      <c r="Q168" s="103" t="str">
        <f t="shared" ref="Q168" si="60">IF(N168=P168,"",IF(N168&gt;P168,"Loss",IF(N168&lt;P168,"Over")))</f>
        <v/>
      </c>
      <c r="R168" s="84" t="str">
        <f t="shared" si="47"/>
        <v/>
      </c>
      <c r="S168" t="str">
        <f t="shared" si="59"/>
        <v/>
      </c>
    </row>
    <row r="169" spans="1:19" ht="32.4" customHeight="1">
      <c r="A169" s="89"/>
      <c r="B169" s="93"/>
      <c r="C169" s="86"/>
      <c r="D169" s="54" t="str">
        <f>IF(G169=0,"",C168&amp;"-"&amp;G169)</f>
        <v/>
      </c>
      <c r="E169" s="54" t="str">
        <f>IF(G169="","",IF(LEN(LEFT(C168,SEARCH("0",C168,1)-1))&lt;2,RIGHT(LEFT(C168,SEARCH("0",C168,1)-1),1)&amp;INT(RIGHT(C168,4)),RIGHT(LEFT(C168,SEARCH("0",C168,1)-1),1)&amp;INT(RIGHT(C168,4))))</f>
        <v/>
      </c>
      <c r="F169" s="5" t="str">
        <f>IF(G169=0,"",VLOOKUP(D169,[1]Worksheet!$A:$C,3,0))</f>
        <v/>
      </c>
      <c r="G169" s="6"/>
      <c r="H169" s="7"/>
      <c r="I169" s="21"/>
      <c r="J169" s="73" t="str">
        <f t="shared" si="48"/>
        <v/>
      </c>
      <c r="K169" s="69"/>
      <c r="L169" s="43">
        <f t="shared" si="50"/>
        <v>0</v>
      </c>
      <c r="M169" s="28">
        <f t="shared" si="56"/>
        <v>0</v>
      </c>
      <c r="N169" s="97"/>
      <c r="O169" s="32">
        <f t="shared" si="57"/>
        <v>0</v>
      </c>
      <c r="P169" s="100"/>
      <c r="Q169" s="104"/>
      <c r="R169" s="84" t="str">
        <f t="shared" si="47"/>
        <v/>
      </c>
      <c r="S169" t="str">
        <f t="shared" si="59"/>
        <v/>
      </c>
    </row>
    <row r="170" spans="1:19" ht="32.4" customHeight="1">
      <c r="A170" s="90"/>
      <c r="B170" s="94"/>
      <c r="C170" s="86"/>
      <c r="D170" s="54" t="str">
        <f>IF(G170=0,"",C168&amp;"-"&amp;G170)</f>
        <v/>
      </c>
      <c r="E170" s="54" t="str">
        <f>IF(G170="","",IF(LEN(LEFT(C168,SEARCH("0",C168,1)-1))&lt;2,RIGHT(LEFT(C168,SEARCH("0",C168,1)-1),1)&amp;INT(RIGHT(C168,4)),RIGHT(LEFT(C168,SEARCH("0",C168,1)-1),1)&amp;INT(RIGHT(C168,4))))</f>
        <v/>
      </c>
      <c r="F170" s="8" t="str">
        <f>IF(G170=0,"",VLOOKUP(D170,[1]Worksheet!$A:$C,3,0))</f>
        <v/>
      </c>
      <c r="G170" s="9"/>
      <c r="H170" s="10"/>
      <c r="I170" s="22"/>
      <c r="J170" s="73" t="str">
        <f t="shared" si="48"/>
        <v/>
      </c>
      <c r="K170" s="69"/>
      <c r="L170" s="44">
        <f t="shared" si="50"/>
        <v>0</v>
      </c>
      <c r="M170" s="28">
        <f t="shared" si="56"/>
        <v>0</v>
      </c>
      <c r="N170" s="97"/>
      <c r="O170" s="32">
        <f t="shared" si="57"/>
        <v>0</v>
      </c>
      <c r="P170" s="100"/>
      <c r="Q170" s="104"/>
      <c r="R170" s="84" t="str">
        <f t="shared" si="47"/>
        <v/>
      </c>
      <c r="S170" t="str">
        <f t="shared" si="59"/>
        <v/>
      </c>
    </row>
    <row r="171" spans="1:19" ht="32.4" customHeight="1">
      <c r="A171" s="90"/>
      <c r="B171" s="94"/>
      <c r="C171" s="86"/>
      <c r="D171" s="54" t="str">
        <f>IF(G171=0,"",C168&amp;"-"&amp;G171)</f>
        <v/>
      </c>
      <c r="E171" s="54" t="str">
        <f>IF(G171="","",IF(LEN(LEFT(C168,SEARCH("0",C168,1)-1))&lt;2,RIGHT(LEFT(C168,SEARCH("0",C168,1)-1),1)&amp;INT(RIGHT(C168,4)),RIGHT(LEFT(C168,SEARCH("0",C168,1)-1),1)&amp;INT(RIGHT(C168,4))))</f>
        <v/>
      </c>
      <c r="F171" s="8" t="str">
        <f>IF(G171=0,"",VLOOKUP(D171,[1]Worksheet!$A:$C,3,0))</f>
        <v/>
      </c>
      <c r="G171" s="10"/>
      <c r="H171" s="10"/>
      <c r="I171" s="22"/>
      <c r="J171" s="73" t="str">
        <f t="shared" si="48"/>
        <v/>
      </c>
      <c r="K171" s="70"/>
      <c r="L171" s="43">
        <f t="shared" si="50"/>
        <v>0</v>
      </c>
      <c r="M171" s="28">
        <f t="shared" si="56"/>
        <v>0</v>
      </c>
      <c r="N171" s="97"/>
      <c r="O171" s="32">
        <f t="shared" si="57"/>
        <v>0</v>
      </c>
      <c r="P171" s="100"/>
      <c r="Q171" s="104"/>
      <c r="R171" s="84" t="str">
        <f t="shared" si="47"/>
        <v/>
      </c>
      <c r="S171" t="str">
        <f t="shared" si="59"/>
        <v/>
      </c>
    </row>
    <row r="172" spans="1:19" ht="32.4" customHeight="1" thickBot="1">
      <c r="A172" s="91"/>
      <c r="B172" s="95"/>
      <c r="C172" s="87"/>
      <c r="D172" s="55" t="str">
        <f>IF(G172=0,"",C168&amp;"-"&amp;G172)</f>
        <v/>
      </c>
      <c r="E172" s="55" t="str">
        <f>IF(G172="","",IF(LEN(LEFT(C168,SEARCH("0",C168,1)-1))&lt;2,RIGHT(LEFT(C168,SEARCH("0",C168,1)-1),1)&amp;INT(RIGHT(C168,4)),RIGHT(LEFT(C168,SEARCH("0",C168,1)-1),1)&amp;INT(RIGHT(C168,4))))</f>
        <v/>
      </c>
      <c r="F172" s="11" t="str">
        <f>IF(G172=0,"",VLOOKUP(D172,[1]Worksheet!$A:$C,3,0))</f>
        <v/>
      </c>
      <c r="G172" s="12"/>
      <c r="H172" s="12"/>
      <c r="I172" s="23"/>
      <c r="J172" s="73" t="str">
        <f t="shared" si="48"/>
        <v/>
      </c>
      <c r="K172" s="71"/>
      <c r="L172" s="45">
        <f t="shared" si="50"/>
        <v>0</v>
      </c>
      <c r="M172" s="29">
        <f t="shared" si="56"/>
        <v>0</v>
      </c>
      <c r="N172" s="98"/>
      <c r="O172" s="36">
        <f t="shared" si="57"/>
        <v>0</v>
      </c>
      <c r="P172" s="101"/>
      <c r="Q172" s="105"/>
      <c r="R172" s="84" t="str">
        <f t="shared" si="47"/>
        <v/>
      </c>
      <c r="S172" t="str">
        <f t="shared" si="59"/>
        <v/>
      </c>
    </row>
    <row r="173" spans="1:19" ht="32.4" customHeight="1">
      <c r="A173" s="88">
        <f>A168+1</f>
        <v>35</v>
      </c>
      <c r="B173" s="92"/>
      <c r="C173" s="85"/>
      <c r="D173" s="53" t="str">
        <f>IF(G173=0,"",C173&amp;"-"&amp;G173)</f>
        <v/>
      </c>
      <c r="E173" s="53" t="str">
        <f>IF(G173="","",IF(LEN(LEFT(C173,SEARCH("0",C173,1)-1))&lt;2,RIGHT(LEFT(C173,SEARCH("0",C173,1)-1),1)&amp;INT(RIGHT(C173,4)),RIGHT(LEFT(C173,SEARCH("0",C173,1)-1),1)&amp;INT(RIGHT(C173,4))))</f>
        <v/>
      </c>
      <c r="F173" s="2" t="str">
        <f>IF(G173=0,"",VLOOKUP(D173,[1]Worksheet!$A:$C,3,0))</f>
        <v/>
      </c>
      <c r="G173" s="13"/>
      <c r="H173" s="14"/>
      <c r="I173" s="24"/>
      <c r="J173" s="73" t="str">
        <f t="shared" si="48"/>
        <v/>
      </c>
      <c r="K173" s="68"/>
      <c r="L173" s="42">
        <f t="shared" si="50"/>
        <v>0</v>
      </c>
      <c r="M173" s="27">
        <f t="shared" si="56"/>
        <v>0</v>
      </c>
      <c r="N173" s="96">
        <f>SUM(M173:M177)</f>
        <v>0</v>
      </c>
      <c r="O173" s="35">
        <f t="shared" si="57"/>
        <v>0</v>
      </c>
      <c r="P173" s="99">
        <f>SUM(O173:O177)</f>
        <v>0</v>
      </c>
      <c r="Q173" s="103" t="str">
        <f t="shared" ref="Q173" si="61">IF(N173=P173,"",IF(N173&gt;P173,"Loss",IF(N173&lt;P173,"Over")))</f>
        <v/>
      </c>
      <c r="R173" s="84" t="str">
        <f t="shared" si="47"/>
        <v/>
      </c>
      <c r="S173" t="str">
        <f t="shared" si="59"/>
        <v/>
      </c>
    </row>
    <row r="174" spans="1:19" ht="32.4" customHeight="1">
      <c r="A174" s="89"/>
      <c r="B174" s="93"/>
      <c r="C174" s="86"/>
      <c r="D174" s="54" t="str">
        <f>IF(G174=0,"",C173&amp;"-"&amp;G174)</f>
        <v/>
      </c>
      <c r="E174" s="54" t="str">
        <f>IF(G174="","",IF(LEN(LEFT(C173,SEARCH("0",C173,1)-1))&lt;2,RIGHT(LEFT(C173,SEARCH("0",C173,1)-1),1)&amp;INT(RIGHT(C173,4)),RIGHT(LEFT(C173,SEARCH("0",C173,1)-1),1)&amp;INT(RIGHT(C173,4))))</f>
        <v/>
      </c>
      <c r="F174" s="5" t="str">
        <f>IF(G174=0,"",VLOOKUP(D174,[1]Worksheet!$A:$C,3,0))</f>
        <v/>
      </c>
      <c r="G174" s="6"/>
      <c r="H174" s="7"/>
      <c r="I174" s="21"/>
      <c r="J174" s="73" t="str">
        <f t="shared" si="48"/>
        <v/>
      </c>
      <c r="K174" s="69"/>
      <c r="L174" s="43">
        <f t="shared" si="50"/>
        <v>0</v>
      </c>
      <c r="M174" s="28">
        <f t="shared" si="56"/>
        <v>0</v>
      </c>
      <c r="N174" s="97"/>
      <c r="O174" s="32">
        <f t="shared" si="57"/>
        <v>0</v>
      </c>
      <c r="P174" s="100"/>
      <c r="Q174" s="104"/>
      <c r="R174" s="84" t="str">
        <f t="shared" si="47"/>
        <v/>
      </c>
      <c r="S174" t="str">
        <f t="shared" si="59"/>
        <v/>
      </c>
    </row>
    <row r="175" spans="1:19" ht="32.4" customHeight="1">
      <c r="A175" s="90"/>
      <c r="B175" s="94"/>
      <c r="C175" s="86"/>
      <c r="D175" s="54" t="str">
        <f>IF(G175=0,"",C173&amp;"-"&amp;G175)</f>
        <v/>
      </c>
      <c r="E175" s="54" t="str">
        <f>IF(G175="","",IF(LEN(LEFT(C173,SEARCH("0",C173,1)-1))&lt;2,RIGHT(LEFT(C173,SEARCH("0",C173,1)-1),1)&amp;INT(RIGHT(C173,4)),RIGHT(LEFT(C173,SEARCH("0",C173,1)-1),1)&amp;INT(RIGHT(C173,4))))</f>
        <v/>
      </c>
      <c r="F175" s="8" t="str">
        <f>IF(G175=0,"",VLOOKUP(D175,[1]Worksheet!$A:$C,3,0))</f>
        <v/>
      </c>
      <c r="G175" s="9"/>
      <c r="H175" s="10"/>
      <c r="I175" s="22"/>
      <c r="J175" s="73" t="str">
        <f t="shared" si="48"/>
        <v/>
      </c>
      <c r="K175" s="69"/>
      <c r="L175" s="44">
        <f t="shared" si="50"/>
        <v>0</v>
      </c>
      <c r="M175" s="28">
        <f t="shared" si="56"/>
        <v>0</v>
      </c>
      <c r="N175" s="97"/>
      <c r="O175" s="32">
        <f t="shared" si="57"/>
        <v>0</v>
      </c>
      <c r="P175" s="100"/>
      <c r="Q175" s="104"/>
      <c r="R175" s="84" t="str">
        <f t="shared" si="47"/>
        <v/>
      </c>
      <c r="S175" t="str">
        <f t="shared" si="59"/>
        <v/>
      </c>
    </row>
    <row r="176" spans="1:19" ht="32.4" customHeight="1">
      <c r="A176" s="90"/>
      <c r="B176" s="94"/>
      <c r="C176" s="86"/>
      <c r="D176" s="54" t="str">
        <f>IF(G176=0,"",C173&amp;"-"&amp;G176)</f>
        <v/>
      </c>
      <c r="E176" s="54" t="str">
        <f>IF(G176="","",IF(LEN(LEFT(C173,SEARCH("0",C173,1)-1))&lt;2,RIGHT(LEFT(C173,SEARCH("0",C173,1)-1),1)&amp;INT(RIGHT(C173,4)),RIGHT(LEFT(C173,SEARCH("0",C173,1)-1),1)&amp;INT(RIGHT(C173,4))))</f>
        <v/>
      </c>
      <c r="F176" s="8" t="str">
        <f>IF(G176=0,"",VLOOKUP(D176,[1]Worksheet!$A:$C,3,0))</f>
        <v/>
      </c>
      <c r="G176" s="10"/>
      <c r="H176" s="10"/>
      <c r="I176" s="22"/>
      <c r="J176" s="73" t="str">
        <f t="shared" si="48"/>
        <v/>
      </c>
      <c r="K176" s="70"/>
      <c r="L176" s="43">
        <f t="shared" si="50"/>
        <v>0</v>
      </c>
      <c r="M176" s="28">
        <f t="shared" si="56"/>
        <v>0</v>
      </c>
      <c r="N176" s="97"/>
      <c r="O176" s="32">
        <f t="shared" si="57"/>
        <v>0</v>
      </c>
      <c r="P176" s="100"/>
      <c r="Q176" s="104"/>
      <c r="R176" s="84" t="str">
        <f t="shared" si="47"/>
        <v/>
      </c>
      <c r="S176" t="str">
        <f t="shared" si="59"/>
        <v/>
      </c>
    </row>
    <row r="177" spans="1:19" ht="32.4" customHeight="1" thickBot="1">
      <c r="A177" s="91"/>
      <c r="B177" s="95"/>
      <c r="C177" s="87"/>
      <c r="D177" s="55" t="str">
        <f>IF(G177=0,"",C173&amp;"-"&amp;G177)</f>
        <v/>
      </c>
      <c r="E177" s="55" t="str">
        <f>IF(G177="","",IF(LEN(LEFT(C173,SEARCH("0",C173,1)-1))&lt;2,RIGHT(LEFT(C173,SEARCH("0",C173,1)-1),1)&amp;INT(RIGHT(C173,4)),RIGHT(LEFT(C173,SEARCH("0",C173,1)-1),1)&amp;INT(RIGHT(C173,4))))</f>
        <v/>
      </c>
      <c r="F177" s="11" t="str">
        <f>IF(G177=0,"",VLOOKUP(D177,[1]Worksheet!$A:$C,3,0))</f>
        <v/>
      </c>
      <c r="G177" s="12"/>
      <c r="H177" s="12"/>
      <c r="I177" s="23"/>
      <c r="J177" s="73" t="str">
        <f t="shared" si="48"/>
        <v/>
      </c>
      <c r="K177" s="71"/>
      <c r="L177" s="45">
        <f t="shared" si="50"/>
        <v>0</v>
      </c>
      <c r="M177" s="29">
        <f t="shared" si="56"/>
        <v>0</v>
      </c>
      <c r="N177" s="98"/>
      <c r="O177" s="36">
        <f t="shared" si="57"/>
        <v>0</v>
      </c>
      <c r="P177" s="101"/>
      <c r="Q177" s="105"/>
      <c r="R177" s="84" t="str">
        <f t="shared" si="47"/>
        <v/>
      </c>
      <c r="S177" t="str">
        <f t="shared" si="59"/>
        <v/>
      </c>
    </row>
    <row r="178" spans="1:19" ht="32.4" customHeight="1">
      <c r="A178" s="88">
        <f>A173+1</f>
        <v>36</v>
      </c>
      <c r="B178" s="92"/>
      <c r="C178" s="85"/>
      <c r="D178" s="53" t="str">
        <f>IF(G178=0,"",C178&amp;"-"&amp;G178)</f>
        <v/>
      </c>
      <c r="E178" s="53" t="str">
        <f>IF(G178="","",IF(LEN(LEFT(C178,SEARCH("0",C178,1)-1))&lt;2,RIGHT(LEFT(C178,SEARCH("0",C178,1)-1),1)&amp;INT(RIGHT(C178,4)),RIGHT(LEFT(C178,SEARCH("0",C178,1)-1),1)&amp;INT(RIGHT(C178,4))))</f>
        <v/>
      </c>
      <c r="F178" s="2" t="str">
        <f>IF(G178=0,"",VLOOKUP(D178,[1]Worksheet!$A:$C,3,0))</f>
        <v/>
      </c>
      <c r="G178" s="3"/>
      <c r="H178" s="4"/>
      <c r="I178" s="20"/>
      <c r="J178" s="73" t="str">
        <f t="shared" si="48"/>
        <v/>
      </c>
      <c r="K178" s="68"/>
      <c r="L178" s="42">
        <f t="shared" si="50"/>
        <v>0</v>
      </c>
      <c r="M178" s="27">
        <f t="shared" si="56"/>
        <v>0</v>
      </c>
      <c r="N178" s="96">
        <f>SUM(M178:M182)</f>
        <v>0</v>
      </c>
      <c r="O178" s="35">
        <f t="shared" si="57"/>
        <v>0</v>
      </c>
      <c r="P178" s="99">
        <f>SUM(O178:O182)</f>
        <v>0</v>
      </c>
      <c r="Q178" s="103" t="str">
        <f t="shared" ref="Q178" si="62">IF(N178=P178,"",IF(N178&gt;P178,"Loss",IF(N178&lt;P178,"Over")))</f>
        <v/>
      </c>
      <c r="R178" s="84" t="str">
        <f t="shared" si="47"/>
        <v/>
      </c>
      <c r="S178" t="str">
        <f t="shared" si="59"/>
        <v/>
      </c>
    </row>
    <row r="179" spans="1:19" ht="32.4" customHeight="1">
      <c r="A179" s="89"/>
      <c r="B179" s="93"/>
      <c r="C179" s="86"/>
      <c r="D179" s="54" t="str">
        <f>IF(G179=0,"",C178&amp;"-"&amp;G179)</f>
        <v/>
      </c>
      <c r="E179" s="54" t="str">
        <f>IF(G179="","",IF(LEN(LEFT(C178,SEARCH("0",C178,1)-1))&lt;2,RIGHT(LEFT(C178,SEARCH("0",C178,1)-1),1)&amp;INT(RIGHT(C178,4)),RIGHT(LEFT(C178,SEARCH("0",C178,1)-1),1)&amp;INT(RIGHT(C178,4))))</f>
        <v/>
      </c>
      <c r="F179" s="5" t="str">
        <f>IF(G179=0,"",VLOOKUP(D179,[1]Worksheet!$A:$C,3,0))</f>
        <v/>
      </c>
      <c r="G179" s="6"/>
      <c r="H179" s="7"/>
      <c r="I179" s="21"/>
      <c r="J179" s="73" t="str">
        <f t="shared" si="48"/>
        <v/>
      </c>
      <c r="K179" s="69"/>
      <c r="L179" s="43">
        <f t="shared" si="50"/>
        <v>0</v>
      </c>
      <c r="M179" s="28">
        <f t="shared" si="56"/>
        <v>0</v>
      </c>
      <c r="N179" s="97"/>
      <c r="O179" s="32">
        <f t="shared" si="57"/>
        <v>0</v>
      </c>
      <c r="P179" s="100"/>
      <c r="Q179" s="104"/>
      <c r="R179" s="84" t="str">
        <f t="shared" si="47"/>
        <v/>
      </c>
      <c r="S179" t="str">
        <f t="shared" si="59"/>
        <v/>
      </c>
    </row>
    <row r="180" spans="1:19" ht="32.4" customHeight="1">
      <c r="A180" s="90"/>
      <c r="B180" s="94"/>
      <c r="C180" s="86"/>
      <c r="D180" s="54" t="str">
        <f>IF(G180=0,"",C178&amp;"-"&amp;G180)</f>
        <v/>
      </c>
      <c r="E180" s="54" t="str">
        <f>IF(G180="","",IF(LEN(LEFT(C178,SEARCH("0",C178,1)-1))&lt;2,RIGHT(LEFT(C178,SEARCH("0",C178,1)-1),1)&amp;INT(RIGHT(C178,4)),RIGHT(LEFT(C178,SEARCH("0",C178,1)-1),1)&amp;INT(RIGHT(C178,4))))</f>
        <v/>
      </c>
      <c r="F180" s="8" t="str">
        <f>IF(G180=0,"",VLOOKUP(D180,[1]Worksheet!$A:$C,3,0))</f>
        <v/>
      </c>
      <c r="G180" s="9"/>
      <c r="H180" s="10"/>
      <c r="I180" s="22"/>
      <c r="J180" s="73" t="str">
        <f t="shared" si="48"/>
        <v/>
      </c>
      <c r="K180" s="69"/>
      <c r="L180" s="44">
        <f t="shared" si="50"/>
        <v>0</v>
      </c>
      <c r="M180" s="28">
        <f t="shared" si="56"/>
        <v>0</v>
      </c>
      <c r="N180" s="97"/>
      <c r="O180" s="32">
        <f t="shared" si="57"/>
        <v>0</v>
      </c>
      <c r="P180" s="100"/>
      <c r="Q180" s="104"/>
      <c r="R180" s="84" t="str">
        <f t="shared" si="47"/>
        <v/>
      </c>
      <c r="S180" t="str">
        <f t="shared" si="59"/>
        <v/>
      </c>
    </row>
    <row r="181" spans="1:19" ht="32.4" customHeight="1">
      <c r="A181" s="90"/>
      <c r="B181" s="94"/>
      <c r="C181" s="86"/>
      <c r="D181" s="54" t="str">
        <f>IF(G181=0,"",C178&amp;"-"&amp;G181)</f>
        <v/>
      </c>
      <c r="E181" s="54" t="str">
        <f>IF(G181="","",IF(LEN(LEFT(C178,SEARCH("0",C178,1)-1))&lt;2,RIGHT(LEFT(C178,SEARCH("0",C178,1)-1),1)&amp;INT(RIGHT(C178,4)),RIGHT(LEFT(C178,SEARCH("0",C178,1)-1),1)&amp;INT(RIGHT(C178,4))))</f>
        <v/>
      </c>
      <c r="F181" s="8" t="str">
        <f>IF(G181=0,"",VLOOKUP(D181,[1]Worksheet!$A:$C,3,0))</f>
        <v/>
      </c>
      <c r="G181" s="10"/>
      <c r="H181" s="10"/>
      <c r="I181" s="22"/>
      <c r="J181" s="73" t="str">
        <f t="shared" si="48"/>
        <v/>
      </c>
      <c r="K181" s="70"/>
      <c r="L181" s="43">
        <f t="shared" si="50"/>
        <v>0</v>
      </c>
      <c r="M181" s="28">
        <f t="shared" si="56"/>
        <v>0</v>
      </c>
      <c r="N181" s="97"/>
      <c r="O181" s="32">
        <f t="shared" si="57"/>
        <v>0</v>
      </c>
      <c r="P181" s="100"/>
      <c r="Q181" s="104"/>
      <c r="R181" s="84" t="str">
        <f t="shared" si="47"/>
        <v/>
      </c>
      <c r="S181" t="str">
        <f t="shared" si="59"/>
        <v/>
      </c>
    </row>
    <row r="182" spans="1:19" ht="32.4" customHeight="1" thickBot="1">
      <c r="A182" s="91"/>
      <c r="B182" s="95"/>
      <c r="C182" s="87"/>
      <c r="D182" s="55" t="str">
        <f>IF(G182=0,"",C178&amp;"-"&amp;G182)</f>
        <v/>
      </c>
      <c r="E182" s="55" t="str">
        <f>IF(G182="","",IF(LEN(LEFT(C178,SEARCH("0",C178,1)-1))&lt;2,RIGHT(LEFT(C178,SEARCH("0",C178,1)-1),1)&amp;INT(RIGHT(C178,4)),RIGHT(LEFT(C178,SEARCH("0",C178,1)-1),1)&amp;INT(RIGHT(C178,4))))</f>
        <v/>
      </c>
      <c r="F182" s="11" t="str">
        <f>IF(G182=0,"",VLOOKUP(D182,[1]Worksheet!$A:$C,3,0))</f>
        <v/>
      </c>
      <c r="G182" s="12"/>
      <c r="H182" s="12"/>
      <c r="I182" s="23"/>
      <c r="J182" s="73" t="str">
        <f t="shared" si="48"/>
        <v/>
      </c>
      <c r="K182" s="71"/>
      <c r="L182" s="45">
        <f t="shared" si="50"/>
        <v>0</v>
      </c>
      <c r="M182" s="29">
        <f t="shared" si="56"/>
        <v>0</v>
      </c>
      <c r="N182" s="98"/>
      <c r="O182" s="36">
        <f t="shared" si="57"/>
        <v>0</v>
      </c>
      <c r="P182" s="101"/>
      <c r="Q182" s="105"/>
      <c r="R182" s="84" t="str">
        <f t="shared" si="47"/>
        <v/>
      </c>
      <c r="S182" t="str">
        <f t="shared" si="59"/>
        <v/>
      </c>
    </row>
    <row r="183" spans="1:19" ht="32.4" customHeight="1">
      <c r="A183" s="88">
        <f>A178+1</f>
        <v>37</v>
      </c>
      <c r="B183" s="92"/>
      <c r="C183" s="85"/>
      <c r="D183" s="53" t="str">
        <f>IF(G183=0,"",C183&amp;"-"&amp;G183)</f>
        <v/>
      </c>
      <c r="E183" s="53" t="str">
        <f>IF(G183="","",IF(LEN(LEFT(C183,SEARCH("0",C183,1)-1))&lt;2,RIGHT(LEFT(C183,SEARCH("0",C183,1)-1),1)&amp;INT(RIGHT(C183,4)),RIGHT(LEFT(C183,SEARCH("0",C183,1)-1),1)&amp;INT(RIGHT(C183,4))))</f>
        <v/>
      </c>
      <c r="F183" s="2" t="str">
        <f>IF(G183=0,"",VLOOKUP(D183,[1]Worksheet!$A:$C,3,0))</f>
        <v/>
      </c>
      <c r="G183" s="3"/>
      <c r="H183" s="4"/>
      <c r="I183" s="20"/>
      <c r="J183" s="73" t="str">
        <f t="shared" si="48"/>
        <v/>
      </c>
      <c r="K183" s="68"/>
      <c r="L183" s="42">
        <f t="shared" si="50"/>
        <v>0</v>
      </c>
      <c r="M183" s="27">
        <f t="shared" si="56"/>
        <v>0</v>
      </c>
      <c r="N183" s="96">
        <f>SUM(M183:M187)</f>
        <v>0</v>
      </c>
      <c r="O183" s="35">
        <f t="shared" si="57"/>
        <v>0</v>
      </c>
      <c r="P183" s="99">
        <f>SUM(O183:O187)</f>
        <v>0</v>
      </c>
      <c r="Q183" s="103" t="str">
        <f t="shared" ref="Q183" si="63">IF(N183=P183,"",IF(N183&gt;P183,"Loss",IF(N183&lt;P183,"Over")))</f>
        <v/>
      </c>
      <c r="R183" s="84" t="str">
        <f t="shared" si="47"/>
        <v/>
      </c>
      <c r="S183" t="str">
        <f t="shared" si="59"/>
        <v/>
      </c>
    </row>
    <row r="184" spans="1:19" ht="32.4" customHeight="1">
      <c r="A184" s="89"/>
      <c r="B184" s="93"/>
      <c r="C184" s="86"/>
      <c r="D184" s="54" t="str">
        <f>IF(G184=0,"",C183&amp;"-"&amp;G184)</f>
        <v/>
      </c>
      <c r="E184" s="54" t="str">
        <f>IF(G184="","",IF(LEN(LEFT(C183,SEARCH("0",C183,1)-1))&lt;2,RIGHT(LEFT(C183,SEARCH("0",C183,1)-1),1)&amp;INT(RIGHT(C183,4)),RIGHT(LEFT(C183,SEARCH("0",C183,1)-1),1)&amp;INT(RIGHT(C183,4))))</f>
        <v/>
      </c>
      <c r="F184" s="5" t="str">
        <f>IF(G184=0,"",VLOOKUP(D184,[1]Worksheet!$A:$C,3,0))</f>
        <v/>
      </c>
      <c r="G184" s="6"/>
      <c r="H184" s="7"/>
      <c r="I184" s="21"/>
      <c r="J184" s="73" t="str">
        <f t="shared" si="48"/>
        <v/>
      </c>
      <c r="K184" s="69"/>
      <c r="L184" s="43">
        <f t="shared" si="50"/>
        <v>0</v>
      </c>
      <c r="M184" s="28">
        <f t="shared" si="56"/>
        <v>0</v>
      </c>
      <c r="N184" s="97"/>
      <c r="O184" s="32">
        <f t="shared" si="57"/>
        <v>0</v>
      </c>
      <c r="P184" s="100"/>
      <c r="Q184" s="104"/>
      <c r="R184" s="84" t="str">
        <f t="shared" si="47"/>
        <v/>
      </c>
      <c r="S184" t="str">
        <f t="shared" si="59"/>
        <v/>
      </c>
    </row>
    <row r="185" spans="1:19" ht="32.4" customHeight="1">
      <c r="A185" s="90"/>
      <c r="B185" s="94"/>
      <c r="C185" s="86"/>
      <c r="D185" s="54" t="str">
        <f>IF(G185=0,"",C183&amp;"-"&amp;G185)</f>
        <v/>
      </c>
      <c r="E185" s="54" t="str">
        <f>IF(G185="","",IF(LEN(LEFT(C183,SEARCH("0",C183,1)-1))&lt;2,RIGHT(LEFT(C183,SEARCH("0",C183,1)-1),1)&amp;INT(RIGHT(C183,4)),RIGHT(LEFT(C183,SEARCH("0",C183,1)-1),1)&amp;INT(RIGHT(C183,4))))</f>
        <v/>
      </c>
      <c r="F185" s="8" t="str">
        <f>IF(G185=0,"",VLOOKUP(D185,[1]Worksheet!$A:$C,3,0))</f>
        <v/>
      </c>
      <c r="G185" s="9"/>
      <c r="H185" s="10"/>
      <c r="I185" s="22"/>
      <c r="J185" s="73" t="str">
        <f t="shared" si="48"/>
        <v/>
      </c>
      <c r="K185" s="69"/>
      <c r="L185" s="44">
        <f t="shared" si="50"/>
        <v>0</v>
      </c>
      <c r="M185" s="28">
        <f t="shared" si="56"/>
        <v>0</v>
      </c>
      <c r="N185" s="97"/>
      <c r="O185" s="32">
        <f t="shared" si="57"/>
        <v>0</v>
      </c>
      <c r="P185" s="100"/>
      <c r="Q185" s="104"/>
      <c r="R185" s="84" t="str">
        <f t="shared" si="47"/>
        <v/>
      </c>
      <c r="S185" t="str">
        <f t="shared" si="59"/>
        <v/>
      </c>
    </row>
    <row r="186" spans="1:19" ht="32.4" customHeight="1" thickBot="1">
      <c r="A186" s="90"/>
      <c r="B186" s="94"/>
      <c r="C186" s="86"/>
      <c r="D186" s="54" t="str">
        <f>IF(G186=0,"",C183&amp;"-"&amp;G186)</f>
        <v/>
      </c>
      <c r="E186" s="54" t="str">
        <f>IF(G186="","",IF(LEN(LEFT(C183,SEARCH("0",C183,1)-1))&lt;2,RIGHT(LEFT(C183,SEARCH("0",C183,1)-1),1)&amp;INT(RIGHT(C183,4)),RIGHT(LEFT(C183,SEARCH("0",C183,1)-1),1)&amp;INT(RIGHT(C183,4))))</f>
        <v/>
      </c>
      <c r="F186" s="8" t="str">
        <f>IF(G186=0,"",VLOOKUP(D186,[1]Worksheet!$A:$C,3,0))</f>
        <v/>
      </c>
      <c r="G186" s="10"/>
      <c r="H186" s="10"/>
      <c r="I186" s="22"/>
      <c r="J186" s="73" t="str">
        <f t="shared" si="48"/>
        <v/>
      </c>
      <c r="K186" s="70"/>
      <c r="L186" s="43">
        <f t="shared" si="50"/>
        <v>0</v>
      </c>
      <c r="M186" s="28">
        <f t="shared" si="56"/>
        <v>0</v>
      </c>
      <c r="N186" s="97"/>
      <c r="O186" s="32">
        <f t="shared" si="57"/>
        <v>0</v>
      </c>
      <c r="P186" s="100"/>
      <c r="Q186" s="104"/>
      <c r="R186" s="84" t="str">
        <f t="shared" si="47"/>
        <v/>
      </c>
      <c r="S186" t="str">
        <f t="shared" si="59"/>
        <v/>
      </c>
    </row>
    <row r="187" spans="1:19" ht="32.4" customHeight="1" thickBot="1">
      <c r="A187" s="91"/>
      <c r="B187" s="95"/>
      <c r="C187" s="87"/>
      <c r="D187" s="55" t="str">
        <f>IF(G187=0,"",#REF!&amp;"-"&amp;G187)</f>
        <v/>
      </c>
      <c r="E187" s="53"/>
      <c r="F187" s="11" t="str">
        <f>IF(G187=0,"",VLOOKUP(D187,[1]Worksheet!$A:$C,3,0))</f>
        <v/>
      </c>
      <c r="G187" s="12"/>
      <c r="H187" s="12"/>
      <c r="I187" s="23"/>
      <c r="J187" s="73" t="str">
        <f t="shared" si="48"/>
        <v/>
      </c>
      <c r="K187" s="71"/>
      <c r="L187" s="45">
        <f t="shared" si="50"/>
        <v>0</v>
      </c>
      <c r="M187" s="29">
        <f t="shared" si="56"/>
        <v>0</v>
      </c>
      <c r="N187" s="98"/>
      <c r="O187" s="36">
        <f t="shared" si="57"/>
        <v>0</v>
      </c>
      <c r="P187" s="101"/>
      <c r="Q187" s="105"/>
      <c r="R187" s="84" t="str">
        <f t="shared" si="47"/>
        <v/>
      </c>
      <c r="S187" t="str">
        <f t="shared" si="59"/>
        <v/>
      </c>
    </row>
    <row r="188" spans="1:19" ht="32.4" customHeight="1">
      <c r="A188" s="56"/>
      <c r="B188" s="57"/>
      <c r="C188" s="66"/>
      <c r="D188" s="56"/>
      <c r="E188" s="56"/>
      <c r="F188" s="58"/>
      <c r="G188" s="15"/>
      <c r="H188" s="15"/>
      <c r="I188" s="25"/>
      <c r="J188" s="25"/>
      <c r="K188" s="16"/>
      <c r="L188" s="46"/>
      <c r="M188" s="30"/>
      <c r="N188" s="37"/>
      <c r="O188" s="33"/>
      <c r="P188" s="39"/>
      <c r="Q188" s="59"/>
      <c r="R188" s="59"/>
    </row>
    <row r="189" spans="1:19" ht="32.4" customHeight="1">
      <c r="A189" s="56"/>
      <c r="B189" s="57"/>
      <c r="C189" s="66"/>
      <c r="D189" s="56"/>
      <c r="E189" s="56"/>
      <c r="F189" s="58"/>
      <c r="G189" s="15"/>
      <c r="H189" s="15"/>
      <c r="I189" s="25"/>
      <c r="J189" s="25"/>
      <c r="K189" s="16"/>
      <c r="L189" s="46"/>
      <c r="M189" s="30"/>
      <c r="N189" s="37"/>
      <c r="O189" s="33"/>
      <c r="P189" s="39"/>
      <c r="Q189" s="59"/>
      <c r="R189" s="59"/>
    </row>
    <row r="190" spans="1:19" ht="32.4" customHeight="1">
      <c r="A190" s="56"/>
      <c r="B190" s="57"/>
      <c r="C190" s="66"/>
      <c r="D190" s="56"/>
      <c r="E190" s="56"/>
      <c r="F190" s="58"/>
      <c r="G190" s="15"/>
      <c r="H190" s="15"/>
      <c r="I190" s="25"/>
      <c r="J190" s="25"/>
      <c r="K190" s="16"/>
      <c r="L190" s="46"/>
      <c r="M190" s="30"/>
      <c r="N190" s="37"/>
      <c r="O190" s="33"/>
      <c r="P190" s="39"/>
      <c r="Q190" s="59"/>
      <c r="R190" s="59"/>
    </row>
    <row r="191" spans="1:19" ht="32.4" customHeight="1">
      <c r="A191" s="56"/>
      <c r="B191" s="57"/>
      <c r="C191" s="66"/>
      <c r="D191" s="56"/>
      <c r="E191" s="56"/>
      <c r="F191" s="58"/>
      <c r="G191" s="15"/>
      <c r="H191" s="15"/>
      <c r="I191" s="25"/>
      <c r="J191" s="25"/>
      <c r="K191" s="16"/>
      <c r="L191" s="46"/>
      <c r="M191" s="30"/>
      <c r="N191" s="37"/>
      <c r="O191" s="33"/>
      <c r="P191" s="39"/>
      <c r="Q191" s="59"/>
      <c r="R191" s="59"/>
    </row>
    <row r="192" spans="1:19" ht="32.4" customHeight="1">
      <c r="A192" s="56"/>
      <c r="B192" s="57"/>
      <c r="C192" s="66"/>
      <c r="D192" s="56"/>
      <c r="E192" s="56"/>
      <c r="F192" s="58"/>
      <c r="G192" s="15"/>
      <c r="H192" s="15"/>
      <c r="I192" s="25"/>
      <c r="J192" s="25"/>
      <c r="K192" s="16"/>
      <c r="L192" s="46"/>
      <c r="M192" s="30"/>
      <c r="N192" s="37"/>
      <c r="O192" s="33"/>
      <c r="P192" s="39"/>
      <c r="Q192" s="59"/>
      <c r="R192" s="59"/>
    </row>
    <row r="193" spans="1:18" ht="32.4" customHeight="1">
      <c r="A193" s="56"/>
      <c r="B193" s="57"/>
      <c r="C193" s="66"/>
      <c r="D193" s="56"/>
      <c r="E193" s="56"/>
      <c r="F193" s="58"/>
      <c r="G193" s="15"/>
      <c r="H193" s="15"/>
      <c r="I193" s="25"/>
      <c r="J193" s="25"/>
      <c r="K193" s="16"/>
      <c r="L193" s="46"/>
      <c r="M193" s="30"/>
      <c r="N193" s="37"/>
      <c r="O193" s="33"/>
      <c r="P193" s="39"/>
      <c r="Q193" s="59"/>
      <c r="R193" s="59"/>
    </row>
    <row r="194" spans="1:18" ht="32.4" customHeight="1">
      <c r="A194" s="56"/>
      <c r="B194" s="57"/>
      <c r="C194" s="66"/>
      <c r="D194" s="56"/>
      <c r="E194" s="56"/>
      <c r="F194" s="58"/>
      <c r="G194" s="15"/>
      <c r="H194" s="15"/>
      <c r="I194" s="25"/>
      <c r="J194" s="25"/>
      <c r="K194" s="16"/>
      <c r="L194" s="46"/>
      <c r="M194" s="30"/>
      <c r="N194" s="37"/>
      <c r="O194" s="33"/>
      <c r="P194" s="39"/>
      <c r="Q194" s="59"/>
      <c r="R194" s="59"/>
    </row>
    <row r="195" spans="1:18" ht="32.4" customHeight="1">
      <c r="A195" s="56"/>
      <c r="B195" s="57"/>
      <c r="C195" s="66"/>
      <c r="D195" s="56"/>
      <c r="E195" s="56"/>
      <c r="F195" s="58"/>
      <c r="G195" s="15"/>
      <c r="H195" s="15"/>
      <c r="I195" s="25"/>
      <c r="J195" s="25"/>
      <c r="K195" s="16"/>
      <c r="L195" s="46"/>
      <c r="M195" s="30"/>
      <c r="N195" s="37"/>
      <c r="O195" s="33"/>
      <c r="P195" s="39"/>
      <c r="Q195" s="59"/>
      <c r="R195" s="59"/>
    </row>
    <row r="196" spans="1:18" ht="32.4" customHeight="1">
      <c r="A196" s="56"/>
      <c r="B196" s="57"/>
      <c r="C196" s="66"/>
      <c r="D196" s="56"/>
      <c r="E196" s="56"/>
      <c r="F196" s="58"/>
      <c r="G196" s="15"/>
      <c r="H196" s="15"/>
      <c r="I196" s="25"/>
      <c r="J196" s="25"/>
      <c r="K196" s="16"/>
      <c r="L196" s="46"/>
      <c r="M196" s="30"/>
      <c r="N196" s="37"/>
      <c r="O196" s="33"/>
      <c r="P196" s="39"/>
      <c r="Q196" s="59"/>
      <c r="R196" s="59"/>
    </row>
    <row r="197" spans="1:18" ht="32.4" customHeight="1">
      <c r="A197" s="56"/>
      <c r="B197" s="57"/>
      <c r="C197" s="66"/>
      <c r="D197" s="56"/>
      <c r="E197" s="56"/>
      <c r="F197" s="58"/>
      <c r="G197" s="15"/>
      <c r="H197" s="15"/>
      <c r="I197" s="25"/>
      <c r="J197" s="25"/>
      <c r="K197" s="16"/>
      <c r="L197" s="46"/>
      <c r="M197" s="30"/>
      <c r="N197" s="37"/>
      <c r="O197" s="33"/>
      <c r="P197" s="39"/>
      <c r="Q197" s="59"/>
      <c r="R197" s="59"/>
    </row>
    <row r="198" spans="1:18" ht="32.4" customHeight="1">
      <c r="A198" s="56"/>
      <c r="B198" s="57"/>
      <c r="C198" s="66"/>
      <c r="D198" s="56"/>
      <c r="E198" s="56"/>
      <c r="F198" s="58"/>
      <c r="G198" s="15"/>
      <c r="H198" s="15"/>
      <c r="I198" s="25"/>
      <c r="J198" s="25"/>
      <c r="K198" s="16"/>
      <c r="L198" s="46"/>
      <c r="M198" s="30"/>
      <c r="N198" s="37"/>
      <c r="O198" s="33"/>
      <c r="P198" s="39"/>
      <c r="Q198" s="59"/>
      <c r="R198" s="59"/>
    </row>
    <row r="199" spans="1:18" ht="32.4" customHeight="1">
      <c r="A199" s="56"/>
      <c r="B199" s="57"/>
      <c r="C199" s="66"/>
      <c r="D199" s="56"/>
      <c r="E199" s="56"/>
      <c r="F199" s="58"/>
      <c r="G199" s="15"/>
      <c r="H199" s="15"/>
      <c r="I199" s="25"/>
      <c r="J199" s="25"/>
      <c r="K199" s="16"/>
      <c r="L199" s="46"/>
      <c r="M199" s="30"/>
      <c r="N199" s="37"/>
      <c r="O199" s="33"/>
      <c r="P199" s="39"/>
      <c r="Q199" s="59"/>
      <c r="R199" s="59"/>
    </row>
    <row r="200" spans="1:18" ht="32.4" customHeight="1">
      <c r="A200" s="56"/>
      <c r="B200" s="57"/>
      <c r="C200" s="66"/>
      <c r="D200" s="56"/>
      <c r="E200" s="56"/>
      <c r="F200" s="58"/>
      <c r="G200" s="15"/>
      <c r="H200" s="15"/>
      <c r="I200" s="25"/>
      <c r="J200" s="25"/>
      <c r="K200" s="16"/>
      <c r="L200" s="46"/>
      <c r="M200" s="30"/>
      <c r="N200" s="37"/>
      <c r="O200" s="33"/>
      <c r="P200" s="39"/>
      <c r="Q200" s="59"/>
      <c r="R200" s="59"/>
    </row>
    <row r="201" spans="1:18" ht="32.4" customHeight="1">
      <c r="A201" s="56"/>
      <c r="B201" s="57"/>
      <c r="C201" s="66"/>
      <c r="D201" s="56"/>
      <c r="E201" s="56"/>
      <c r="F201" s="58"/>
      <c r="G201" s="15"/>
      <c r="H201" s="15"/>
      <c r="I201" s="25"/>
      <c r="J201" s="25"/>
      <c r="K201" s="16"/>
      <c r="L201" s="46"/>
      <c r="M201" s="30"/>
      <c r="N201" s="37"/>
      <c r="O201" s="33"/>
      <c r="P201" s="39"/>
      <c r="Q201" s="59"/>
      <c r="R201" s="59"/>
    </row>
    <row r="202" spans="1:18" ht="32.4" customHeight="1">
      <c r="A202" s="56"/>
      <c r="B202" s="57"/>
      <c r="C202" s="66"/>
      <c r="D202" s="56"/>
      <c r="E202" s="56"/>
      <c r="F202" s="58"/>
      <c r="G202" s="15"/>
      <c r="H202" s="15"/>
      <c r="I202" s="25"/>
      <c r="J202" s="25"/>
      <c r="K202" s="16"/>
      <c r="L202" s="46"/>
      <c r="M202" s="30"/>
      <c r="N202" s="37"/>
      <c r="O202" s="33"/>
      <c r="P202" s="39"/>
      <c r="Q202" s="59"/>
      <c r="R202" s="59"/>
    </row>
    <row r="203" spans="1:18" ht="32.4" customHeight="1">
      <c r="A203" s="56"/>
      <c r="B203" s="57"/>
      <c r="C203" s="66"/>
      <c r="D203" s="56"/>
      <c r="E203" s="56"/>
      <c r="F203" s="58"/>
      <c r="G203" s="15"/>
      <c r="H203" s="15"/>
      <c r="I203" s="25"/>
      <c r="J203" s="25"/>
      <c r="K203" s="16"/>
      <c r="L203" s="46"/>
      <c r="M203" s="30"/>
      <c r="N203" s="37"/>
      <c r="O203" s="33"/>
      <c r="P203" s="39"/>
      <c r="Q203" s="59"/>
      <c r="R203" s="59"/>
    </row>
    <row r="204" spans="1:18" ht="32.4" customHeight="1">
      <c r="A204" s="56"/>
      <c r="B204" s="57"/>
      <c r="C204" s="66"/>
      <c r="D204" s="56"/>
      <c r="E204" s="56"/>
      <c r="F204" s="58"/>
      <c r="G204" s="15"/>
      <c r="H204" s="15"/>
      <c r="I204" s="25"/>
      <c r="J204" s="25"/>
      <c r="K204" s="16"/>
      <c r="L204" s="46"/>
      <c r="M204" s="30"/>
      <c r="N204" s="37"/>
      <c r="O204" s="33"/>
      <c r="P204" s="39"/>
      <c r="Q204" s="59"/>
      <c r="R204" s="59"/>
    </row>
    <row r="205" spans="1:18" ht="32.4" customHeight="1">
      <c r="A205" s="56"/>
      <c r="B205" s="57"/>
      <c r="C205" s="66"/>
      <c r="D205" s="56"/>
      <c r="E205" s="56"/>
      <c r="F205" s="58"/>
      <c r="G205" s="15"/>
      <c r="H205" s="15"/>
      <c r="I205" s="25"/>
      <c r="J205" s="25"/>
      <c r="K205" s="16"/>
      <c r="L205" s="46"/>
      <c r="M205" s="30"/>
      <c r="N205" s="37"/>
      <c r="O205" s="33"/>
      <c r="P205" s="39"/>
      <c r="Q205" s="59"/>
      <c r="R205" s="59"/>
    </row>
    <row r="206" spans="1:18" ht="32.4" customHeight="1">
      <c r="A206" s="56"/>
      <c r="B206" s="57"/>
      <c r="C206" s="66"/>
      <c r="D206" s="56"/>
      <c r="E206" s="56"/>
      <c r="F206" s="58"/>
      <c r="G206" s="15"/>
      <c r="H206" s="15"/>
      <c r="I206" s="25"/>
      <c r="J206" s="25"/>
      <c r="K206" s="16"/>
      <c r="L206" s="46"/>
      <c r="M206" s="30"/>
      <c r="N206" s="37"/>
      <c r="O206" s="33"/>
      <c r="P206" s="39"/>
      <c r="Q206" s="59"/>
      <c r="R206" s="59"/>
    </row>
    <row r="207" spans="1:18" ht="32.4" customHeight="1">
      <c r="A207" s="56"/>
      <c r="B207" s="57"/>
      <c r="C207" s="66"/>
      <c r="D207" s="56"/>
      <c r="E207" s="56"/>
      <c r="F207" s="58"/>
      <c r="G207" s="15"/>
      <c r="H207" s="15"/>
      <c r="I207" s="25"/>
      <c r="J207" s="25"/>
      <c r="K207" s="16"/>
      <c r="L207" s="46"/>
      <c r="M207" s="30"/>
      <c r="N207" s="37"/>
      <c r="O207" s="33"/>
      <c r="P207" s="39"/>
      <c r="Q207" s="59"/>
      <c r="R207" s="59"/>
    </row>
    <row r="208" spans="1:18" ht="32.4" customHeight="1">
      <c r="A208" s="56"/>
      <c r="B208" s="57"/>
      <c r="C208" s="66"/>
      <c r="D208" s="56"/>
      <c r="E208" s="56"/>
      <c r="F208" s="58"/>
      <c r="G208" s="15"/>
      <c r="H208" s="15"/>
      <c r="I208" s="25"/>
      <c r="J208" s="25"/>
      <c r="K208" s="16"/>
      <c r="L208" s="46"/>
      <c r="M208" s="30"/>
      <c r="N208" s="37"/>
      <c r="O208" s="33"/>
      <c r="P208" s="39"/>
      <c r="Q208" s="59"/>
      <c r="R208" s="59"/>
    </row>
    <row r="209" spans="1:18" ht="32.4" customHeight="1">
      <c r="A209" s="56"/>
      <c r="B209" s="57"/>
      <c r="C209" s="66"/>
      <c r="D209" s="56"/>
      <c r="E209" s="56"/>
      <c r="F209" s="58"/>
      <c r="G209" s="15"/>
      <c r="H209" s="15"/>
      <c r="I209" s="25"/>
      <c r="J209" s="25"/>
      <c r="K209" s="16"/>
      <c r="L209" s="46"/>
      <c r="M209" s="30"/>
      <c r="N209" s="37"/>
      <c r="O209" s="33"/>
      <c r="P209" s="39"/>
      <c r="Q209" s="59"/>
      <c r="R209" s="59"/>
    </row>
    <row r="210" spans="1:18" ht="32.4" customHeight="1">
      <c r="A210" s="56"/>
      <c r="B210" s="57"/>
      <c r="C210" s="66"/>
      <c r="D210" s="56"/>
      <c r="E210" s="56"/>
      <c r="F210" s="58"/>
      <c r="G210" s="15"/>
      <c r="H210" s="15"/>
      <c r="I210" s="25"/>
      <c r="J210" s="25"/>
      <c r="K210" s="16"/>
      <c r="L210" s="46"/>
      <c r="M210" s="30"/>
      <c r="N210" s="37"/>
      <c r="O210" s="33"/>
      <c r="P210" s="39"/>
      <c r="Q210" s="59"/>
      <c r="R210" s="59"/>
    </row>
    <row r="211" spans="1:18" ht="32.4" customHeight="1">
      <c r="A211" s="56"/>
      <c r="B211" s="57"/>
      <c r="C211" s="66"/>
      <c r="D211" s="56"/>
      <c r="E211" s="56"/>
      <c r="F211" s="58"/>
      <c r="G211" s="15"/>
      <c r="H211" s="15"/>
      <c r="I211" s="25"/>
      <c r="J211" s="25"/>
      <c r="K211" s="16"/>
      <c r="L211" s="46"/>
      <c r="M211" s="30"/>
      <c r="N211" s="37"/>
      <c r="O211" s="33"/>
      <c r="P211" s="39"/>
      <c r="Q211" s="59"/>
      <c r="R211" s="59"/>
    </row>
    <row r="212" spans="1:18" ht="32.4" customHeight="1">
      <c r="A212" s="56"/>
      <c r="B212" s="57"/>
      <c r="C212" s="66"/>
      <c r="D212" s="56"/>
      <c r="E212" s="56"/>
      <c r="F212" s="58"/>
      <c r="G212" s="15"/>
      <c r="H212" s="15"/>
      <c r="I212" s="25"/>
      <c r="J212" s="25"/>
      <c r="K212" s="16"/>
      <c r="L212" s="46"/>
      <c r="M212" s="30"/>
      <c r="N212" s="37"/>
      <c r="O212" s="33"/>
      <c r="P212" s="39"/>
      <c r="Q212" s="59"/>
      <c r="R212" s="59"/>
    </row>
    <row r="213" spans="1:18" ht="32.4" customHeight="1">
      <c r="A213" s="56"/>
      <c r="B213" s="57"/>
      <c r="C213" s="66"/>
      <c r="D213" s="56"/>
      <c r="E213" s="56"/>
      <c r="F213" s="58"/>
      <c r="G213" s="15"/>
      <c r="H213" s="15"/>
      <c r="I213" s="25"/>
      <c r="J213" s="25"/>
      <c r="K213" s="16"/>
      <c r="L213" s="46"/>
      <c r="M213" s="30"/>
      <c r="N213" s="37"/>
      <c r="O213" s="33"/>
      <c r="P213" s="39"/>
      <c r="Q213" s="59"/>
      <c r="R213" s="59"/>
    </row>
    <row r="214" spans="1:18" ht="32.4" customHeight="1">
      <c r="A214" s="56"/>
      <c r="B214" s="57"/>
      <c r="C214" s="66"/>
      <c r="D214" s="56"/>
      <c r="E214" s="56"/>
      <c r="F214" s="58"/>
      <c r="G214" s="15"/>
      <c r="H214" s="15"/>
      <c r="I214" s="25"/>
      <c r="J214" s="25"/>
      <c r="K214" s="16"/>
      <c r="L214" s="46"/>
      <c r="M214" s="30"/>
      <c r="N214" s="37"/>
      <c r="O214" s="33"/>
      <c r="P214" s="39"/>
      <c r="Q214" s="59"/>
      <c r="R214" s="59"/>
    </row>
    <row r="215" spans="1:18" ht="32.4" customHeight="1">
      <c r="A215" s="56"/>
      <c r="B215" s="57"/>
      <c r="C215" s="66"/>
      <c r="D215" s="56"/>
      <c r="E215" s="56"/>
      <c r="F215" s="58"/>
      <c r="G215" s="15"/>
      <c r="H215" s="15"/>
      <c r="I215" s="25"/>
      <c r="J215" s="25"/>
      <c r="K215" s="16"/>
      <c r="L215" s="46"/>
      <c r="M215" s="30"/>
      <c r="N215" s="37"/>
      <c r="O215" s="33"/>
      <c r="P215" s="39"/>
      <c r="Q215" s="59"/>
      <c r="R215" s="59"/>
    </row>
    <row r="216" spans="1:18" ht="32.4" customHeight="1">
      <c r="A216" s="56"/>
      <c r="B216" s="57"/>
      <c r="C216" s="66"/>
      <c r="D216" s="56"/>
      <c r="E216" s="56"/>
      <c r="F216" s="58"/>
      <c r="G216" s="15"/>
      <c r="H216" s="15"/>
      <c r="I216" s="25"/>
      <c r="J216" s="25"/>
      <c r="K216" s="16"/>
      <c r="L216" s="46"/>
      <c r="M216" s="30"/>
      <c r="N216" s="37"/>
      <c r="O216" s="33"/>
      <c r="P216" s="39"/>
      <c r="Q216" s="59"/>
      <c r="R216" s="59"/>
    </row>
    <row r="217" spans="1:18" ht="32.4" customHeight="1">
      <c r="A217" s="56"/>
      <c r="B217" s="57"/>
      <c r="C217" s="66"/>
      <c r="D217" s="56"/>
      <c r="E217" s="56"/>
      <c r="F217" s="58"/>
      <c r="G217" s="15"/>
      <c r="H217" s="15"/>
      <c r="I217" s="25"/>
      <c r="J217" s="25"/>
      <c r="K217" s="16"/>
      <c r="L217" s="46"/>
      <c r="M217" s="30"/>
      <c r="N217" s="37"/>
      <c r="O217" s="33"/>
      <c r="P217" s="39"/>
      <c r="Q217" s="59"/>
      <c r="R217" s="59"/>
    </row>
    <row r="218" spans="1:18" ht="32.4" customHeight="1">
      <c r="A218" s="56"/>
      <c r="B218" s="57"/>
      <c r="C218" s="66"/>
      <c r="D218" s="56"/>
      <c r="E218" s="56"/>
      <c r="F218" s="58"/>
      <c r="G218" s="15"/>
      <c r="H218" s="15"/>
      <c r="I218" s="25"/>
      <c r="J218" s="25"/>
      <c r="K218" s="16"/>
      <c r="L218" s="46"/>
      <c r="M218" s="30"/>
      <c r="N218" s="37"/>
      <c r="O218" s="33"/>
      <c r="P218" s="39"/>
      <c r="Q218" s="59"/>
      <c r="R218" s="59"/>
    </row>
    <row r="219" spans="1:18" ht="32.4" customHeight="1">
      <c r="A219" s="56"/>
      <c r="B219" s="57"/>
      <c r="C219" s="66"/>
      <c r="D219" s="56"/>
      <c r="E219" s="56"/>
      <c r="F219" s="58"/>
      <c r="G219" s="15"/>
      <c r="H219" s="15"/>
      <c r="I219" s="25"/>
      <c r="J219" s="25"/>
      <c r="K219" s="16"/>
      <c r="L219" s="46"/>
      <c r="M219" s="30"/>
      <c r="N219" s="37"/>
      <c r="O219" s="33"/>
      <c r="P219" s="39"/>
      <c r="Q219" s="59"/>
      <c r="R219" s="59"/>
    </row>
    <row r="220" spans="1:18" ht="32.4" customHeight="1">
      <c r="A220" s="56"/>
      <c r="B220" s="57"/>
      <c r="C220" s="66"/>
      <c r="D220" s="56"/>
      <c r="E220" s="56"/>
      <c r="F220" s="58"/>
      <c r="G220" s="15"/>
      <c r="H220" s="15"/>
      <c r="I220" s="25"/>
      <c r="J220" s="25"/>
      <c r="K220" s="16"/>
      <c r="L220" s="46"/>
      <c r="M220" s="30"/>
      <c r="N220" s="37"/>
      <c r="O220" s="33"/>
      <c r="P220" s="39"/>
      <c r="Q220" s="59"/>
      <c r="R220" s="59"/>
    </row>
    <row r="221" spans="1:18" ht="32.4" customHeight="1">
      <c r="A221" s="56"/>
      <c r="B221" s="57"/>
      <c r="C221" s="66"/>
      <c r="D221" s="56"/>
      <c r="E221" s="56"/>
      <c r="F221" s="58"/>
      <c r="G221" s="15"/>
      <c r="H221" s="15"/>
      <c r="I221" s="25"/>
      <c r="J221" s="25"/>
      <c r="K221" s="16"/>
      <c r="L221" s="46"/>
      <c r="M221" s="30"/>
      <c r="N221" s="37"/>
      <c r="O221" s="33"/>
      <c r="P221" s="39"/>
      <c r="Q221" s="59"/>
      <c r="R221" s="59"/>
    </row>
    <row r="222" spans="1:18" ht="32.4" customHeight="1">
      <c r="A222" s="56"/>
      <c r="B222" s="57"/>
      <c r="C222" s="66"/>
      <c r="D222" s="56"/>
      <c r="E222" s="56"/>
      <c r="F222" s="58"/>
      <c r="G222" s="15"/>
      <c r="H222" s="15"/>
      <c r="I222" s="25"/>
      <c r="J222" s="25"/>
      <c r="K222" s="16"/>
      <c r="L222" s="46"/>
      <c r="M222" s="30"/>
      <c r="N222" s="37"/>
      <c r="O222" s="33"/>
      <c r="P222" s="39"/>
      <c r="Q222" s="59"/>
      <c r="R222" s="59"/>
    </row>
    <row r="223" spans="1:18" ht="32.4" customHeight="1">
      <c r="A223" s="56"/>
      <c r="B223" s="57"/>
      <c r="C223" s="66"/>
      <c r="D223" s="56"/>
      <c r="E223" s="56"/>
      <c r="F223" s="58"/>
      <c r="G223" s="15"/>
      <c r="H223" s="15"/>
      <c r="I223" s="25"/>
      <c r="J223" s="25"/>
      <c r="K223" s="16"/>
      <c r="L223" s="46"/>
      <c r="M223" s="30"/>
      <c r="N223" s="37"/>
      <c r="O223" s="33"/>
      <c r="P223" s="39"/>
      <c r="Q223" s="59"/>
      <c r="R223" s="59"/>
    </row>
    <row r="224" spans="1:18" ht="32.4" customHeight="1">
      <c r="A224" s="56"/>
      <c r="B224" s="57"/>
      <c r="C224" s="66"/>
      <c r="D224" s="56"/>
      <c r="E224" s="56"/>
      <c r="F224" s="58"/>
      <c r="G224" s="15"/>
      <c r="H224" s="15"/>
      <c r="I224" s="25"/>
      <c r="J224" s="25"/>
      <c r="K224" s="16"/>
      <c r="L224" s="46"/>
      <c r="M224" s="30"/>
      <c r="N224" s="37"/>
      <c r="O224" s="33"/>
      <c r="P224" s="39"/>
      <c r="Q224" s="59"/>
      <c r="R224" s="59"/>
    </row>
    <row r="225" spans="1:18" ht="32.4" customHeight="1">
      <c r="A225" s="56"/>
      <c r="B225" s="57"/>
      <c r="C225" s="66"/>
      <c r="D225" s="56"/>
      <c r="E225" s="56"/>
      <c r="F225" s="58"/>
      <c r="G225" s="15"/>
      <c r="H225" s="15"/>
      <c r="I225" s="25"/>
      <c r="J225" s="25"/>
      <c r="K225" s="16"/>
      <c r="L225" s="46"/>
      <c r="M225" s="30"/>
      <c r="N225" s="37"/>
      <c r="O225" s="33"/>
      <c r="P225" s="39"/>
      <c r="Q225" s="59"/>
      <c r="R225" s="59"/>
    </row>
    <row r="226" spans="1:18" ht="32.4" customHeight="1">
      <c r="A226" s="56"/>
      <c r="B226" s="57"/>
      <c r="C226" s="66"/>
      <c r="D226" s="56"/>
      <c r="E226" s="56"/>
      <c r="F226" s="58"/>
      <c r="G226" s="15"/>
      <c r="H226" s="15"/>
      <c r="I226" s="25"/>
      <c r="J226" s="25"/>
      <c r="K226" s="16"/>
      <c r="L226" s="46"/>
      <c r="M226" s="30"/>
      <c r="N226" s="37"/>
      <c r="O226" s="33"/>
      <c r="P226" s="39"/>
      <c r="Q226" s="59"/>
      <c r="R226" s="59"/>
    </row>
    <row r="227" spans="1:18" ht="32.4" customHeight="1">
      <c r="A227" s="56"/>
      <c r="B227" s="57"/>
      <c r="C227" s="66"/>
      <c r="D227" s="56"/>
      <c r="E227" s="56"/>
      <c r="F227" s="58"/>
      <c r="G227" s="15"/>
      <c r="H227" s="15"/>
      <c r="I227" s="25"/>
      <c r="J227" s="25"/>
      <c r="K227" s="16"/>
      <c r="L227" s="46"/>
      <c r="M227" s="30"/>
      <c r="N227" s="37"/>
      <c r="O227" s="33"/>
      <c r="P227" s="39"/>
      <c r="Q227" s="59"/>
      <c r="R227" s="59"/>
    </row>
    <row r="228" spans="1:18" ht="32.4" customHeight="1">
      <c r="A228" s="56"/>
      <c r="B228" s="57"/>
      <c r="C228" s="66"/>
      <c r="D228" s="56"/>
      <c r="E228" s="56"/>
      <c r="F228" s="58"/>
      <c r="G228" s="15"/>
      <c r="H228" s="15"/>
      <c r="I228" s="25"/>
      <c r="J228" s="25"/>
      <c r="K228" s="16"/>
      <c r="L228" s="46"/>
      <c r="M228" s="30"/>
      <c r="N228" s="37"/>
      <c r="O228" s="33"/>
      <c r="P228" s="39"/>
      <c r="Q228" s="59"/>
      <c r="R228" s="59"/>
    </row>
    <row r="229" spans="1:18" ht="32.4" customHeight="1">
      <c r="A229" s="56"/>
      <c r="B229" s="57"/>
      <c r="C229" s="66"/>
      <c r="D229" s="56"/>
      <c r="E229" s="56"/>
      <c r="F229" s="58"/>
      <c r="G229" s="15"/>
      <c r="H229" s="15"/>
      <c r="I229" s="25"/>
      <c r="J229" s="25"/>
      <c r="K229" s="16"/>
      <c r="L229" s="46"/>
      <c r="M229" s="30"/>
      <c r="N229" s="37"/>
      <c r="O229" s="33"/>
      <c r="P229" s="39"/>
      <c r="Q229" s="59"/>
      <c r="R229" s="59"/>
    </row>
    <row r="230" spans="1:18" ht="32.4" customHeight="1">
      <c r="A230" s="56"/>
      <c r="B230" s="57"/>
      <c r="C230" s="66"/>
      <c r="D230" s="56"/>
      <c r="E230" s="56"/>
      <c r="F230" s="58"/>
      <c r="G230" s="15"/>
      <c r="H230" s="15"/>
      <c r="I230" s="25"/>
      <c r="J230" s="25"/>
      <c r="K230" s="16"/>
      <c r="L230" s="46"/>
      <c r="M230" s="30"/>
      <c r="N230" s="37"/>
      <c r="O230" s="33"/>
      <c r="P230" s="39"/>
      <c r="Q230" s="59"/>
      <c r="R230" s="59"/>
    </row>
    <row r="231" spans="1:18" ht="32.4" customHeight="1">
      <c r="A231" s="56"/>
      <c r="B231" s="57"/>
      <c r="C231" s="66"/>
      <c r="D231" s="56"/>
      <c r="E231" s="56"/>
      <c r="F231" s="58"/>
      <c r="G231" s="15"/>
      <c r="H231" s="15"/>
      <c r="I231" s="25"/>
      <c r="J231" s="25"/>
      <c r="K231" s="16"/>
      <c r="L231" s="46"/>
      <c r="M231" s="30"/>
      <c r="N231" s="37"/>
      <c r="O231" s="33"/>
      <c r="P231" s="39"/>
      <c r="Q231" s="59"/>
      <c r="R231" s="59"/>
    </row>
    <row r="232" spans="1:18" ht="32.4" customHeight="1">
      <c r="A232" s="56"/>
      <c r="B232" s="57"/>
      <c r="C232" s="66"/>
      <c r="D232" s="56"/>
      <c r="E232" s="56"/>
      <c r="F232" s="58"/>
      <c r="G232" s="15"/>
      <c r="H232" s="15"/>
      <c r="I232" s="25"/>
      <c r="J232" s="25"/>
      <c r="K232" s="16"/>
      <c r="L232" s="46"/>
      <c r="M232" s="30"/>
      <c r="N232" s="37"/>
      <c r="O232" s="33"/>
      <c r="P232" s="39"/>
      <c r="Q232" s="59"/>
      <c r="R232" s="59"/>
    </row>
    <row r="233" spans="1:18" ht="32.4" customHeight="1">
      <c r="A233" s="56"/>
      <c r="B233" s="57"/>
      <c r="C233" s="66"/>
      <c r="D233" s="56"/>
      <c r="E233" s="56"/>
      <c r="F233" s="58"/>
      <c r="G233" s="15"/>
      <c r="H233" s="15"/>
      <c r="I233" s="25"/>
      <c r="J233" s="25"/>
      <c r="K233" s="16"/>
      <c r="L233" s="46"/>
      <c r="M233" s="30"/>
      <c r="N233" s="37"/>
      <c r="O233" s="33"/>
      <c r="P233" s="39"/>
      <c r="Q233" s="59"/>
      <c r="R233" s="59"/>
    </row>
    <row r="234" spans="1:18" ht="32.4" customHeight="1">
      <c r="A234" s="56"/>
      <c r="B234" s="57"/>
      <c r="C234" s="66"/>
      <c r="D234" s="56"/>
      <c r="E234" s="56"/>
      <c r="F234" s="58"/>
      <c r="G234" s="15"/>
      <c r="H234" s="15"/>
      <c r="I234" s="25"/>
      <c r="J234" s="25"/>
      <c r="K234" s="16"/>
      <c r="L234" s="46"/>
      <c r="M234" s="30"/>
      <c r="N234" s="37"/>
      <c r="O234" s="33"/>
      <c r="P234" s="39"/>
      <c r="Q234" s="59"/>
      <c r="R234" s="59"/>
    </row>
    <row r="235" spans="1:18" ht="32.4" customHeight="1">
      <c r="A235" s="56"/>
      <c r="B235" s="57"/>
      <c r="C235" s="66"/>
      <c r="D235" s="56"/>
      <c r="E235" s="56"/>
      <c r="F235" s="58"/>
      <c r="G235" s="15"/>
      <c r="H235" s="15"/>
      <c r="I235" s="25"/>
      <c r="J235" s="25"/>
      <c r="K235" s="16"/>
      <c r="L235" s="46"/>
      <c r="M235" s="30"/>
      <c r="N235" s="37"/>
      <c r="O235" s="33"/>
      <c r="P235" s="39"/>
      <c r="Q235" s="59"/>
      <c r="R235" s="59"/>
    </row>
    <row r="236" spans="1:18" ht="32.4" customHeight="1">
      <c r="A236" s="56"/>
      <c r="B236" s="57"/>
      <c r="C236" s="66"/>
      <c r="D236" s="56"/>
      <c r="E236" s="56"/>
      <c r="F236" s="58"/>
      <c r="G236" s="15"/>
      <c r="H236" s="15"/>
      <c r="I236" s="25"/>
      <c r="J236" s="25"/>
      <c r="K236" s="16"/>
      <c r="L236" s="46"/>
      <c r="M236" s="30"/>
      <c r="N236" s="37"/>
      <c r="O236" s="33"/>
      <c r="P236" s="39"/>
      <c r="Q236" s="59"/>
      <c r="R236" s="59"/>
    </row>
    <row r="237" spans="1:18" ht="32.4" customHeight="1">
      <c r="A237" s="56"/>
      <c r="B237" s="57"/>
      <c r="C237" s="66"/>
      <c r="D237" s="56"/>
      <c r="E237" s="56"/>
      <c r="F237" s="58"/>
      <c r="G237" s="15"/>
      <c r="H237" s="15"/>
      <c r="I237" s="25"/>
      <c r="J237" s="25"/>
      <c r="K237" s="16"/>
      <c r="L237" s="46"/>
      <c r="M237" s="30"/>
      <c r="N237" s="37"/>
      <c r="O237" s="33"/>
      <c r="P237" s="39"/>
      <c r="Q237" s="59"/>
      <c r="R237" s="59"/>
    </row>
    <row r="238" spans="1:18" ht="32.4" customHeight="1">
      <c r="A238" s="56"/>
      <c r="B238" s="57"/>
      <c r="C238" s="66"/>
      <c r="D238" s="56"/>
      <c r="E238" s="56"/>
      <c r="F238" s="58"/>
      <c r="G238" s="15"/>
      <c r="H238" s="15"/>
      <c r="I238" s="25"/>
      <c r="J238" s="25"/>
      <c r="K238" s="16"/>
      <c r="L238" s="46"/>
      <c r="M238" s="30"/>
      <c r="N238" s="37"/>
      <c r="O238" s="33"/>
      <c r="P238" s="39"/>
      <c r="Q238" s="59"/>
      <c r="R238" s="59"/>
    </row>
    <row r="239" spans="1:18" ht="32.4" customHeight="1">
      <c r="A239" s="56"/>
      <c r="B239" s="57"/>
      <c r="C239" s="66"/>
      <c r="D239" s="56"/>
      <c r="E239" s="56"/>
      <c r="F239" s="58"/>
      <c r="G239" s="15"/>
      <c r="H239" s="15"/>
      <c r="I239" s="25"/>
      <c r="J239" s="25"/>
      <c r="K239" s="16"/>
      <c r="L239" s="46"/>
      <c r="M239" s="30"/>
      <c r="N239" s="37"/>
      <c r="O239" s="33"/>
      <c r="P239" s="39"/>
      <c r="Q239" s="59"/>
      <c r="R239" s="59"/>
    </row>
    <row r="240" spans="1:18" ht="32.4" customHeight="1">
      <c r="A240" s="56"/>
      <c r="B240" s="57"/>
      <c r="C240" s="66"/>
      <c r="D240" s="56"/>
      <c r="E240" s="56"/>
      <c r="F240" s="58"/>
      <c r="G240" s="15"/>
      <c r="H240" s="15"/>
      <c r="I240" s="25"/>
      <c r="J240" s="25"/>
      <c r="K240" s="16"/>
      <c r="L240" s="46"/>
      <c r="M240" s="30"/>
      <c r="N240" s="37"/>
      <c r="O240" s="33"/>
      <c r="P240" s="39"/>
      <c r="Q240" s="59"/>
      <c r="R240" s="59"/>
    </row>
    <row r="241" spans="1:18" ht="32.4" customHeight="1">
      <c r="A241" s="56"/>
      <c r="B241" s="57"/>
      <c r="C241" s="66"/>
      <c r="D241" s="56"/>
      <c r="E241" s="56"/>
      <c r="F241" s="58"/>
      <c r="G241" s="15"/>
      <c r="H241" s="15"/>
      <c r="I241" s="25"/>
      <c r="J241" s="25"/>
      <c r="K241" s="16"/>
      <c r="L241" s="46"/>
      <c r="M241" s="30"/>
      <c r="N241" s="37"/>
      <c r="O241" s="33"/>
      <c r="P241" s="39"/>
      <c r="Q241" s="59"/>
      <c r="R241" s="59"/>
    </row>
    <row r="242" spans="1:18" ht="32.4" customHeight="1">
      <c r="A242" s="56"/>
      <c r="B242" s="57"/>
      <c r="C242" s="66"/>
      <c r="D242" s="56"/>
      <c r="E242" s="56"/>
      <c r="F242" s="58"/>
      <c r="G242" s="15"/>
      <c r="H242" s="15"/>
      <c r="I242" s="25"/>
      <c r="J242" s="25"/>
      <c r="K242" s="16"/>
      <c r="L242" s="46"/>
      <c r="M242" s="30"/>
      <c r="N242" s="37"/>
      <c r="O242" s="33"/>
      <c r="P242" s="39"/>
      <c r="Q242" s="59"/>
      <c r="R242" s="59"/>
    </row>
    <row r="243" spans="1:18" ht="32.4" customHeight="1">
      <c r="A243" s="56"/>
      <c r="B243" s="57"/>
      <c r="C243" s="66"/>
      <c r="D243" s="56"/>
      <c r="E243" s="56"/>
      <c r="F243" s="58"/>
      <c r="G243" s="15"/>
      <c r="H243" s="15"/>
      <c r="I243" s="25"/>
      <c r="J243" s="25"/>
      <c r="K243" s="16"/>
      <c r="L243" s="46"/>
      <c r="M243" s="30"/>
      <c r="N243" s="37"/>
      <c r="O243" s="33"/>
      <c r="P243" s="39"/>
      <c r="Q243" s="59"/>
      <c r="R243" s="59"/>
    </row>
    <row r="244" spans="1:18" ht="32.4" customHeight="1">
      <c r="A244" s="56"/>
      <c r="B244" s="57"/>
      <c r="C244" s="66"/>
      <c r="D244" s="56"/>
      <c r="E244" s="56"/>
      <c r="F244" s="58"/>
      <c r="G244" s="15"/>
      <c r="H244" s="15"/>
      <c r="I244" s="25"/>
      <c r="J244" s="25"/>
      <c r="K244" s="16"/>
      <c r="L244" s="46"/>
      <c r="M244" s="30"/>
      <c r="N244" s="37"/>
      <c r="O244" s="33"/>
      <c r="P244" s="39"/>
      <c r="Q244" s="59"/>
      <c r="R244" s="59"/>
    </row>
    <row r="245" spans="1:18" ht="32.4" customHeight="1">
      <c r="A245" s="56"/>
      <c r="B245" s="57"/>
      <c r="C245" s="66"/>
      <c r="D245" s="56"/>
      <c r="E245" s="56"/>
      <c r="F245" s="58"/>
      <c r="G245" s="15"/>
      <c r="H245" s="15"/>
      <c r="I245" s="25"/>
      <c r="J245" s="25"/>
      <c r="K245" s="16"/>
      <c r="L245" s="46"/>
      <c r="M245" s="30"/>
      <c r="N245" s="37"/>
      <c r="O245" s="33"/>
      <c r="P245" s="39"/>
      <c r="Q245" s="59"/>
      <c r="R245" s="59"/>
    </row>
    <row r="246" spans="1:18" ht="32.4" customHeight="1">
      <c r="A246" s="56"/>
      <c r="B246" s="57"/>
      <c r="C246" s="66"/>
      <c r="D246" s="56"/>
      <c r="E246" s="56"/>
      <c r="F246" s="58"/>
      <c r="G246" s="15"/>
      <c r="H246" s="15"/>
      <c r="I246" s="25"/>
      <c r="J246" s="25"/>
      <c r="K246" s="16"/>
      <c r="L246" s="46"/>
      <c r="M246" s="30"/>
      <c r="N246" s="37"/>
      <c r="O246" s="33"/>
      <c r="P246" s="39"/>
      <c r="Q246" s="59"/>
      <c r="R246" s="59"/>
    </row>
    <row r="247" spans="1:18" ht="32.4" customHeight="1">
      <c r="A247" s="56"/>
      <c r="B247" s="57"/>
      <c r="C247" s="66"/>
      <c r="D247" s="56"/>
      <c r="E247" s="56"/>
      <c r="F247" s="58"/>
      <c r="G247" s="15"/>
      <c r="H247" s="15"/>
      <c r="I247" s="25"/>
      <c r="J247" s="25"/>
      <c r="K247" s="16"/>
      <c r="L247" s="46"/>
      <c r="M247" s="30"/>
      <c r="N247" s="37"/>
      <c r="O247" s="33"/>
      <c r="P247" s="39"/>
      <c r="Q247" s="59"/>
      <c r="R247" s="59"/>
    </row>
    <row r="248" spans="1:18" ht="32.4" customHeight="1">
      <c r="A248" s="56"/>
      <c r="B248" s="57"/>
      <c r="C248" s="66"/>
      <c r="D248" s="56"/>
      <c r="E248" s="56"/>
      <c r="F248" s="58"/>
      <c r="G248" s="15"/>
      <c r="H248" s="15"/>
      <c r="I248" s="25"/>
      <c r="J248" s="25"/>
      <c r="K248" s="16"/>
      <c r="L248" s="46"/>
      <c r="M248" s="30"/>
      <c r="N248" s="37"/>
      <c r="O248" s="33"/>
      <c r="P248" s="39"/>
      <c r="Q248" s="59"/>
      <c r="R248" s="59"/>
    </row>
    <row r="249" spans="1:18" ht="32.4" customHeight="1">
      <c r="A249" s="56"/>
      <c r="B249" s="57"/>
      <c r="C249" s="66"/>
      <c r="D249" s="56"/>
      <c r="E249" s="56"/>
      <c r="F249" s="58"/>
      <c r="G249" s="15"/>
      <c r="H249" s="15"/>
      <c r="I249" s="25"/>
      <c r="J249" s="25"/>
      <c r="K249" s="16"/>
      <c r="L249" s="46"/>
      <c r="M249" s="30"/>
      <c r="N249" s="37"/>
      <c r="O249" s="33"/>
      <c r="P249" s="39"/>
      <c r="Q249" s="59"/>
      <c r="R249" s="59"/>
    </row>
    <row r="250" spans="1:18" ht="32.4" customHeight="1">
      <c r="A250" s="56"/>
      <c r="B250" s="57"/>
      <c r="C250" s="66"/>
      <c r="D250" s="56"/>
      <c r="E250" s="56"/>
      <c r="F250" s="58"/>
      <c r="G250" s="15"/>
      <c r="H250" s="15"/>
      <c r="I250" s="25"/>
      <c r="J250" s="25"/>
      <c r="K250" s="16"/>
      <c r="L250" s="46"/>
      <c r="M250" s="30"/>
      <c r="N250" s="37"/>
      <c r="O250" s="33"/>
      <c r="P250" s="39"/>
      <c r="Q250" s="59"/>
      <c r="R250" s="59"/>
    </row>
    <row r="251" spans="1:18" ht="32.4" customHeight="1">
      <c r="A251" s="56"/>
      <c r="B251" s="57"/>
      <c r="C251" s="66"/>
      <c r="D251" s="56"/>
      <c r="E251" s="56"/>
      <c r="F251" s="58"/>
      <c r="G251" s="15"/>
      <c r="H251" s="15"/>
      <c r="I251" s="25"/>
      <c r="J251" s="25"/>
      <c r="K251" s="16"/>
      <c r="L251" s="46"/>
      <c r="M251" s="30"/>
      <c r="N251" s="37"/>
      <c r="O251" s="33"/>
      <c r="P251" s="39"/>
      <c r="Q251" s="59"/>
      <c r="R251" s="59"/>
    </row>
    <row r="252" spans="1:18" ht="32.4" customHeight="1">
      <c r="A252" s="56"/>
      <c r="B252" s="57"/>
      <c r="C252" s="66"/>
      <c r="D252" s="56"/>
      <c r="E252" s="56"/>
      <c r="F252" s="58"/>
      <c r="G252" s="15"/>
      <c r="H252" s="15"/>
      <c r="I252" s="25"/>
      <c r="J252" s="25"/>
      <c r="K252" s="16"/>
      <c r="L252" s="46"/>
      <c r="M252" s="30"/>
      <c r="N252" s="37"/>
      <c r="O252" s="33"/>
      <c r="P252" s="39"/>
      <c r="Q252" s="59"/>
      <c r="R252" s="59"/>
    </row>
    <row r="253" spans="1:18" ht="32.4" customHeight="1">
      <c r="A253" s="56"/>
      <c r="B253" s="57"/>
      <c r="C253" s="66"/>
      <c r="D253" s="56"/>
      <c r="E253" s="56"/>
      <c r="F253" s="58"/>
      <c r="G253" s="15"/>
      <c r="H253" s="15"/>
      <c r="I253" s="25"/>
      <c r="J253" s="25"/>
      <c r="K253" s="16"/>
      <c r="L253" s="46"/>
      <c r="M253" s="30"/>
      <c r="N253" s="37"/>
      <c r="O253" s="33"/>
      <c r="P253" s="39"/>
      <c r="Q253" s="59"/>
      <c r="R253" s="59"/>
    </row>
    <row r="254" spans="1:18" ht="32.4" customHeight="1">
      <c r="A254" s="56"/>
      <c r="B254" s="57"/>
      <c r="C254" s="66"/>
      <c r="D254" s="56"/>
      <c r="E254" s="56"/>
      <c r="F254" s="58"/>
      <c r="G254" s="15"/>
      <c r="H254" s="15"/>
      <c r="I254" s="25"/>
      <c r="J254" s="25"/>
      <c r="K254" s="16"/>
      <c r="L254" s="46"/>
      <c r="M254" s="30"/>
      <c r="N254" s="37"/>
      <c r="O254" s="33"/>
      <c r="P254" s="39"/>
      <c r="Q254" s="59"/>
      <c r="R254" s="59"/>
    </row>
    <row r="255" spans="1:18" ht="32.4" customHeight="1">
      <c r="A255" s="56"/>
      <c r="B255" s="57"/>
      <c r="C255" s="66"/>
      <c r="D255" s="56"/>
      <c r="E255" s="56"/>
      <c r="F255" s="58"/>
      <c r="G255" s="15"/>
      <c r="H255" s="15"/>
      <c r="I255" s="25"/>
      <c r="J255" s="25"/>
      <c r="K255" s="16"/>
      <c r="L255" s="46"/>
      <c r="M255" s="30"/>
      <c r="N255" s="37"/>
      <c r="O255" s="33"/>
      <c r="P255" s="39"/>
      <c r="Q255" s="59"/>
      <c r="R255" s="59"/>
    </row>
    <row r="256" spans="1:18" ht="32.4" customHeight="1">
      <c r="A256" s="56"/>
      <c r="B256" s="57"/>
      <c r="C256" s="66"/>
      <c r="D256" s="56"/>
      <c r="E256" s="56"/>
      <c r="F256" s="58"/>
      <c r="G256" s="15"/>
      <c r="H256" s="15"/>
      <c r="I256" s="25"/>
      <c r="J256" s="25"/>
      <c r="K256" s="16"/>
      <c r="L256" s="46"/>
      <c r="M256" s="30"/>
      <c r="N256" s="37"/>
      <c r="O256" s="33"/>
      <c r="P256" s="39"/>
      <c r="Q256" s="59"/>
      <c r="R256" s="59"/>
    </row>
    <row r="257" spans="1:18" ht="32.4" customHeight="1">
      <c r="A257" s="56"/>
      <c r="B257" s="57"/>
      <c r="F257" s="58"/>
      <c r="G257" s="15"/>
      <c r="H257" s="15"/>
      <c r="I257" s="25"/>
      <c r="J257" s="25"/>
      <c r="K257" s="16"/>
      <c r="L257" s="46"/>
      <c r="M257" s="30"/>
      <c r="N257" s="37"/>
      <c r="O257" s="33"/>
      <c r="P257" s="39"/>
      <c r="Q257" s="59"/>
      <c r="R257" s="59"/>
    </row>
    <row r="258" spans="1:18" ht="32.4" customHeight="1">
      <c r="A258" s="56"/>
      <c r="B258" s="57"/>
      <c r="F258" s="58"/>
      <c r="G258" s="15"/>
      <c r="H258" s="15"/>
      <c r="I258" s="25"/>
      <c r="J258" s="25"/>
      <c r="K258" s="16"/>
      <c r="L258" s="46"/>
      <c r="M258" s="30"/>
      <c r="N258" s="37"/>
      <c r="O258" s="33"/>
      <c r="P258" s="39"/>
      <c r="Q258" s="59"/>
      <c r="R258" s="59"/>
    </row>
    <row r="259" spans="1:18" ht="32.4" customHeight="1">
      <c r="A259" s="56"/>
      <c r="B259" s="57"/>
      <c r="F259" s="58"/>
      <c r="G259" s="15"/>
      <c r="H259" s="15"/>
      <c r="I259" s="25"/>
      <c r="J259" s="25"/>
      <c r="K259" s="16"/>
      <c r="L259" s="46"/>
      <c r="M259" s="30"/>
      <c r="N259" s="37"/>
      <c r="O259" s="33"/>
      <c r="P259" s="39"/>
      <c r="Q259" s="59"/>
      <c r="R259" s="59"/>
    </row>
    <row r="260" spans="1:18" ht="32.4" customHeight="1">
      <c r="A260" s="56"/>
      <c r="B260" s="57"/>
      <c r="F260" s="58"/>
      <c r="G260" s="15"/>
      <c r="H260" s="15"/>
      <c r="I260" s="25"/>
      <c r="J260" s="25"/>
      <c r="K260" s="16"/>
      <c r="L260" s="46"/>
      <c r="M260" s="30"/>
      <c r="N260" s="37"/>
      <c r="O260" s="33"/>
      <c r="P260" s="39"/>
      <c r="Q260" s="59"/>
      <c r="R260" s="59"/>
    </row>
    <row r="261" spans="1:18" ht="32.4" customHeight="1">
      <c r="A261" s="56"/>
      <c r="B261" s="57"/>
      <c r="F261" s="58"/>
      <c r="G261" s="15"/>
      <c r="H261" s="15"/>
      <c r="I261" s="25"/>
      <c r="J261" s="25"/>
      <c r="K261" s="16"/>
      <c r="L261" s="46"/>
      <c r="M261" s="30"/>
      <c r="N261" s="37"/>
      <c r="O261" s="33"/>
      <c r="P261" s="39"/>
      <c r="Q261" s="59"/>
      <c r="R261" s="59"/>
    </row>
    <row r="262" spans="1:18" ht="32.4" customHeight="1">
      <c r="A262" s="56"/>
      <c r="B262" s="57"/>
      <c r="F262" s="58"/>
      <c r="G262" s="15"/>
      <c r="H262" s="15"/>
      <c r="I262" s="25"/>
      <c r="J262" s="25"/>
      <c r="K262" s="16"/>
      <c r="L262" s="46"/>
      <c r="M262" s="30"/>
      <c r="N262" s="37"/>
      <c r="O262" s="33"/>
      <c r="P262" s="39"/>
      <c r="Q262" s="59"/>
      <c r="R262" s="59"/>
    </row>
    <row r="263" spans="1:18" ht="32.4" customHeight="1">
      <c r="A263" s="56"/>
      <c r="B263" s="57"/>
      <c r="F263" s="58"/>
      <c r="G263" s="15"/>
      <c r="H263" s="15"/>
      <c r="I263" s="25"/>
      <c r="J263" s="25"/>
      <c r="K263" s="16"/>
      <c r="L263" s="46"/>
      <c r="M263" s="30"/>
      <c r="N263" s="37"/>
      <c r="O263" s="33"/>
      <c r="P263" s="39"/>
      <c r="Q263" s="59"/>
      <c r="R263" s="59"/>
    </row>
    <row r="264" spans="1:18" ht="32.4" customHeight="1">
      <c r="A264" s="56"/>
      <c r="B264" s="57"/>
      <c r="F264" s="58"/>
      <c r="G264" s="15"/>
      <c r="H264" s="15"/>
      <c r="I264" s="25"/>
      <c r="J264" s="25"/>
      <c r="K264" s="16"/>
      <c r="L264" s="46"/>
      <c r="M264" s="30"/>
      <c r="N264" s="37"/>
      <c r="O264" s="33"/>
      <c r="P264" s="39"/>
      <c r="Q264" s="59"/>
      <c r="R264" s="59"/>
    </row>
    <row r="265" spans="1:18" ht="32.4" customHeight="1">
      <c r="A265" s="56"/>
      <c r="B265" s="57"/>
      <c r="F265" s="58"/>
      <c r="G265" s="15"/>
      <c r="H265" s="15"/>
      <c r="I265" s="25"/>
      <c r="J265" s="25"/>
      <c r="K265" s="16"/>
      <c r="L265" s="46"/>
      <c r="M265" s="30"/>
      <c r="N265" s="37"/>
      <c r="O265" s="33"/>
      <c r="P265" s="39"/>
      <c r="Q265" s="59"/>
      <c r="R265" s="59"/>
    </row>
    <row r="266" spans="1:18" ht="32.4" customHeight="1">
      <c r="A266" s="56"/>
      <c r="B266" s="57"/>
      <c r="F266" s="58"/>
      <c r="G266" s="15"/>
      <c r="H266" s="15"/>
      <c r="I266" s="25"/>
      <c r="J266" s="25"/>
      <c r="K266" s="16"/>
      <c r="L266" s="46"/>
      <c r="M266" s="30"/>
      <c r="N266" s="37"/>
      <c r="O266" s="33"/>
      <c r="P266" s="39"/>
      <c r="Q266" s="59"/>
      <c r="R266" s="59"/>
    </row>
    <row r="267" spans="1:18" ht="32.4" customHeight="1">
      <c r="A267" s="56"/>
      <c r="B267" s="57"/>
      <c r="F267" s="58"/>
      <c r="G267" s="15"/>
      <c r="H267" s="15"/>
      <c r="I267" s="25"/>
      <c r="J267" s="25"/>
      <c r="K267" s="16"/>
      <c r="L267" s="46"/>
      <c r="M267" s="30"/>
      <c r="N267" s="37"/>
      <c r="O267" s="33"/>
      <c r="P267" s="39"/>
      <c r="Q267" s="59"/>
      <c r="R267" s="59"/>
    </row>
    <row r="268" spans="1:18" ht="32.4" customHeight="1">
      <c r="A268" s="56"/>
      <c r="B268" s="57"/>
      <c r="F268" s="58"/>
      <c r="G268" s="15"/>
      <c r="H268" s="15"/>
      <c r="I268" s="25"/>
      <c r="J268" s="25"/>
      <c r="K268" s="16"/>
      <c r="L268" s="46"/>
      <c r="M268" s="30"/>
      <c r="N268" s="37"/>
      <c r="O268" s="33"/>
      <c r="P268" s="39"/>
      <c r="Q268" s="59"/>
      <c r="R268" s="59"/>
    </row>
    <row r="269" spans="1:18" ht="32.4" customHeight="1">
      <c r="A269" s="56"/>
      <c r="B269" s="57"/>
      <c r="F269" s="58"/>
      <c r="G269" s="15"/>
      <c r="H269" s="15"/>
      <c r="I269" s="25"/>
      <c r="J269" s="25"/>
      <c r="K269" s="16"/>
      <c r="L269" s="46"/>
      <c r="M269" s="30"/>
      <c r="N269" s="37"/>
      <c r="O269" s="33"/>
      <c r="P269" s="39"/>
      <c r="Q269" s="59"/>
      <c r="R269" s="59"/>
    </row>
    <row r="270" spans="1:18" ht="32.4" customHeight="1">
      <c r="A270" s="56"/>
      <c r="B270" s="57"/>
      <c r="F270" s="58"/>
      <c r="G270" s="15"/>
      <c r="H270" s="15"/>
      <c r="I270" s="25"/>
      <c r="J270" s="25"/>
      <c r="K270" s="16"/>
      <c r="L270" s="46"/>
      <c r="M270" s="30"/>
      <c r="N270" s="37"/>
      <c r="O270" s="33"/>
      <c r="P270" s="39"/>
      <c r="Q270" s="59"/>
      <c r="R270" s="59"/>
    </row>
    <row r="271" spans="1:18" ht="32.4" customHeight="1">
      <c r="A271" s="56"/>
      <c r="B271" s="57"/>
      <c r="F271" s="58"/>
      <c r="G271" s="15"/>
      <c r="H271" s="15"/>
      <c r="I271" s="25"/>
      <c r="J271" s="25"/>
      <c r="K271" s="16"/>
      <c r="L271" s="46"/>
      <c r="M271" s="30"/>
      <c r="N271" s="37"/>
      <c r="O271" s="33"/>
      <c r="P271" s="39"/>
      <c r="Q271" s="59"/>
      <c r="R271" s="59"/>
    </row>
    <row r="272" spans="1:18" ht="32.4" customHeight="1">
      <c r="A272" s="56"/>
      <c r="B272" s="57"/>
      <c r="F272" s="58"/>
      <c r="G272" s="15"/>
      <c r="H272" s="15"/>
      <c r="I272" s="25"/>
      <c r="J272" s="25"/>
      <c r="K272" s="16"/>
      <c r="L272" s="46"/>
      <c r="M272" s="30"/>
      <c r="N272" s="37"/>
      <c r="O272" s="33"/>
      <c r="P272" s="39"/>
      <c r="Q272" s="59"/>
      <c r="R272" s="59"/>
    </row>
    <row r="273" spans="1:18" ht="32.4" customHeight="1">
      <c r="A273" s="56"/>
      <c r="B273" s="57"/>
      <c r="F273" s="58"/>
      <c r="G273" s="15"/>
      <c r="H273" s="15"/>
      <c r="I273" s="25"/>
      <c r="J273" s="25"/>
      <c r="K273" s="16"/>
      <c r="L273" s="46"/>
      <c r="M273" s="30"/>
      <c r="N273" s="37"/>
      <c r="O273" s="33"/>
      <c r="P273" s="39"/>
      <c r="Q273" s="59"/>
      <c r="R273" s="59"/>
    </row>
    <row r="274" spans="1:18" ht="32.4" customHeight="1">
      <c r="A274" s="56"/>
      <c r="B274" s="57"/>
      <c r="F274" s="58"/>
      <c r="G274" s="15"/>
      <c r="H274" s="15"/>
      <c r="I274" s="25"/>
      <c r="J274" s="25"/>
      <c r="K274" s="16"/>
      <c r="L274" s="46"/>
      <c r="M274" s="30"/>
      <c r="N274" s="37"/>
      <c r="O274" s="33"/>
      <c r="P274" s="39"/>
      <c r="Q274" s="59"/>
      <c r="R274" s="59"/>
    </row>
    <row r="275" spans="1:18" ht="32.4" customHeight="1">
      <c r="A275" s="56"/>
      <c r="B275" s="57"/>
      <c r="F275" s="58"/>
      <c r="G275" s="15"/>
      <c r="H275" s="15"/>
      <c r="I275" s="25"/>
      <c r="J275" s="25"/>
      <c r="K275" s="16"/>
      <c r="L275" s="46"/>
      <c r="M275" s="30"/>
      <c r="N275" s="37"/>
      <c r="O275" s="33"/>
      <c r="P275" s="39"/>
      <c r="Q275" s="59"/>
      <c r="R275" s="59"/>
    </row>
    <row r="276" spans="1:18" ht="32.4" customHeight="1">
      <c r="A276" s="56"/>
      <c r="B276" s="57"/>
      <c r="F276" s="58"/>
      <c r="G276" s="15"/>
      <c r="H276" s="15"/>
      <c r="I276" s="25"/>
      <c r="J276" s="25"/>
      <c r="K276" s="16"/>
      <c r="L276" s="46"/>
      <c r="M276" s="30"/>
      <c r="N276" s="37"/>
      <c r="O276" s="33"/>
      <c r="P276" s="39"/>
      <c r="Q276" s="59"/>
      <c r="R276" s="59"/>
    </row>
    <row r="277" spans="1:18" ht="32.4" customHeight="1">
      <c r="A277" s="56"/>
      <c r="B277" s="57"/>
      <c r="F277" s="58"/>
      <c r="G277" s="15"/>
      <c r="H277" s="15"/>
      <c r="I277" s="25"/>
      <c r="J277" s="25"/>
      <c r="K277" s="16"/>
      <c r="L277" s="46"/>
      <c r="M277" s="30"/>
      <c r="N277" s="37"/>
      <c r="O277" s="33"/>
      <c r="P277" s="39"/>
      <c r="Q277" s="59"/>
      <c r="R277" s="59"/>
    </row>
    <row r="278" spans="1:18" ht="32.4" customHeight="1">
      <c r="A278" s="56"/>
      <c r="B278" s="57"/>
      <c r="F278" s="58"/>
      <c r="G278" s="15"/>
      <c r="H278" s="15"/>
      <c r="I278" s="25"/>
      <c r="J278" s="25"/>
      <c r="K278" s="16"/>
      <c r="L278" s="46"/>
      <c r="M278" s="30"/>
      <c r="N278" s="37"/>
      <c r="O278" s="33"/>
      <c r="P278" s="39"/>
      <c r="Q278" s="59"/>
      <c r="R278" s="59"/>
    </row>
    <row r="279" spans="1:18" ht="32.4" customHeight="1">
      <c r="A279" s="56"/>
      <c r="B279" s="57"/>
      <c r="F279" s="58"/>
      <c r="G279" s="15"/>
      <c r="H279" s="15"/>
      <c r="I279" s="25"/>
      <c r="J279" s="25"/>
      <c r="K279" s="16"/>
      <c r="L279" s="46"/>
      <c r="M279" s="30"/>
      <c r="N279" s="37"/>
      <c r="O279" s="33"/>
      <c r="P279" s="39"/>
      <c r="Q279" s="59"/>
      <c r="R279" s="59"/>
    </row>
    <row r="280" spans="1:18" ht="32.4" customHeight="1">
      <c r="A280" s="56"/>
      <c r="B280" s="57"/>
      <c r="F280" s="58"/>
      <c r="G280" s="15"/>
      <c r="H280" s="15"/>
      <c r="I280" s="25"/>
      <c r="J280" s="25"/>
      <c r="K280" s="16"/>
      <c r="L280" s="46"/>
      <c r="M280" s="30"/>
      <c r="N280" s="37"/>
      <c r="O280" s="33"/>
      <c r="P280" s="39"/>
      <c r="Q280" s="59"/>
      <c r="R280" s="59"/>
    </row>
    <row r="281" spans="1:18" ht="32.4" customHeight="1">
      <c r="A281" s="56"/>
      <c r="B281" s="57"/>
      <c r="F281" s="58"/>
      <c r="G281" s="15"/>
      <c r="H281" s="15"/>
      <c r="I281" s="25"/>
      <c r="J281" s="25"/>
      <c r="K281" s="16"/>
      <c r="L281" s="46"/>
      <c r="M281" s="30"/>
      <c r="N281" s="37"/>
      <c r="O281" s="33"/>
      <c r="P281" s="39"/>
      <c r="Q281" s="59"/>
      <c r="R281" s="59"/>
    </row>
    <row r="282" spans="1:18" ht="32.4" customHeight="1">
      <c r="A282" s="56"/>
      <c r="B282" s="57"/>
      <c r="F282" s="58"/>
      <c r="G282" s="15"/>
      <c r="H282" s="15"/>
      <c r="I282" s="25"/>
      <c r="J282" s="25"/>
      <c r="K282" s="16"/>
      <c r="L282" s="46"/>
      <c r="M282" s="30"/>
      <c r="N282" s="37"/>
      <c r="O282" s="33"/>
      <c r="P282" s="39"/>
      <c r="Q282" s="59"/>
      <c r="R282" s="59"/>
    </row>
    <row r="283" spans="1:18" ht="32.4" customHeight="1">
      <c r="A283" s="56"/>
      <c r="B283" s="57"/>
      <c r="F283" s="58"/>
      <c r="G283" s="15"/>
      <c r="H283" s="15"/>
      <c r="I283" s="25"/>
      <c r="J283" s="25"/>
      <c r="K283" s="16"/>
      <c r="L283" s="46"/>
      <c r="M283" s="30"/>
      <c r="N283" s="37"/>
      <c r="O283" s="33"/>
      <c r="P283" s="39"/>
      <c r="Q283" s="59"/>
      <c r="R283" s="59"/>
    </row>
    <row r="284" spans="1:18" ht="32.4" customHeight="1">
      <c r="A284" s="56"/>
      <c r="B284" s="57"/>
      <c r="F284" s="58"/>
      <c r="G284" s="15"/>
      <c r="H284" s="15"/>
      <c r="I284" s="25"/>
      <c r="J284" s="25"/>
      <c r="K284" s="16"/>
      <c r="L284" s="46"/>
      <c r="M284" s="30"/>
      <c r="N284" s="37"/>
      <c r="O284" s="33"/>
      <c r="P284" s="39"/>
      <c r="Q284" s="59"/>
      <c r="R284" s="59"/>
    </row>
    <row r="285" spans="1:18" ht="32.4" customHeight="1">
      <c r="A285" s="56"/>
      <c r="B285" s="57"/>
      <c r="F285" s="58"/>
      <c r="G285" s="15"/>
      <c r="H285" s="15"/>
      <c r="I285" s="25"/>
      <c r="J285" s="25"/>
      <c r="K285" s="16"/>
      <c r="L285" s="46"/>
      <c r="M285" s="30"/>
      <c r="N285" s="37"/>
      <c r="O285" s="33"/>
      <c r="P285" s="39"/>
      <c r="Q285" s="59"/>
      <c r="R285" s="59"/>
    </row>
    <row r="286" spans="1:18" ht="32.4" customHeight="1">
      <c r="A286" s="56"/>
      <c r="B286" s="57"/>
      <c r="F286" s="58"/>
      <c r="G286" s="15"/>
      <c r="H286" s="15"/>
      <c r="I286" s="25"/>
      <c r="J286" s="25"/>
      <c r="K286" s="16"/>
      <c r="L286" s="46"/>
      <c r="M286" s="30"/>
      <c r="N286" s="37"/>
      <c r="O286" s="33"/>
      <c r="P286" s="39"/>
      <c r="Q286" s="59"/>
      <c r="R286" s="59"/>
    </row>
    <row r="287" spans="1:18" ht="32.4" customHeight="1">
      <c r="A287" s="56"/>
      <c r="B287" s="57"/>
      <c r="F287" s="58"/>
      <c r="G287" s="15"/>
      <c r="H287" s="15"/>
      <c r="I287" s="25"/>
      <c r="J287" s="25"/>
      <c r="K287" s="16"/>
      <c r="L287" s="46"/>
      <c r="M287" s="30"/>
      <c r="N287" s="37"/>
      <c r="O287" s="33"/>
      <c r="P287" s="39"/>
      <c r="Q287" s="59"/>
      <c r="R287" s="59"/>
    </row>
    <row r="288" spans="1:18" ht="32.4" customHeight="1">
      <c r="A288" s="56"/>
      <c r="B288" s="57"/>
      <c r="F288" s="58"/>
      <c r="G288" s="15"/>
      <c r="H288" s="15"/>
      <c r="I288" s="25"/>
      <c r="J288" s="25"/>
      <c r="K288" s="16"/>
      <c r="L288" s="46"/>
      <c r="M288" s="30"/>
      <c r="N288" s="37"/>
      <c r="O288" s="33"/>
      <c r="P288" s="39"/>
      <c r="Q288" s="59"/>
      <c r="R288" s="59"/>
    </row>
    <row r="289" spans="1:18" ht="32.4" customHeight="1">
      <c r="A289" s="56"/>
      <c r="B289" s="57"/>
      <c r="F289" s="58"/>
      <c r="G289" s="15"/>
      <c r="H289" s="15"/>
      <c r="I289" s="25"/>
      <c r="J289" s="25"/>
      <c r="K289" s="16"/>
      <c r="L289" s="46"/>
      <c r="M289" s="30"/>
      <c r="N289" s="37"/>
      <c r="O289" s="33"/>
      <c r="P289" s="39"/>
      <c r="Q289" s="59"/>
      <c r="R289" s="59"/>
    </row>
    <row r="290" spans="1:18" ht="32.4" customHeight="1">
      <c r="A290" s="56"/>
      <c r="B290" s="57"/>
      <c r="F290" s="58"/>
      <c r="G290" s="15"/>
      <c r="H290" s="15"/>
      <c r="I290" s="25"/>
      <c r="J290" s="25"/>
      <c r="K290" s="16"/>
      <c r="L290" s="46"/>
      <c r="M290" s="30"/>
      <c r="N290" s="37"/>
      <c r="O290" s="33"/>
      <c r="P290" s="39"/>
      <c r="Q290" s="59"/>
      <c r="R290" s="59"/>
    </row>
    <row r="291" spans="1:18" ht="32.4" customHeight="1">
      <c r="A291" s="56"/>
      <c r="B291" s="57"/>
      <c r="F291" s="58"/>
      <c r="G291" s="15"/>
      <c r="H291" s="15"/>
      <c r="I291" s="25"/>
      <c r="J291" s="25"/>
      <c r="K291" s="16"/>
      <c r="L291" s="46"/>
      <c r="M291" s="30"/>
      <c r="N291" s="37"/>
      <c r="O291" s="33"/>
      <c r="P291" s="39"/>
      <c r="Q291" s="59"/>
      <c r="R291" s="59"/>
    </row>
    <row r="292" spans="1:18" ht="32.4" customHeight="1">
      <c r="A292" s="56"/>
      <c r="B292" s="57"/>
      <c r="F292" s="58"/>
      <c r="G292" s="15"/>
      <c r="H292" s="15"/>
      <c r="I292" s="25"/>
      <c r="J292" s="25"/>
      <c r="K292" s="16"/>
      <c r="L292" s="46"/>
      <c r="M292" s="30"/>
      <c r="N292" s="37"/>
      <c r="O292" s="33"/>
      <c r="P292" s="39"/>
      <c r="Q292" s="59"/>
      <c r="R292" s="59"/>
    </row>
    <row r="293" spans="1:18" ht="32.4" customHeight="1">
      <c r="G293" s="15"/>
      <c r="H293" s="15"/>
      <c r="I293" s="25"/>
      <c r="J293" s="25"/>
      <c r="K293" s="16"/>
      <c r="L293" s="46"/>
      <c r="M293" s="30"/>
      <c r="N293" s="37"/>
      <c r="O293" s="33"/>
      <c r="P293" s="39"/>
    </row>
    <row r="294" spans="1:18" ht="14.4"/>
    <row r="295" spans="1:18" ht="14.4"/>
    <row r="296" spans="1:18" ht="14.4"/>
    <row r="297" spans="1:18" ht="14.4"/>
    <row r="298" spans="1:18" ht="14.4"/>
    <row r="299" spans="1:18" ht="14.4"/>
    <row r="300" spans="1:18" ht="14.4"/>
    <row r="301" spans="1:18" ht="14.4"/>
    <row r="302" spans="1:18" ht="14.4"/>
    <row r="303" spans="1:18" ht="14.4"/>
    <row r="304" spans="1:18" ht="14.4"/>
    <row r="305" ht="14.4"/>
    <row r="306" ht="14.4"/>
    <row r="307" ht="14.4"/>
    <row r="308" ht="14.4"/>
    <row r="309" ht="14.4"/>
    <row r="310" ht="14.4"/>
    <row r="311" ht="14.4"/>
    <row r="312" ht="14.4"/>
    <row r="313" ht="14.4"/>
    <row r="314" ht="14.4"/>
    <row r="315" ht="14.4"/>
    <row r="316" ht="14.4"/>
    <row r="317" ht="14.4"/>
    <row r="318" ht="14.4"/>
    <row r="319" ht="14.4"/>
    <row r="320" ht="14.4"/>
    <row r="321" ht="14.4"/>
    <row r="322" ht="14.4"/>
    <row r="323" ht="14.4"/>
    <row r="324" ht="14.4"/>
    <row r="325" ht="14.4"/>
    <row r="326" ht="14.4"/>
    <row r="327" ht="14.4"/>
    <row r="328" ht="14.4"/>
    <row r="329" ht="14.4"/>
    <row r="330" ht="14.4"/>
    <row r="331" ht="14.4"/>
    <row r="332" ht="14.4"/>
    <row r="333" ht="14.4"/>
    <row r="334" ht="14.4"/>
    <row r="335" ht="14.4"/>
    <row r="336" ht="14.4"/>
    <row r="337" ht="14.4"/>
    <row r="338" ht="14.4"/>
  </sheetData>
  <mergeCells count="236">
    <mergeCell ref="A178:A182"/>
    <mergeCell ref="B178:B182"/>
    <mergeCell ref="N178:N182"/>
    <mergeCell ref="P178:P182"/>
    <mergeCell ref="Q178:Q182"/>
    <mergeCell ref="A183:A187"/>
    <mergeCell ref="B183:B187"/>
    <mergeCell ref="N183:N187"/>
    <mergeCell ref="P183:P187"/>
    <mergeCell ref="Q183:Q187"/>
    <mergeCell ref="C178:C182"/>
    <mergeCell ref="C183:C187"/>
    <mergeCell ref="A168:A172"/>
    <mergeCell ref="B168:B172"/>
    <mergeCell ref="N168:N172"/>
    <mergeCell ref="P168:P172"/>
    <mergeCell ref="Q168:Q172"/>
    <mergeCell ref="A173:A177"/>
    <mergeCell ref="B173:B177"/>
    <mergeCell ref="N173:N177"/>
    <mergeCell ref="P173:P177"/>
    <mergeCell ref="Q173:Q177"/>
    <mergeCell ref="C168:C172"/>
    <mergeCell ref="C173:C177"/>
    <mergeCell ref="A158:A162"/>
    <mergeCell ref="B158:B162"/>
    <mergeCell ref="N158:N162"/>
    <mergeCell ref="P158:P162"/>
    <mergeCell ref="Q158:Q162"/>
    <mergeCell ref="A163:A167"/>
    <mergeCell ref="B163:B167"/>
    <mergeCell ref="N163:N167"/>
    <mergeCell ref="P163:P167"/>
    <mergeCell ref="Q163:Q167"/>
    <mergeCell ref="C158:C162"/>
    <mergeCell ref="C163:C167"/>
    <mergeCell ref="A148:A152"/>
    <mergeCell ref="B148:B152"/>
    <mergeCell ref="N148:N152"/>
    <mergeCell ref="P148:P152"/>
    <mergeCell ref="Q148:Q152"/>
    <mergeCell ref="A153:A157"/>
    <mergeCell ref="B153:B157"/>
    <mergeCell ref="N153:N157"/>
    <mergeCell ref="P153:P157"/>
    <mergeCell ref="Q153:Q157"/>
    <mergeCell ref="C148:C152"/>
    <mergeCell ref="C153:C157"/>
    <mergeCell ref="A138:A142"/>
    <mergeCell ref="B138:B142"/>
    <mergeCell ref="N138:N142"/>
    <mergeCell ref="P138:P142"/>
    <mergeCell ref="Q138:Q142"/>
    <mergeCell ref="A143:A147"/>
    <mergeCell ref="B143:B147"/>
    <mergeCell ref="N143:N147"/>
    <mergeCell ref="P143:P147"/>
    <mergeCell ref="Q143:Q147"/>
    <mergeCell ref="C138:C142"/>
    <mergeCell ref="C143:C147"/>
    <mergeCell ref="A128:A132"/>
    <mergeCell ref="B128:B132"/>
    <mergeCell ref="N128:N132"/>
    <mergeCell ref="P128:P132"/>
    <mergeCell ref="Q128:Q132"/>
    <mergeCell ref="A133:A137"/>
    <mergeCell ref="B133:B137"/>
    <mergeCell ref="N133:N137"/>
    <mergeCell ref="P133:P137"/>
    <mergeCell ref="Q133:Q137"/>
    <mergeCell ref="C128:C132"/>
    <mergeCell ref="C133:C137"/>
    <mergeCell ref="A118:A122"/>
    <mergeCell ref="B118:B122"/>
    <mergeCell ref="N118:N122"/>
    <mergeCell ref="P118:P122"/>
    <mergeCell ref="Q118:Q122"/>
    <mergeCell ref="A123:A127"/>
    <mergeCell ref="B123:B127"/>
    <mergeCell ref="N123:N127"/>
    <mergeCell ref="P123:P127"/>
    <mergeCell ref="Q123:Q127"/>
    <mergeCell ref="C118:C122"/>
    <mergeCell ref="C123:C127"/>
    <mergeCell ref="A108:A112"/>
    <mergeCell ref="B108:B112"/>
    <mergeCell ref="N108:N112"/>
    <mergeCell ref="P108:P112"/>
    <mergeCell ref="Q108:Q112"/>
    <mergeCell ref="A113:A117"/>
    <mergeCell ref="B113:B117"/>
    <mergeCell ref="N113:N117"/>
    <mergeCell ref="P113:P117"/>
    <mergeCell ref="Q113:Q117"/>
    <mergeCell ref="C108:C112"/>
    <mergeCell ref="C113:C117"/>
    <mergeCell ref="A98:A102"/>
    <mergeCell ref="B98:B102"/>
    <mergeCell ref="N98:N102"/>
    <mergeCell ref="P98:P102"/>
    <mergeCell ref="Q98:Q102"/>
    <mergeCell ref="A103:A107"/>
    <mergeCell ref="B103:B107"/>
    <mergeCell ref="N103:N107"/>
    <mergeCell ref="P103:P107"/>
    <mergeCell ref="Q103:Q107"/>
    <mergeCell ref="C98:C102"/>
    <mergeCell ref="C103:C107"/>
    <mergeCell ref="Q48:Q52"/>
    <mergeCell ref="Q53:Q57"/>
    <mergeCell ref="P58:P62"/>
    <mergeCell ref="Q58:Q62"/>
    <mergeCell ref="Q63:Q67"/>
    <mergeCell ref="Q68:Q72"/>
    <mergeCell ref="Q73:Q77"/>
    <mergeCell ref="N78:N82"/>
    <mergeCell ref="P78:P82"/>
    <mergeCell ref="Q78:Q82"/>
    <mergeCell ref="N48:N52"/>
    <mergeCell ref="P48:P52"/>
    <mergeCell ref="P68:P72"/>
    <mergeCell ref="P63:P67"/>
    <mergeCell ref="P23:P27"/>
    <mergeCell ref="C63:C67"/>
    <mergeCell ref="A73:A77"/>
    <mergeCell ref="B73:B77"/>
    <mergeCell ref="N73:N77"/>
    <mergeCell ref="P73:P77"/>
    <mergeCell ref="A78:A82"/>
    <mergeCell ref="B78:B82"/>
    <mergeCell ref="C68:C72"/>
    <mergeCell ref="C73:C77"/>
    <mergeCell ref="C78:C82"/>
    <mergeCell ref="W1:W2"/>
    <mergeCell ref="X1:X2"/>
    <mergeCell ref="N3:N7"/>
    <mergeCell ref="P3:P7"/>
    <mergeCell ref="Q3:Q7"/>
    <mergeCell ref="N8:N12"/>
    <mergeCell ref="P8:P12"/>
    <mergeCell ref="Q8:Q12"/>
    <mergeCell ref="N43:N47"/>
    <mergeCell ref="P43:P47"/>
    <mergeCell ref="Q43:Q47"/>
    <mergeCell ref="N13:N17"/>
    <mergeCell ref="P13:P17"/>
    <mergeCell ref="Q13:Q17"/>
    <mergeCell ref="N18:N22"/>
    <mergeCell ref="P18:P22"/>
    <mergeCell ref="Q18:Q22"/>
    <mergeCell ref="V1:V2"/>
    <mergeCell ref="T1:T2"/>
    <mergeCell ref="Q1:Q2"/>
    <mergeCell ref="Q33:Q37"/>
    <mergeCell ref="N38:N42"/>
    <mergeCell ref="P38:P42"/>
    <mergeCell ref="Q38:Q42"/>
    <mergeCell ref="A1:A2"/>
    <mergeCell ref="B1:B2"/>
    <mergeCell ref="D1:D2"/>
    <mergeCell ref="F1:F2"/>
    <mergeCell ref="G1:H1"/>
    <mergeCell ref="K1:P1"/>
    <mergeCell ref="M2:N2"/>
    <mergeCell ref="O2:P2"/>
    <mergeCell ref="I1:J1"/>
    <mergeCell ref="Q23:Q27"/>
    <mergeCell ref="A28:A32"/>
    <mergeCell ref="B28:B32"/>
    <mergeCell ref="N28:N32"/>
    <mergeCell ref="P28:P32"/>
    <mergeCell ref="Q28:Q32"/>
    <mergeCell ref="C28:C32"/>
    <mergeCell ref="Q88:Q92"/>
    <mergeCell ref="A93:A97"/>
    <mergeCell ref="B93:B97"/>
    <mergeCell ref="N93:N97"/>
    <mergeCell ref="P93:P97"/>
    <mergeCell ref="Q93:Q97"/>
    <mergeCell ref="A83:A87"/>
    <mergeCell ref="B83:B87"/>
    <mergeCell ref="N83:N87"/>
    <mergeCell ref="P83:P87"/>
    <mergeCell ref="Q83:Q87"/>
    <mergeCell ref="C88:C92"/>
    <mergeCell ref="C93:C97"/>
    <mergeCell ref="C43:C47"/>
    <mergeCell ref="C48:C52"/>
    <mergeCell ref="C53:C57"/>
    <mergeCell ref="C58:C62"/>
    <mergeCell ref="P88:P92"/>
    <mergeCell ref="A33:A37"/>
    <mergeCell ref="B33:B37"/>
    <mergeCell ref="N33:N37"/>
    <mergeCell ref="P33:P37"/>
    <mergeCell ref="A3:A7"/>
    <mergeCell ref="B3:B7"/>
    <mergeCell ref="A8:A12"/>
    <mergeCell ref="B8:B12"/>
    <mergeCell ref="A13:A17"/>
    <mergeCell ref="A43:A47"/>
    <mergeCell ref="B43:B47"/>
    <mergeCell ref="A48:A52"/>
    <mergeCell ref="B48:B52"/>
    <mergeCell ref="B13:B17"/>
    <mergeCell ref="A18:A22"/>
    <mergeCell ref="B18:B22"/>
    <mergeCell ref="A53:A57"/>
    <mergeCell ref="B53:B57"/>
    <mergeCell ref="N53:N57"/>
    <mergeCell ref="P53:P57"/>
    <mergeCell ref="A58:A62"/>
    <mergeCell ref="B58:B62"/>
    <mergeCell ref="N58:N62"/>
    <mergeCell ref="C83:C87"/>
    <mergeCell ref="C3:C7"/>
    <mergeCell ref="C8:C12"/>
    <mergeCell ref="C13:C17"/>
    <mergeCell ref="C18:C22"/>
    <mergeCell ref="C23:C27"/>
    <mergeCell ref="A88:A92"/>
    <mergeCell ref="B88:B92"/>
    <mergeCell ref="N88:N92"/>
    <mergeCell ref="A63:A67"/>
    <mergeCell ref="B63:B67"/>
    <mergeCell ref="N63:N67"/>
    <mergeCell ref="A68:A72"/>
    <mergeCell ref="B68:B72"/>
    <mergeCell ref="N68:N72"/>
    <mergeCell ref="A38:A42"/>
    <mergeCell ref="B38:B42"/>
    <mergeCell ref="C33:C37"/>
    <mergeCell ref="C38:C42"/>
    <mergeCell ref="A23:A27"/>
    <mergeCell ref="B23:B27"/>
    <mergeCell ref="N23:N27"/>
  </mergeCells>
  <phoneticPr fontId="18" type="noConversion"/>
  <pageMargins left="0.7" right="0.7" top="0.75" bottom="0.75" header="0.3" footer="0.3"/>
  <pageSetup orientation="portrait" horizontalDpi="1200" verticalDpi="120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from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Kantphich Chanamnuaychok</dc:creator>
  <cp:lastModifiedBy>asus</cp:lastModifiedBy>
  <dcterms:created xsi:type="dcterms:W3CDTF">2021-07-11T17:28:22Z</dcterms:created>
  <dcterms:modified xsi:type="dcterms:W3CDTF">2023-01-10T11:05:33Z</dcterms:modified>
</cp:coreProperties>
</file>